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46284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46284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46284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46284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46284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46284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46284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46284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46284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21.4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12</v>
      </c>
      <c r="U10" t="n">
        <v>12</v>
      </c>
      <c r="V10" s="2" t="inlineStr">
        <is>
          <t>Garnlav
Fjällig taggsvamp s.str.
Harticka
Rosenticka
Ullticka
Trådticka</t>
        </is>
      </c>
      <c r="W10">
        <f>HYPERLINK("https://klasma.github.io/Logging_2425/artfynd/A 33655-2023 artfynd.xlsx", "A 33655-2023")</f>
        <v/>
      </c>
      <c r="X10">
        <f>HYPERLINK("https://klasma.github.io/Logging_2425/kartor/A 33655-2023 karta.png", "A 33655-2023")</f>
        <v/>
      </c>
      <c r="Y10">
        <f>HYPERLINK("https://klasma.github.io/Logging_2425/kartor_geotiff/A 33655-2023 georefererad karta.tif", "A 33655-2023")</f>
        <v/>
      </c>
      <c r="AA10">
        <f>HYPERLINK("https://klasma.github.io/Logging_2425/klagomål/A 33655-2023 FSC-klagomål.docx", "A 33655-2023")</f>
        <v/>
      </c>
      <c r="AB10">
        <f>HYPERLINK("https://klasma.github.io/Logging_2425/klagomålsmail/A 33655-2023 FSC-klagomål mail.docx", "A 33655-2023")</f>
        <v/>
      </c>
      <c r="AC10">
        <f>HYPERLINK("https://klasma.github.io/Logging_2425/tillsyn/A 33655-2023 tillsynsbegäran.docx", "A 33655-2023")</f>
        <v/>
      </c>
      <c r="AD10">
        <f>HYPERLINK("https://klasma.github.io/Logging_2425/tillsynsmail/A 33655-2023 tillsynsbegäran mail.docx", "A 33655-2023")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46284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46284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46284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46284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46284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46284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46284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46284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S 1152-2025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45756</v>
      </c>
      <c r="E19" s="1" t="n">
        <v>46284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19.2</v>
      </c>
      <c r="J19" t="n">
        <v>0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Dvärgbägarlav
Kortskaftad ärgspik
Lunglav
Vedtrappmossa</t>
        </is>
      </c>
      <c r="W19">
        <f>HYPERLINK("https://klasma.github.io/Logging_2425/artfynd/S 1152-2025 artfynd.xlsx", "S 1152-2025")</f>
        <v/>
      </c>
      <c r="X19">
        <f>HYPERLINK("https://klasma.github.io/Logging_2425/kartor/S 1152-2025 karta.png", "S 1152-2025")</f>
        <v/>
      </c>
      <c r="Y19">
        <f>HYPERLINK("https://klasma.github.io/Logging_2425/kartor_geotiff/S 1152-2025 georefererad karta.tif", "S 1152-2025")</f>
        <v/>
      </c>
      <c r="AA19">
        <f>HYPERLINK("https://klasma.github.io/Logging_2425/klagomål/S 1152-2025 FSC-klagomål.docx", "S 1152-2025")</f>
        <v/>
      </c>
      <c r="AB19">
        <f>HYPERLINK("https://klasma.github.io/Logging_2425/klagomålsmail/S 1152-2025 FSC-klagomål mail.docx", "S 1152-2025")</f>
        <v/>
      </c>
      <c r="AC19">
        <f>HYPERLINK("https://klasma.github.io/Logging_2425/tillsyn/S 1152-2025 tillsynsbegäran.docx", "S 1152-2025")</f>
        <v/>
      </c>
      <c r="AD19">
        <f>HYPERLINK("https://klasma.github.io/Logging_2425/tillsynsmail/S 1152-2025 tillsynsbegäran mail.docx", "S 1152-2025")</f>
        <v/>
      </c>
    </row>
    <row r="20" ht="15" customHeight="1">
      <c r="A20" t="inlineStr">
        <is>
          <t>A 21672-2023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46284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7.4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Doftskinn
Skrovellav
Ullticka</t>
        </is>
      </c>
      <c r="W20">
        <f>HYPERLINK("https://klasma.github.io/Logging_2425/artfynd/A 21672-2023 artfynd.xlsx", "A 21672-2023")</f>
        <v/>
      </c>
      <c r="X20">
        <f>HYPERLINK("https://klasma.github.io/Logging_2425/kartor/A 21672-2023 karta.png", "A 21672-2023")</f>
        <v/>
      </c>
      <c r="Y20">
        <f>HYPERLINK("https://klasma.github.io/Logging_2425/kartor_geotiff/A 21672-2023 georefererad karta.tif", "A 21672-2023")</f>
        <v/>
      </c>
      <c r="AA20">
        <f>HYPERLINK("https://klasma.github.io/Logging_2425/klagomål/A 21672-2023 FSC-klagomål.docx", "A 21672-2023")</f>
        <v/>
      </c>
      <c r="AB20">
        <f>HYPERLINK("https://klasma.github.io/Logging_2425/klagomålsmail/A 21672-2023 FSC-klagomål mail.docx", "A 21672-2023")</f>
        <v/>
      </c>
      <c r="AC20">
        <f>HYPERLINK("https://klasma.github.io/Logging_2425/tillsyn/A 21672-2023 tillsynsbegäran.docx", "A 21672-2023")</f>
        <v/>
      </c>
      <c r="AD20">
        <f>HYPERLINK("https://klasma.github.io/Logging_2425/tillsynsmail/A 21672-2023 tillsynsbegäran mail.docx", "A 21672-2023")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46284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46284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A 28909-2025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46284</v>
      </c>
      <c r="F23" t="inlineStr">
        <is>
          <t>VÄSTERBOTTENS LÄN</t>
        </is>
      </c>
      <c r="G23" t="inlineStr">
        <is>
          <t>DOROTEA</t>
        </is>
      </c>
      <c r="H23" t="inlineStr">
        <is>
          <t>Kyrkan</t>
        </is>
      </c>
      <c r="I23" t="n">
        <v>5.5</v>
      </c>
      <c r="J23" t="n">
        <v>1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8</v>
      </c>
      <c r="U23" t="n">
        <v>8</v>
      </c>
      <c r="V23" s="2" t="inlineStr">
        <is>
          <t>Kolflarnlav
Mörk kolflarnlav
Tretåig hackspett</t>
        </is>
      </c>
      <c r="W23">
        <f>HYPERLINK("https://klasma.github.io/Logging_2425/artfynd/A 28909-2025 artfynd.xlsx", "A 28909-2025")</f>
        <v/>
      </c>
      <c r="X23">
        <f>HYPERLINK("https://klasma.github.io/Logging_2425/kartor/A 28909-2025 karta.png", "A 28909-2025")</f>
        <v/>
      </c>
      <c r="Y23">
        <f>HYPERLINK("https://klasma.github.io/Logging_2425/kartor_geotiff/A 28909-2025 georefererad karta.tif", "A 28909-2025")</f>
        <v/>
      </c>
      <c r="AA23">
        <f>HYPERLINK("https://klasma.github.io/Logging_2425/klagomål/A 28909-2025 FSC-klagomål.docx", "A 28909-2025")</f>
        <v/>
      </c>
      <c r="AB23">
        <f>HYPERLINK("https://klasma.github.io/Logging_2425/klagomålsmail/A 28909-2025 FSC-klagomål mail.docx", "A 28909-2025")</f>
        <v/>
      </c>
      <c r="AC23">
        <f>HYPERLINK("https://klasma.github.io/Logging_2425/tillsyn/A 28909-2025 tillsynsbegäran.docx", "A 28909-2025")</f>
        <v/>
      </c>
      <c r="AD23">
        <f>HYPERLINK("https://klasma.github.io/Logging_2425/tillsynsmail/A 28909-2025 tillsynsbegäran mail.docx", "A 28909-2025")</f>
        <v/>
      </c>
      <c r="AE23">
        <f>HYPERLINK("https://klasma.github.io/Logging_2425/fåglar/A 28909-2025 prioriterade fågelarter.docx", "A 28909-2025")</f>
        <v/>
      </c>
    </row>
    <row r="24" ht="15" customHeight="1">
      <c r="A24" t="inlineStr">
        <is>
          <t>S 2006-2025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45834</v>
      </c>
      <c r="E24" s="1" t="n">
        <v>46284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1.3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Kransrams
Stuplav</t>
        </is>
      </c>
      <c r="W24">
        <f>HYPERLINK("https://klasma.github.io/Logging_2425/artfynd/S 2006-2025 artfynd.xlsx", "S 2006-2025")</f>
        <v/>
      </c>
      <c r="X24">
        <f>HYPERLINK("https://klasma.github.io/Logging_2425/kartor/S 2006-2025 karta.png", "S 2006-2025")</f>
        <v/>
      </c>
      <c r="Y24">
        <f>HYPERLINK("https://klasma.github.io/Logging_2425/kartor_geotiff/S 2006-2025 georefererad karta.tif", "S 2006-2025")</f>
        <v/>
      </c>
      <c r="AA24">
        <f>HYPERLINK("https://klasma.github.io/Logging_2425/klagomål/S 2006-2025 FSC-klagomål.docx", "S 2006-2025")</f>
        <v/>
      </c>
      <c r="AB24">
        <f>HYPERLINK("https://klasma.github.io/Logging_2425/klagomålsmail/S 2006-2025 FSC-klagomål mail.docx", "S 2006-2025")</f>
        <v/>
      </c>
      <c r="AC24">
        <f>HYPERLINK("https://klasma.github.io/Logging_2425/tillsyn/S 2006-2025 tillsynsbegäran.docx", "S 2006-2025")</f>
        <v/>
      </c>
      <c r="AD24">
        <f>HYPERLINK("https://klasma.github.io/Logging_2425/tillsynsmail/S 2006-2025 tillsynsbegäran mail.docx", "S 2006-2025")</f>
        <v/>
      </c>
    </row>
    <row r="25" ht="15" customHeight="1">
      <c r="A25" t="inlineStr">
        <is>
          <t>S 2410-2026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46279</v>
      </c>
      <c r="E25" s="1" t="n">
        <v>46284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8.800000000000001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Gammelgransskål
Lunglav
Vitgrynig nållav</t>
        </is>
      </c>
      <c r="W25">
        <f>HYPERLINK("https://klasma.github.io/Logging_2425/artfynd/S 2410-2026 artfynd.xlsx", "S 2410-2026")</f>
        <v/>
      </c>
      <c r="X25">
        <f>HYPERLINK("https://klasma.github.io/Logging_2425/kartor/S 2410-2026 karta.png", "S 2410-2026")</f>
        <v/>
      </c>
      <c r="Y25">
        <f>HYPERLINK("https://klasma.github.io/Logging_2425/kartor_geotiff/S 2410-2026 georefererad karta.tif", "S 2410-2026")</f>
        <v/>
      </c>
      <c r="AA25">
        <f>HYPERLINK("https://klasma.github.io/Logging_2425/klagomål/S 2410-2026 FSC-klagomål.docx", "S 2410-2026")</f>
        <v/>
      </c>
      <c r="AB25">
        <f>HYPERLINK("https://klasma.github.io/Logging_2425/klagomålsmail/S 2410-2026 FSC-klagomål mail.docx", "S 2410-2026")</f>
        <v/>
      </c>
      <c r="AC25">
        <f>HYPERLINK("https://klasma.github.io/Logging_2425/tillsyn/S 2410-2026 tillsynsbegäran.docx", "S 2410-2026")</f>
        <v/>
      </c>
      <c r="AD25">
        <f>HYPERLINK("https://klasma.github.io/Logging_2425/tillsynsmail/S 2410-2026 tillsynsbegäran mail.docx", "S 2410-2026")</f>
        <v/>
      </c>
    </row>
    <row r="26" ht="15" customHeight="1">
      <c r="A26" t="inlineStr">
        <is>
          <t>A 58736-2022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44902</v>
      </c>
      <c r="E26" s="1" t="n">
        <v>46284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58736-2022 artfynd.xlsx", "A 58736-2022")</f>
        <v/>
      </c>
      <c r="X26">
        <f>HYPERLINK("https://klasma.github.io/Logging_2425/kartor/A 58736-2022 karta.png", "A 58736-2022")</f>
        <v/>
      </c>
      <c r="Y26">
        <f>HYPERLINK("https://klasma.github.io/Logging_2425/kartor_geotiff/A 58736-2022 georefererad karta.tif", "A 58736-2022")</f>
        <v/>
      </c>
      <c r="AA26">
        <f>HYPERLINK("https://klasma.github.io/Logging_2425/klagomål/A 58736-2022 FSC-klagomål.docx", "A 58736-2022")</f>
        <v/>
      </c>
      <c r="AB26">
        <f>HYPERLINK("https://klasma.github.io/Logging_2425/klagomålsmail/A 58736-2022 FSC-klagomål mail.docx", "A 58736-2022")</f>
        <v/>
      </c>
      <c r="AC26">
        <f>HYPERLINK("https://klasma.github.io/Logging_2425/tillsyn/A 58736-2022 tillsynsbegäran.docx", "A 58736-2022")</f>
        <v/>
      </c>
      <c r="AD26">
        <f>HYPERLINK("https://klasma.github.io/Logging_2425/tillsynsmail/A 58736-2022 tillsynsbegäran mail.docx", "A 58736-2022")</f>
        <v/>
      </c>
    </row>
    <row r="27" ht="15" customHeight="1">
      <c r="A27" t="inlineStr">
        <is>
          <t>A 27234-2024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46284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2.2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Rynkskinn
Skrovellav</t>
        </is>
      </c>
      <c r="W27">
        <f>HYPERLINK("https://klasma.github.io/Logging_2425/artfynd/A 27234-2024 artfynd.xlsx", "A 27234-2024")</f>
        <v/>
      </c>
      <c r="X27">
        <f>HYPERLINK("https://klasma.github.io/Logging_2425/kartor/A 27234-2024 karta.png", "A 27234-2024")</f>
        <v/>
      </c>
      <c r="Y27">
        <f>HYPERLINK("https://klasma.github.io/Logging_2425/kartor_geotiff/A 27234-2024 georefererad karta.tif", "A 27234-2024")</f>
        <v/>
      </c>
      <c r="AA27">
        <f>HYPERLINK("https://klasma.github.io/Logging_2425/klagomål/A 27234-2024 FSC-klagomål.docx", "A 27234-2024")</f>
        <v/>
      </c>
      <c r="AB27">
        <f>HYPERLINK("https://klasma.github.io/Logging_2425/klagomålsmail/A 27234-2024 FSC-klagomål mail.docx", "A 27234-2024")</f>
        <v/>
      </c>
      <c r="AC27">
        <f>HYPERLINK("https://klasma.github.io/Logging_2425/tillsyn/A 27234-2024 tillsynsbegäran.docx", "A 27234-2024")</f>
        <v/>
      </c>
      <c r="AD27">
        <f>HYPERLINK("https://klasma.github.io/Logging_2425/tillsynsmail/A 27234-2024 tillsynsbegäran mail.docx", "A 27234-2024")</f>
        <v/>
      </c>
    </row>
    <row r="28" ht="15" customHeight="1">
      <c r="A28" t="inlineStr">
        <is>
          <t>A 40013-2024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45553</v>
      </c>
      <c r="E28" s="1" t="n">
        <v>46284</v>
      </c>
      <c r="F28" t="inlineStr">
        <is>
          <t>VÄSTERBOTTENS LÄN</t>
        </is>
      </c>
      <c r="G28" t="inlineStr">
        <is>
          <t>DOROTEA</t>
        </is>
      </c>
      <c r="H28" t="inlineStr">
        <is>
          <t>Övriga statliga verk och myndigheter</t>
        </is>
      </c>
      <c r="I28" t="n">
        <v>1.5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Tretåig hackspett
Tjäder</t>
        </is>
      </c>
      <c r="W28">
        <f>HYPERLINK("https://klasma.github.io/Logging_2425/artfynd/A 40013-2024 artfynd.xlsx", "A 40013-2024")</f>
        <v/>
      </c>
      <c r="X28">
        <f>HYPERLINK("https://klasma.github.io/Logging_2425/kartor/A 40013-2024 karta.png", "A 40013-2024")</f>
        <v/>
      </c>
      <c r="Y28">
        <f>HYPERLINK("https://klasma.github.io/Logging_2425/kartor_geotiff/A 40013-2024 georefererad karta.tif", "A 40013-2024")</f>
        <v/>
      </c>
      <c r="AA28">
        <f>HYPERLINK("https://klasma.github.io/Logging_2425/klagomål/A 40013-2024 FSC-klagomål.docx", "A 40013-2024")</f>
        <v/>
      </c>
      <c r="AB28">
        <f>HYPERLINK("https://klasma.github.io/Logging_2425/klagomålsmail/A 40013-2024 FSC-klagomål mail.docx", "A 40013-2024")</f>
        <v/>
      </c>
      <c r="AC28">
        <f>HYPERLINK("https://klasma.github.io/Logging_2425/tillsyn/A 40013-2024 tillsynsbegäran.docx", "A 40013-2024")</f>
        <v/>
      </c>
      <c r="AD28">
        <f>HYPERLINK("https://klasma.github.io/Logging_2425/tillsynsmail/A 40013-2024 tillsynsbegäran mail.docx", "A 40013-2024")</f>
        <v/>
      </c>
      <c r="AE28">
        <f>HYPERLINK("https://klasma.github.io/Logging_2425/fåglar/A 40013-2024 prioriterade fågelarter.docx", "A 40013-2024")</f>
        <v/>
      </c>
    </row>
    <row r="29" ht="15" customHeight="1">
      <c r="A29" t="inlineStr">
        <is>
          <t>A 19589-2024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45429</v>
      </c>
      <c r="E29" s="1" t="n">
        <v>46284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Lunglav
Talltita</t>
        </is>
      </c>
      <c r="W29">
        <f>HYPERLINK("https://klasma.github.io/Logging_2425/artfynd/A 19589-2024 artfynd.xlsx", "A 19589-2024")</f>
        <v/>
      </c>
      <c r="X29">
        <f>HYPERLINK("https://klasma.github.io/Logging_2425/kartor/A 19589-2024 karta.png", "A 19589-2024")</f>
        <v/>
      </c>
      <c r="Y29">
        <f>HYPERLINK("https://klasma.github.io/Logging_2425/kartor_geotiff/A 19589-2024 georefererad karta.tif", "A 19589-2024")</f>
        <v/>
      </c>
      <c r="AA29">
        <f>HYPERLINK("https://klasma.github.io/Logging_2425/klagomål/A 19589-2024 FSC-klagomål.docx", "A 19589-2024")</f>
        <v/>
      </c>
      <c r="AB29">
        <f>HYPERLINK("https://klasma.github.io/Logging_2425/klagomålsmail/A 19589-2024 FSC-klagomål mail.docx", "A 19589-2024")</f>
        <v/>
      </c>
      <c r="AC29">
        <f>HYPERLINK("https://klasma.github.io/Logging_2425/tillsyn/A 19589-2024 tillsynsbegäran.docx", "A 19589-2024")</f>
        <v/>
      </c>
      <c r="AD29">
        <f>HYPERLINK("https://klasma.github.io/Logging_2425/tillsynsmail/A 19589-2024 tillsynsbegäran mail.docx", "A 19589-2024")</f>
        <v/>
      </c>
      <c r="AE29">
        <f>HYPERLINK("https://klasma.github.io/Logging_2425/fåglar/A 19589-2024 prioriterade fågelarter.docx", "A 19589-2024")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46284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46284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46284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46284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46284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46284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46284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46284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48089-2022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44855</v>
      </c>
      <c r="E38" s="1" t="n">
        <v>46284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9.199999999999999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Gammelgransskål</t>
        </is>
      </c>
      <c r="W38">
        <f>HYPERLINK("https://klasma.github.io/Logging_2425/artfynd/A 48089-2022 artfynd.xlsx", "A 48089-2022")</f>
        <v/>
      </c>
      <c r="X38">
        <f>HYPERLINK("https://klasma.github.io/Logging_2425/kartor/A 48089-2022 karta.png", "A 48089-2022")</f>
        <v/>
      </c>
      <c r="Y38">
        <f>HYPERLINK("https://klasma.github.io/Logging_2425/kartor_geotiff/A 48089-2022 georefererad karta.tif", "A 48089-2022")</f>
        <v/>
      </c>
      <c r="AA38">
        <f>HYPERLINK("https://klasma.github.io/Logging_2425/klagomål/A 48089-2022 FSC-klagomål.docx", "A 48089-2022")</f>
        <v/>
      </c>
      <c r="AB38">
        <f>HYPERLINK("https://klasma.github.io/Logging_2425/klagomålsmail/A 48089-2022 FSC-klagomål mail.docx", "A 48089-2022")</f>
        <v/>
      </c>
      <c r="AC38">
        <f>HYPERLINK("https://klasma.github.io/Logging_2425/tillsyn/A 48089-2022 tillsynsbegäran.docx", "A 48089-2022")</f>
        <v/>
      </c>
      <c r="AD38">
        <f>HYPERLINK("https://klasma.github.io/Logging_2425/tillsynsmail/A 48089-2022 tillsynsbegäran mail.docx", "A 48089-2022")</f>
        <v/>
      </c>
    </row>
    <row r="39" ht="15" customHeight="1">
      <c r="A39" t="inlineStr">
        <is>
          <t>A 36318-2024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46284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8</v>
      </c>
      <c r="U39" t="n">
        <v>8</v>
      </c>
      <c r="V39" s="2" t="inlineStr">
        <is>
          <t>Garnlav</t>
        </is>
      </c>
      <c r="W39">
        <f>HYPERLINK("https://klasma.github.io/Logging_2425/artfynd/A 36318-2024 artfynd.xlsx", "A 36318-2024")</f>
        <v/>
      </c>
      <c r="X39">
        <f>HYPERLINK("https://klasma.github.io/Logging_2425/kartor/A 36318-2024 karta.png", "A 36318-2024")</f>
        <v/>
      </c>
      <c r="Y39">
        <f>HYPERLINK("https://klasma.github.io/Logging_2425/kartor_geotiff/A 36318-2024 georefererad karta.tif", "A 36318-2024")</f>
        <v/>
      </c>
      <c r="AA39">
        <f>HYPERLINK("https://klasma.github.io/Logging_2425/klagomål/A 36318-2024 FSC-klagomål.docx", "A 36318-2024")</f>
        <v/>
      </c>
      <c r="AB39">
        <f>HYPERLINK("https://klasma.github.io/Logging_2425/klagomålsmail/A 36318-2024 FSC-klagomål mail.docx", "A 36318-2024")</f>
        <v/>
      </c>
      <c r="AC39">
        <f>HYPERLINK("https://klasma.github.io/Logging_2425/tillsyn/A 36318-2024 tillsynsbegäran.docx", "A 36318-2024")</f>
        <v/>
      </c>
      <c r="AD39">
        <f>HYPERLINK("https://klasma.github.io/Logging_2425/tillsynsmail/A 36318-2024 tillsynsbegäran mail.docx", "A 36318-2024")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46284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41079-2025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46284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HYPERLINK("https://klasma.github.io/Logging_2425/artfynd/A 41079-2025 artfynd.xlsx", "A 41079-2025")</f>
        <v/>
      </c>
      <c r="X41">
        <f>HYPERLINK("https://klasma.github.io/Logging_2425/kartor/A 41079-2025 karta.png", "A 41079-2025")</f>
        <v/>
      </c>
      <c r="Y41">
        <f>HYPERLINK("https://klasma.github.io/Logging_2425/kartor_geotiff/A 41079-2025 georefererad karta.tif", "A 41079-2025")</f>
        <v/>
      </c>
      <c r="AA41">
        <f>HYPERLINK("https://klasma.github.io/Logging_2425/klagomål/A 41079-2025 FSC-klagomål.docx", "A 41079-2025")</f>
        <v/>
      </c>
      <c r="AB41">
        <f>HYPERLINK("https://klasma.github.io/Logging_2425/klagomålsmail/A 41079-2025 FSC-klagomål mail.docx", "A 41079-2025")</f>
        <v/>
      </c>
      <c r="AC41">
        <f>HYPERLINK("https://klasma.github.io/Logging_2425/tillsyn/A 41079-2025 tillsynsbegäran.docx", "A 41079-2025")</f>
        <v/>
      </c>
      <c r="AD41">
        <f>HYPERLINK("https://klasma.github.io/Logging_2425/tillsynsmail/A 41079-2025 tillsynsbegäran mail.docx", "A 41079-2025")</f>
        <v/>
      </c>
    </row>
    <row r="42" ht="15" customHeight="1">
      <c r="A42" t="inlineStr">
        <is>
          <t>A 30286-2023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46284</v>
      </c>
      <c r="F42" t="inlineStr">
        <is>
          <t>VÄSTERBOTTENS LÄN</t>
        </is>
      </c>
      <c r="G42" t="inlineStr">
        <is>
          <t>DOROTEA</t>
        </is>
      </c>
      <c r="I42" t="n">
        <v>21.2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Skogsrör</t>
        </is>
      </c>
      <c r="W42">
        <f>HYPERLINK("https://klasma.github.io/Logging_2425/artfynd/A 30286-2023 artfynd.xlsx", "A 30286-2023")</f>
        <v/>
      </c>
      <c r="X42">
        <f>HYPERLINK("https://klasma.github.io/Logging_2425/kartor/A 30286-2023 karta.png", "A 30286-2023")</f>
        <v/>
      </c>
      <c r="Y42">
        <f>HYPERLINK("https://klasma.github.io/Logging_2425/kartor_geotiff/A 30286-2023 georefererad karta.tif", "A 30286-2023")</f>
        <v/>
      </c>
      <c r="AA42">
        <f>HYPERLINK("https://klasma.github.io/Logging_2425/klagomål/A 30286-2023 FSC-klagomål.docx", "A 30286-2023")</f>
        <v/>
      </c>
      <c r="AB42">
        <f>HYPERLINK("https://klasma.github.io/Logging_2425/klagomålsmail/A 30286-2023 FSC-klagomål mail.docx", "A 30286-2023")</f>
        <v/>
      </c>
      <c r="AC42">
        <f>HYPERLINK("https://klasma.github.io/Logging_2425/tillsyn/A 30286-2023 tillsynsbegäran.docx", "A 30286-2023")</f>
        <v/>
      </c>
      <c r="AD42">
        <f>HYPERLINK("https://klasma.github.io/Logging_2425/tillsynsmail/A 30286-2023 tillsynsbegäran mail.docx", "A 30286-2023")</f>
        <v/>
      </c>
    </row>
    <row r="43" ht="15" customHeight="1">
      <c r="A43" t="inlineStr">
        <is>
          <t>A 1278-2024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45302</v>
      </c>
      <c r="E43" s="1" t="n">
        <v>46284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1.3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Gräddticka</t>
        </is>
      </c>
      <c r="W43">
        <f>HYPERLINK("https://klasma.github.io/Logging_2425/artfynd/A 1278-2024 artfynd.xlsx", "A 1278-2024")</f>
        <v/>
      </c>
      <c r="X43">
        <f>HYPERLINK("https://klasma.github.io/Logging_2425/kartor/A 1278-2024 karta.png", "A 1278-2024")</f>
        <v/>
      </c>
      <c r="Y43">
        <f>HYPERLINK("https://klasma.github.io/Logging_2425/kartor_geotiff/A 1278-2024 georefererad karta.tif", "A 1278-2024")</f>
        <v/>
      </c>
      <c r="AA43">
        <f>HYPERLINK("https://klasma.github.io/Logging_2425/klagomål/A 1278-2024 FSC-klagomål.docx", "A 1278-2024")</f>
        <v/>
      </c>
      <c r="AB43">
        <f>HYPERLINK("https://klasma.github.io/Logging_2425/klagomålsmail/A 1278-2024 FSC-klagomål mail.docx", "A 1278-2024")</f>
        <v/>
      </c>
      <c r="AC43">
        <f>HYPERLINK("https://klasma.github.io/Logging_2425/tillsyn/A 1278-2024 tillsynsbegäran.docx", "A 1278-2024")</f>
        <v/>
      </c>
      <c r="AD43">
        <f>HYPERLINK("https://klasma.github.io/Logging_2425/tillsynsmail/A 1278-2024 tillsynsbegäran mail.docx", "A 1278-2024")</f>
        <v/>
      </c>
    </row>
    <row r="44" ht="15" customHeight="1">
      <c r="A44" t="inlineStr">
        <is>
          <t>A 50530-2025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45945</v>
      </c>
      <c r="E44" s="1" t="n">
        <v>46284</v>
      </c>
      <c r="F44" t="inlineStr">
        <is>
          <t>VÄSTERBOTTENS LÄN</t>
        </is>
      </c>
      <c r="G44" t="inlineStr">
        <is>
          <t>DOROTEA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Ängsnycklar</t>
        </is>
      </c>
      <c r="W44">
        <f>HYPERLINK("https://klasma.github.io/Logging_2425/artfynd/A 50530-2025 artfynd.xlsx", "A 50530-2025")</f>
        <v/>
      </c>
      <c r="X44">
        <f>HYPERLINK("https://klasma.github.io/Logging_2425/kartor/A 50530-2025 karta.png", "A 50530-2025")</f>
        <v/>
      </c>
      <c r="Y44">
        <f>HYPERLINK("https://klasma.github.io/Logging_2425/kartor_geotiff/A 50530-2025 georefererad karta.tif", "A 50530-2025")</f>
        <v/>
      </c>
      <c r="AA44">
        <f>HYPERLINK("https://klasma.github.io/Logging_2425/klagomål/A 50530-2025 FSC-klagomål.docx", "A 50530-2025")</f>
        <v/>
      </c>
      <c r="AB44">
        <f>HYPERLINK("https://klasma.github.io/Logging_2425/klagomålsmail/A 50530-2025 FSC-klagomål mail.docx", "A 50530-2025")</f>
        <v/>
      </c>
      <c r="AC44">
        <f>HYPERLINK("https://klasma.github.io/Logging_2425/tillsyn/A 50530-2025 tillsynsbegäran.docx", "A 50530-2025")</f>
        <v/>
      </c>
      <c r="AD44">
        <f>HYPERLINK("https://klasma.github.io/Logging_2425/tillsynsmail/A 50530-2025 tillsynsbegäran mail.docx", "A 50530-2025")</f>
        <v/>
      </c>
    </row>
    <row r="45" ht="15" customHeight="1">
      <c r="A45" t="inlineStr">
        <is>
          <t>A 21926-2026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46284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HYPERLINK("https://klasma.github.io/Logging_2425/artfynd/A 21926-2026 artfynd.xlsx", "A 21926-2026")</f>
        <v/>
      </c>
      <c r="X45">
        <f>HYPERLINK("https://klasma.github.io/Logging_2425/kartor/A 21926-2026 karta.png", "A 21926-2026")</f>
        <v/>
      </c>
      <c r="Y45">
        <f>HYPERLINK("https://klasma.github.io/Logging_2425/kartor_geotiff/A 21926-2026 georefererad karta.tif", "A 21926-2026")</f>
        <v/>
      </c>
      <c r="AA45">
        <f>HYPERLINK("https://klasma.github.io/Logging_2425/klagomål/A 21926-2026 FSC-klagomål.docx", "A 21926-2026")</f>
        <v/>
      </c>
      <c r="AB45">
        <f>HYPERLINK("https://klasma.github.io/Logging_2425/klagomålsmail/A 21926-2026 FSC-klagomål mail.docx", "A 21926-2026")</f>
        <v/>
      </c>
      <c r="AC45">
        <f>HYPERLINK("https://klasma.github.io/Logging_2425/tillsyn/A 21926-2026 tillsynsbegäran.docx", "A 21926-2026")</f>
        <v/>
      </c>
      <c r="AD45">
        <f>HYPERLINK("https://klasma.github.io/Logging_2425/tillsynsmail/A 21926-2026 tillsynsbegäran mail.docx", "A 21926-2026")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46284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57060-2024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46284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8.9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57060-2024 artfynd.xlsx", "A 57060-2024")</f>
        <v/>
      </c>
      <c r="X47">
        <f>HYPERLINK("https://klasma.github.io/Logging_2425/kartor/A 57060-2024 karta.png", "A 57060-2024")</f>
        <v/>
      </c>
      <c r="Y47">
        <f>HYPERLINK("https://klasma.github.io/Logging_2425/kartor_geotiff/A 57060-2024 georefererad karta.tif", "A 57060-2024")</f>
        <v/>
      </c>
      <c r="AA47">
        <f>HYPERLINK("https://klasma.github.io/Logging_2425/klagomål/A 57060-2024 FSC-klagomål.docx", "A 57060-2024")</f>
        <v/>
      </c>
      <c r="AB47">
        <f>HYPERLINK("https://klasma.github.io/Logging_2425/klagomålsmail/A 57060-2024 FSC-klagomål mail.docx", "A 57060-2024")</f>
        <v/>
      </c>
      <c r="AC47">
        <f>HYPERLINK("https://klasma.github.io/Logging_2425/tillsyn/A 57060-2024 tillsynsbegäran.docx", "A 57060-2024")</f>
        <v/>
      </c>
      <c r="AD47">
        <f>HYPERLINK("https://klasma.github.io/Logging_2425/tillsynsmail/A 57060-2024 tillsynsbegäran mail.docx", "A 57060-2024")</f>
        <v/>
      </c>
    </row>
    <row r="48" ht="15" customHeight="1">
      <c r="A48" t="inlineStr">
        <is>
          <t>A 25980-2026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46284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40.2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HYPERLINK("https://klasma.github.io/Logging_2425/artfynd/A 25980-2026 artfynd.xlsx", "A 25980-2026")</f>
        <v/>
      </c>
      <c r="X48">
        <f>HYPERLINK("https://klasma.github.io/Logging_2425/kartor/A 25980-2026 karta.png", "A 25980-2026")</f>
        <v/>
      </c>
      <c r="Y48">
        <f>HYPERLINK("https://klasma.github.io/Logging_2425/kartor_geotiff/A 25980-2026 georefererad karta.tif", "A 25980-2026")</f>
        <v/>
      </c>
      <c r="AA48">
        <f>HYPERLINK("https://klasma.github.io/Logging_2425/klagomål/A 25980-2026 FSC-klagomål.docx", "A 25980-2026")</f>
        <v/>
      </c>
      <c r="AB48">
        <f>HYPERLINK("https://klasma.github.io/Logging_2425/klagomålsmail/A 25980-2026 FSC-klagomål mail.docx", "A 25980-2026")</f>
        <v/>
      </c>
      <c r="AC48">
        <f>HYPERLINK("https://klasma.github.io/Logging_2425/tillsyn/A 25980-2026 tillsynsbegäran.docx", "A 25980-2026")</f>
        <v/>
      </c>
      <c r="AD48">
        <f>HYPERLINK("https://klasma.github.io/Logging_2425/tillsynsmail/A 25980-2026 tillsynsbegäran mail.docx", "A 25980-2026")</f>
        <v/>
      </c>
    </row>
    <row r="49" ht="15" customHeight="1">
      <c r="A49" t="inlineStr">
        <is>
          <t>A 20600-2023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45057</v>
      </c>
      <c r="E49" s="1" t="n">
        <v>46284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HYPERLINK("https://klasma.github.io/Logging_2425/artfynd/A 20600-2023 artfynd.xlsx", "A 20600-2023")</f>
        <v/>
      </c>
      <c r="X49">
        <f>HYPERLINK("https://klasma.github.io/Logging_2425/kartor/A 20600-2023 karta.png", "A 20600-2023")</f>
        <v/>
      </c>
      <c r="Y49">
        <f>HYPERLINK("https://klasma.github.io/Logging_2425/kartor_geotiff/A 20600-2023 georefererad karta.tif", "A 20600-2023")</f>
        <v/>
      </c>
      <c r="AA49">
        <f>HYPERLINK("https://klasma.github.io/Logging_2425/klagomål/A 20600-2023 FSC-klagomål.docx", "A 20600-2023")</f>
        <v/>
      </c>
      <c r="AB49">
        <f>HYPERLINK("https://klasma.github.io/Logging_2425/klagomålsmail/A 20600-2023 FSC-klagomål mail.docx", "A 20600-2023")</f>
        <v/>
      </c>
      <c r="AC49">
        <f>HYPERLINK("https://klasma.github.io/Logging_2425/tillsyn/A 20600-2023 tillsynsbegäran.docx", "A 20600-2023")</f>
        <v/>
      </c>
      <c r="AD49">
        <f>HYPERLINK("https://klasma.github.io/Logging_2425/tillsynsmail/A 20600-2023 tillsynsbegäran mail.docx", "A 20600-2023")</f>
        <v/>
      </c>
    </row>
    <row r="50" ht="15" customHeight="1">
      <c r="A50" t="inlineStr">
        <is>
          <t>A 57058-2024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46284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57058-2024 artfynd.xlsx", "A 57058-2024")</f>
        <v/>
      </c>
      <c r="X50">
        <f>HYPERLINK("https://klasma.github.io/Logging_2425/kartor/A 57058-2024 karta.png", "A 57058-2024")</f>
        <v/>
      </c>
      <c r="Y50">
        <f>HYPERLINK("https://klasma.github.io/Logging_2425/kartor_geotiff/A 57058-2024 georefererad karta.tif", "A 57058-2024")</f>
        <v/>
      </c>
      <c r="AA50">
        <f>HYPERLINK("https://klasma.github.io/Logging_2425/klagomål/A 57058-2024 FSC-klagomål.docx", "A 57058-2024")</f>
        <v/>
      </c>
      <c r="AB50">
        <f>HYPERLINK("https://klasma.github.io/Logging_2425/klagomålsmail/A 57058-2024 FSC-klagomål mail.docx", "A 57058-2024")</f>
        <v/>
      </c>
      <c r="AC50">
        <f>HYPERLINK("https://klasma.github.io/Logging_2425/tillsyn/A 57058-2024 tillsynsbegäran.docx", "A 57058-2024")</f>
        <v/>
      </c>
      <c r="AD50">
        <f>HYPERLINK("https://klasma.github.io/Logging_2425/tillsynsmail/A 57058-2024 tillsynsbegäran mail.docx", "A 57058-2024")</f>
        <v/>
      </c>
    </row>
    <row r="51" ht="15" customHeight="1">
      <c r="A51" t="inlineStr">
        <is>
          <t>A 30357-2026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46209</v>
      </c>
      <c r="E51" s="1" t="n">
        <v>46284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Tajgahumla</t>
        </is>
      </c>
      <c r="W51">
        <f>HYPERLINK("https://klasma.github.io/Logging_2425/artfynd/A 30357-2026 artfynd.xlsx", "A 30357-2026")</f>
        <v/>
      </c>
      <c r="X51">
        <f>HYPERLINK("https://klasma.github.io/Logging_2425/kartor/A 30357-2026 karta.png", "A 30357-2026")</f>
        <v/>
      </c>
      <c r="Y51">
        <f>HYPERLINK("https://klasma.github.io/Logging_2425/kartor_geotiff/A 30357-2026 georefererad karta.tif", "A 30357-2026")</f>
        <v/>
      </c>
      <c r="AA51">
        <f>HYPERLINK("https://klasma.github.io/Logging_2425/klagomål/A 30357-2026 FSC-klagomål.docx", "A 30357-2026")</f>
        <v/>
      </c>
      <c r="AB51">
        <f>HYPERLINK("https://klasma.github.io/Logging_2425/klagomålsmail/A 30357-2026 FSC-klagomål mail.docx", "A 30357-2026")</f>
        <v/>
      </c>
      <c r="AC51">
        <f>HYPERLINK("https://klasma.github.io/Logging_2425/tillsyn/A 30357-2026 tillsynsbegäran.docx", "A 30357-2026")</f>
        <v/>
      </c>
      <c r="AD51">
        <f>HYPERLINK("https://klasma.github.io/Logging_2425/tillsynsmail/A 30357-2026 tillsynsbegäran mail.docx", "A 30357-2026")</f>
        <v/>
      </c>
    </row>
    <row r="52" ht="15" customHeight="1">
      <c r="A52" t="inlineStr">
        <is>
          <t>A 35297-2026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46284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Harticka</t>
        </is>
      </c>
      <c r="W52">
        <f>HYPERLINK("https://klasma.github.io/Logging_2425/artfynd/A 35297-2026 artfynd.xlsx", "A 35297-2026")</f>
        <v/>
      </c>
      <c r="X52">
        <f>HYPERLINK("https://klasma.github.io/Logging_2425/kartor/A 35297-2026 karta.png", "A 35297-2026")</f>
        <v/>
      </c>
      <c r="Y52">
        <f>HYPERLINK("https://klasma.github.io/Logging_2425/kartor_geotiff/A 35297-2026 georefererad karta.tif", "A 35297-2026")</f>
        <v/>
      </c>
      <c r="AA52">
        <f>HYPERLINK("https://klasma.github.io/Logging_2425/klagomål/A 35297-2026 FSC-klagomål.docx", "A 35297-2026")</f>
        <v/>
      </c>
      <c r="AB52">
        <f>HYPERLINK("https://klasma.github.io/Logging_2425/klagomålsmail/A 35297-2026 FSC-klagomål mail.docx", "A 35297-2026")</f>
        <v/>
      </c>
      <c r="AC52">
        <f>HYPERLINK("https://klasma.github.io/Logging_2425/tillsyn/A 35297-2026 tillsynsbegäran.docx", "A 35297-2026")</f>
        <v/>
      </c>
      <c r="AD52">
        <f>HYPERLINK("https://klasma.github.io/Logging_2425/tillsynsmail/A 35297-2026 tillsynsbegäran mail.docx", "A 35297-2026")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46284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A 32331-2026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46284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Skrovellav</t>
        </is>
      </c>
      <c r="W54">
        <f>HYPERLINK("https://klasma.github.io/Logging_2425/artfynd/A 32331-2026 artfynd.xlsx", "A 32331-2026")</f>
        <v/>
      </c>
      <c r="X54">
        <f>HYPERLINK("https://klasma.github.io/Logging_2425/kartor/A 32331-2026 karta.png", "A 32331-2026")</f>
        <v/>
      </c>
      <c r="Y54">
        <f>HYPERLINK("https://klasma.github.io/Logging_2425/kartor_geotiff/A 32331-2026 georefererad karta.tif", "A 32331-2026")</f>
        <v/>
      </c>
      <c r="AA54">
        <f>HYPERLINK("https://klasma.github.io/Logging_2425/klagomål/A 32331-2026 FSC-klagomål.docx", "A 32331-2026")</f>
        <v/>
      </c>
      <c r="AB54">
        <f>HYPERLINK("https://klasma.github.io/Logging_2425/klagomålsmail/A 32331-2026 FSC-klagomål mail.docx", "A 32331-2026")</f>
        <v/>
      </c>
      <c r="AC54">
        <f>HYPERLINK("https://klasma.github.io/Logging_2425/tillsyn/A 32331-2026 tillsynsbegäran.docx", "A 32331-2026")</f>
        <v/>
      </c>
      <c r="AD54">
        <f>HYPERLINK("https://klasma.github.io/Logging_2425/tillsynsmail/A 32331-2026 tillsynsbegäran mail.docx", "A 32331-2026")</f>
        <v/>
      </c>
    </row>
    <row r="55" ht="15" customHeight="1">
      <c r="A55" t="inlineStr">
        <is>
          <t>A 26440-2025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45807</v>
      </c>
      <c r="E55" s="1" t="n">
        <v>46284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HYPERLINK("https://klasma.github.io/Logging_2425/artfynd/A 26440-2025 artfynd.xlsx", "A 26440-2025")</f>
        <v/>
      </c>
      <c r="X55">
        <f>HYPERLINK("https://klasma.github.io/Logging_2425/kartor/A 26440-2025 karta.png", "A 26440-2025")</f>
        <v/>
      </c>
      <c r="Y55">
        <f>HYPERLINK("https://klasma.github.io/Logging_2425/kartor_geotiff/A 26440-2025 georefererad karta.tif", "A 26440-2025")</f>
        <v/>
      </c>
      <c r="AA55">
        <f>HYPERLINK("https://klasma.github.io/Logging_2425/klagomål/A 26440-2025 FSC-klagomål.docx", "A 26440-2025")</f>
        <v/>
      </c>
      <c r="AB55">
        <f>HYPERLINK("https://klasma.github.io/Logging_2425/klagomålsmail/A 26440-2025 FSC-klagomål mail.docx", "A 26440-2025")</f>
        <v/>
      </c>
      <c r="AC55">
        <f>HYPERLINK("https://klasma.github.io/Logging_2425/tillsyn/A 26440-2025 tillsynsbegäran.docx", "A 26440-2025")</f>
        <v/>
      </c>
      <c r="AD55">
        <f>HYPERLINK("https://klasma.github.io/Logging_2425/tillsynsmail/A 26440-2025 tillsynsbegäran mail.docx", "A 26440-2025")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46284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46284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46284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46284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46284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46284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46284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46284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46284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46284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46284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46284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46284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46284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46284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45170</v>
      </c>
      <c r="E71" s="1" t="n">
        <v>46284</v>
      </c>
      <c r="F71" t="inlineStr">
        <is>
          <t>VÄSTERBOTTENS LÄN</t>
        </is>
      </c>
      <c r="G71" t="inlineStr">
        <is>
          <t>DOROTEA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55549-2024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46284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46284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46284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46284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46284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44876</v>
      </c>
      <c r="E77" s="1" t="n">
        <v>46284</v>
      </c>
      <c r="F77" t="inlineStr">
        <is>
          <t>VÄSTERBOTTENS LÄN</t>
        </is>
      </c>
      <c r="G77" t="inlineStr">
        <is>
          <t>DOROTEA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45097</v>
      </c>
      <c r="E78" s="1" t="n">
        <v>46284</v>
      </c>
      <c r="F78" t="inlineStr">
        <is>
          <t>VÄSTERBOTTENS LÄN</t>
        </is>
      </c>
      <c r="G78" t="inlineStr">
        <is>
          <t>DOROTEA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45036</v>
      </c>
      <c r="E79" s="1" t="n">
        <v>46284</v>
      </c>
      <c r="F79" t="inlineStr">
        <is>
          <t>VÄSTERBOTTENS LÄN</t>
        </is>
      </c>
      <c r="G79" t="inlineStr">
        <is>
          <t>DOROTEA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46284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45491</v>
      </c>
      <c r="E81" s="1" t="n">
        <v>46284</v>
      </c>
      <c r="F81" t="inlineStr">
        <is>
          <t>VÄSTERBOTTENS LÄN</t>
        </is>
      </c>
      <c r="G81" t="inlineStr">
        <is>
          <t>DOROTEA</t>
        </is>
      </c>
      <c r="H81" t="inlineStr">
        <is>
          <t>Sveaskog</t>
        </is>
      </c>
      <c r="I81" t="n">
        <v>13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46284</v>
      </c>
      <c r="F82" t="inlineStr">
        <is>
          <t>VÄSTERBOTTENS LÄN</t>
        </is>
      </c>
      <c r="G82" t="inlineStr">
        <is>
          <t>DOROTEA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46284</v>
      </c>
      <c r="F83" t="inlineStr">
        <is>
          <t>VÄSTERBOTTENS LÄN</t>
        </is>
      </c>
      <c r="G83" t="inlineStr">
        <is>
          <t>DOROTEA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46284</v>
      </c>
      <c r="F84" t="inlineStr">
        <is>
          <t>VÄSTERBOTTENS LÄN</t>
        </is>
      </c>
      <c r="G84" t="inlineStr">
        <is>
          <t>DOROTEA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45140</v>
      </c>
      <c r="E85" s="1" t="n">
        <v>46284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46284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44860</v>
      </c>
      <c r="E87" s="1" t="n">
        <v>46284</v>
      </c>
      <c r="F87" t="inlineStr">
        <is>
          <t>VÄSTERBOTTENS LÄN</t>
        </is>
      </c>
      <c r="G87" t="inlineStr">
        <is>
          <t>DOROTEA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25028-2024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45461</v>
      </c>
      <c r="E88" s="1" t="n">
        <v>46284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38700-2024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46284</v>
      </c>
      <c r="F89" t="inlineStr">
        <is>
          <t>VÄSTERBOTTENS LÄN</t>
        </is>
      </c>
      <c r="G89" t="inlineStr">
        <is>
          <t>DOROTEA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45735</v>
      </c>
      <c r="E90" s="1" t="n">
        <v>46284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7.3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45036</v>
      </c>
      <c r="E91" s="1" t="n">
        <v>46284</v>
      </c>
      <c r="F91" t="inlineStr">
        <is>
          <t>VÄSTERBOTTENS LÄN</t>
        </is>
      </c>
      <c r="G91" t="inlineStr">
        <is>
          <t>DOROTEA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46284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8246-2024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45351</v>
      </c>
      <c r="E93" s="1" t="n">
        <v>46284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48006-2023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45198</v>
      </c>
      <c r="E94" s="1" t="n">
        <v>46284</v>
      </c>
      <c r="F94" t="inlineStr">
        <is>
          <t>VÄSTERBOTTENS LÄN</t>
        </is>
      </c>
      <c r="G94" t="inlineStr">
        <is>
          <t>DOROTEA</t>
        </is>
      </c>
      <c r="H94" t="inlineStr">
        <is>
          <t>Övriga statliga verk och myndigheter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53117-2023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45228</v>
      </c>
      <c r="E95" s="1" t="n">
        <v>46284</v>
      </c>
      <c r="F95" t="inlineStr">
        <is>
          <t>VÄSTERBOTTENS LÄN</t>
        </is>
      </c>
      <c r="G95" t="inlineStr">
        <is>
          <t>DOROTEA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45228</v>
      </c>
      <c r="E96" s="1" t="n">
        <v>46284</v>
      </c>
      <c r="F96" t="inlineStr">
        <is>
          <t>VÄSTERBOTTENS LÄN</t>
        </is>
      </c>
      <c r="G96" t="inlineStr">
        <is>
          <t>DOROTEA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46284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14806-2023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45013</v>
      </c>
      <c r="E98" s="1" t="n">
        <v>46284</v>
      </c>
      <c r="F98" t="inlineStr">
        <is>
          <t>VÄSTERBOTTENS LÄN</t>
        </is>
      </c>
      <c r="G98" t="inlineStr">
        <is>
          <t>DOROTEA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46965-2024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45586</v>
      </c>
      <c r="E99" s="1" t="n">
        <v>46284</v>
      </c>
      <c r="F99" t="inlineStr">
        <is>
          <t>VÄSTERBOTTENS LÄN</t>
        </is>
      </c>
      <c r="G99" t="inlineStr">
        <is>
          <t>DOROTEA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45720</v>
      </c>
      <c r="E100" s="1" t="n">
        <v>46284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8852-2024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45356</v>
      </c>
      <c r="E101" s="1" t="n">
        <v>46284</v>
      </c>
      <c r="F101" t="inlineStr">
        <is>
          <t>VÄSTERBOTTENS LÄN</t>
        </is>
      </c>
      <c r="G101" t="inlineStr">
        <is>
          <t>DOROTEA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27305-2024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45471</v>
      </c>
      <c r="E102" s="1" t="n">
        <v>46284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44742</v>
      </c>
      <c r="E103" s="1" t="n">
        <v>46284</v>
      </c>
      <c r="F103" t="inlineStr">
        <is>
          <t>VÄSTERBOTTENS LÄN</t>
        </is>
      </c>
      <c r="G103" t="inlineStr">
        <is>
          <t>DOROTEA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45331</v>
      </c>
      <c r="E104" s="1" t="n">
        <v>46284</v>
      </c>
      <c r="F104" t="inlineStr">
        <is>
          <t>VÄSTERBOTTENS LÄN</t>
        </is>
      </c>
      <c r="G104" t="inlineStr">
        <is>
          <t>DOROTEA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45705</v>
      </c>
      <c r="E105" s="1" t="n">
        <v>46284</v>
      </c>
      <c r="F105" t="inlineStr">
        <is>
          <t>VÄSTERBOTTENS LÄN</t>
        </is>
      </c>
      <c r="G105" t="inlineStr">
        <is>
          <t>DOROTEA</t>
        </is>
      </c>
      <c r="I105" t="n">
        <v>13.3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44889</v>
      </c>
      <c r="E106" s="1" t="n">
        <v>46284</v>
      </c>
      <c r="F106" t="inlineStr">
        <is>
          <t>VÄSTERBOTTENS LÄN</t>
        </is>
      </c>
      <c r="G106" t="inlineStr">
        <is>
          <t>DOROTEA</t>
        </is>
      </c>
      <c r="I106" t="n">
        <v>15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20390-2026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46139</v>
      </c>
      <c r="E107" s="1" t="n">
        <v>46284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45351</v>
      </c>
      <c r="E108" s="1" t="n">
        <v>46284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20332-2026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46284</v>
      </c>
      <c r="F109" t="inlineStr">
        <is>
          <t>VÄSTERBOTTENS LÄN</t>
        </is>
      </c>
      <c r="G109" t="inlineStr">
        <is>
          <t>DOROTEA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46284</v>
      </c>
      <c r="F110" t="inlineStr">
        <is>
          <t>VÄSTERBOTTENS LÄN</t>
        </is>
      </c>
      <c r="G110" t="inlineStr">
        <is>
          <t>DOROTEA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45140</v>
      </c>
      <c r="E111" s="1" t="n">
        <v>46284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45891</v>
      </c>
      <c r="E112" s="1" t="n">
        <v>46284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46010</v>
      </c>
      <c r="E113" s="1" t="n">
        <v>46284</v>
      </c>
      <c r="F113" t="inlineStr">
        <is>
          <t>VÄSTERBOTTENS LÄN</t>
        </is>
      </c>
      <c r="G113" t="inlineStr">
        <is>
          <t>DOROTEA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45893</v>
      </c>
      <c r="E114" s="1" t="n">
        <v>46284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10.3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45142</v>
      </c>
      <c r="E115" s="1" t="n">
        <v>46284</v>
      </c>
      <c r="F115" t="inlineStr">
        <is>
          <t>VÄSTERBOTTENS LÄN</t>
        </is>
      </c>
      <c r="G115" t="inlineStr">
        <is>
          <t>DOROTEA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46284</v>
      </c>
      <c r="F116" t="inlineStr">
        <is>
          <t>VÄSTERBOTTENS LÄN</t>
        </is>
      </c>
      <c r="G116" t="inlineStr">
        <is>
          <t>DOROTEA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59329-2025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46284</v>
      </c>
      <c r="F117" t="inlineStr">
        <is>
          <t>VÄSTERBOTTENS LÄN</t>
        </is>
      </c>
      <c r="G117" t="inlineStr">
        <is>
          <t>DOROTEA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45855</v>
      </c>
      <c r="E118" s="1" t="n">
        <v>46284</v>
      </c>
      <c r="F118" t="inlineStr">
        <is>
          <t>VÄSTERBOTTENS LÄN</t>
        </is>
      </c>
      <c r="G118" t="inlineStr">
        <is>
          <t>DOROTEA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45898</v>
      </c>
      <c r="E119" s="1" t="n">
        <v>46284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45483</v>
      </c>
      <c r="E120" s="1" t="n">
        <v>46284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45757</v>
      </c>
      <c r="E121" s="1" t="n">
        <v>46284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46284</v>
      </c>
      <c r="F122" t="inlineStr">
        <is>
          <t>VÄSTERBOTTENS LÄN</t>
        </is>
      </c>
      <c r="G122" t="inlineStr">
        <is>
          <t>DOROTEA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45903</v>
      </c>
      <c r="E123" s="1" t="n">
        <v>46284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46284</v>
      </c>
      <c r="F124" t="inlineStr">
        <is>
          <t>VÄSTERBOTTENS LÄN</t>
        </is>
      </c>
      <c r="G124" t="inlineStr">
        <is>
          <t>DOROTEA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53092-2024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45611</v>
      </c>
      <c r="E125" s="1" t="n">
        <v>46284</v>
      </c>
      <c r="F125" t="inlineStr">
        <is>
          <t>VÄSTERBOTTENS LÄN</t>
        </is>
      </c>
      <c r="G125" t="inlineStr">
        <is>
          <t>DOROTEA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46284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46284</v>
      </c>
      <c r="F127" t="inlineStr">
        <is>
          <t>VÄSTERBOTTENS LÄN</t>
        </is>
      </c>
      <c r="G127" t="inlineStr">
        <is>
          <t>DOROTEA</t>
        </is>
      </c>
      <c r="H127" t="inlineStr">
        <is>
          <t>Övriga Aktiebolag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20286-2026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46136</v>
      </c>
      <c r="E128" s="1" t="n">
        <v>46284</v>
      </c>
      <c r="F128" t="inlineStr">
        <is>
          <t>VÄSTERBOTTENS LÄN</t>
        </is>
      </c>
      <c r="G128" t="inlineStr">
        <is>
          <t>DOROTEA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45295</v>
      </c>
      <c r="E129" s="1" t="n">
        <v>46284</v>
      </c>
      <c r="F129" t="inlineStr">
        <is>
          <t>VÄSTERBOTTENS LÄN</t>
        </is>
      </c>
      <c r="G129" t="inlineStr">
        <is>
          <t>DOROTEA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46284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37282-2025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45876</v>
      </c>
      <c r="E131" s="1" t="n">
        <v>46284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44974</v>
      </c>
      <c r="E132" s="1" t="n">
        <v>46284</v>
      </c>
      <c r="F132" t="inlineStr">
        <is>
          <t>VÄSTERBOTTENS LÄN</t>
        </is>
      </c>
      <c r="G132" t="inlineStr">
        <is>
          <t>DOROTEA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46284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46284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20290-2026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46136</v>
      </c>
      <c r="E135" s="1" t="n">
        <v>46284</v>
      </c>
      <c r="F135" t="inlineStr">
        <is>
          <t>VÄSTERBOTTENS LÄN</t>
        </is>
      </c>
      <c r="G135" t="inlineStr">
        <is>
          <t>DOROTEA</t>
        </is>
      </c>
      <c r="I135" t="n">
        <v>17.8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20754-2026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46284</v>
      </c>
      <c r="F136" t="inlineStr">
        <is>
          <t>VÄSTERBOTTENS LÄN</t>
        </is>
      </c>
      <c r="G136" t="inlineStr">
        <is>
          <t>DOROTEA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44194-2025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45915</v>
      </c>
      <c r="E137" s="1" t="n">
        <v>46284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8.4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46284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46284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11.1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46140</v>
      </c>
      <c r="E140" s="1" t="n">
        <v>46284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19657-2025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45770</v>
      </c>
      <c r="E141" s="1" t="n">
        <v>46284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46284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44282-2025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45916</v>
      </c>
      <c r="E143" s="1" t="n">
        <v>46284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46284</v>
      </c>
      <c r="F144" t="inlineStr">
        <is>
          <t>VÄSTERBOTTENS LÄN</t>
        </is>
      </c>
      <c r="G144" t="inlineStr">
        <is>
          <t>DOROTEA</t>
        </is>
      </c>
      <c r="H144" t="inlineStr">
        <is>
          <t>Övriga statliga verk och myndigheter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46284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46284</v>
      </c>
      <c r="F146" t="inlineStr">
        <is>
          <t>VÄSTERBOTTENS LÄN</t>
        </is>
      </c>
      <c r="G146" t="inlineStr">
        <is>
          <t>DOROTEA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44784-2025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46284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7.7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45614</v>
      </c>
      <c r="E148" s="1" t="n">
        <v>46284</v>
      </c>
      <c r="F148" t="inlineStr">
        <is>
          <t>VÄSTERBOTTENS LÄN</t>
        </is>
      </c>
      <c r="G148" t="inlineStr">
        <is>
          <t>DOROTEA</t>
        </is>
      </c>
      <c r="I148" t="n">
        <v>31.7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63575-2025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46284</v>
      </c>
      <c r="F149" t="inlineStr">
        <is>
          <t>VÄSTERBOTTENS LÄN</t>
        </is>
      </c>
      <c r="G149" t="inlineStr">
        <is>
          <t>DOROTEA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46284</v>
      </c>
      <c r="F150" t="inlineStr">
        <is>
          <t>VÄSTERBOTTENS LÄN</t>
        </is>
      </c>
      <c r="G150" t="inlineStr">
        <is>
          <t>DOROTEA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46284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45845</v>
      </c>
      <c r="E152" s="1" t="n">
        <v>46284</v>
      </c>
      <c r="F152" t="inlineStr">
        <is>
          <t>VÄSTERBOTTENS LÄN</t>
        </is>
      </c>
      <c r="G152" t="inlineStr">
        <is>
          <t>DOROTEA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45672</v>
      </c>
      <c r="E153" s="1" t="n">
        <v>46284</v>
      </c>
      <c r="F153" t="inlineStr">
        <is>
          <t>VÄSTERBOTTENS LÄN</t>
        </is>
      </c>
      <c r="G153" t="inlineStr">
        <is>
          <t>DOROTEA</t>
        </is>
      </c>
      <c r="H153" t="inlineStr">
        <is>
          <t>Kommuner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46284</v>
      </c>
      <c r="F154" t="inlineStr">
        <is>
          <t>VÄSTERBOTTENS LÄN</t>
        </is>
      </c>
      <c r="G154" t="inlineStr">
        <is>
          <t>DOROTEA</t>
        </is>
      </c>
      <c r="I154" t="n">
        <v>28.8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20231-2026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46284</v>
      </c>
      <c r="F155" t="inlineStr">
        <is>
          <t>VÄSTERBOTTENS LÄN</t>
        </is>
      </c>
      <c r="G155" t="inlineStr">
        <is>
          <t>DOROTEA</t>
        </is>
      </c>
      <c r="I155" t="n">
        <v>21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60162-2024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46284</v>
      </c>
      <c r="F156" t="inlineStr">
        <is>
          <t>VÄSTERBOTTENS LÄN</t>
        </is>
      </c>
      <c r="G156" t="inlineStr">
        <is>
          <t>DOROTEA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45678</v>
      </c>
      <c r="E157" s="1" t="n">
        <v>46284</v>
      </c>
      <c r="F157" t="inlineStr">
        <is>
          <t>VÄSTERBOTTENS LÄN</t>
        </is>
      </c>
      <c r="G157" t="inlineStr">
        <is>
          <t>DOROTEA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45866</v>
      </c>
      <c r="E158" s="1" t="n">
        <v>46284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7429-2023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44971</v>
      </c>
      <c r="E159" s="1" t="n">
        <v>46284</v>
      </c>
      <c r="F159" t="inlineStr">
        <is>
          <t>VÄSTERBOTTENS LÄN</t>
        </is>
      </c>
      <c r="G159" t="inlineStr">
        <is>
          <t>DOROTEA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46284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46284</v>
      </c>
      <c r="F161" t="inlineStr">
        <is>
          <t>VÄSTERBOTTENS LÄN</t>
        </is>
      </c>
      <c r="G161" t="inlineStr">
        <is>
          <t>DOROTEA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46284</v>
      </c>
      <c r="F162" t="inlineStr">
        <is>
          <t>VÄSTERBOTTENS LÄN</t>
        </is>
      </c>
      <c r="G162" t="inlineStr">
        <is>
          <t>DOROTEA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48510-2025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46284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46146</v>
      </c>
      <c r="E164" s="1" t="n">
        <v>46284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44925</v>
      </c>
      <c r="E165" s="1" t="n">
        <v>46284</v>
      </c>
      <c r="F165" t="inlineStr">
        <is>
          <t>VÄSTERBOTTENS LÄN</t>
        </is>
      </c>
      <c r="G165" t="inlineStr">
        <is>
          <t>DOROTEA</t>
        </is>
      </c>
      <c r="I165" t="n">
        <v>22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46147</v>
      </c>
      <c r="E166" s="1" t="n">
        <v>46284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45938</v>
      </c>
      <c r="E167" s="1" t="n">
        <v>46284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49054-2025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45937</v>
      </c>
      <c r="E168" s="1" t="n">
        <v>46284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21199-2026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46284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46147</v>
      </c>
      <c r="E170" s="1" t="n">
        <v>46284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45069</v>
      </c>
      <c r="E171" s="1" t="n">
        <v>46284</v>
      </c>
      <c r="F171" t="inlineStr">
        <is>
          <t>VÄSTERBOTTENS LÄN</t>
        </is>
      </c>
      <c r="G171" t="inlineStr">
        <is>
          <t>DOROTEA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45614</v>
      </c>
      <c r="E172" s="1" t="n">
        <v>46284</v>
      </c>
      <c r="F172" t="inlineStr">
        <is>
          <t>VÄSTERBOTTENS LÄN</t>
        </is>
      </c>
      <c r="G172" t="inlineStr">
        <is>
          <t>DOROTEA</t>
        </is>
      </c>
      <c r="I172" t="n">
        <v>26.5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27777-2026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46284</v>
      </c>
      <c r="F173" t="inlineStr">
        <is>
          <t>VÄSTERBOTTENS LÄN</t>
        </is>
      </c>
      <c r="G173" t="inlineStr">
        <is>
          <t>DOROTEA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46189</v>
      </c>
      <c r="E174" s="1" t="n">
        <v>46284</v>
      </c>
      <c r="F174" t="inlineStr">
        <is>
          <t>VÄSTERBOTTENS LÄN</t>
        </is>
      </c>
      <c r="G174" t="inlineStr">
        <is>
          <t>DOROTEA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60163-2024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45642</v>
      </c>
      <c r="E175" s="1" t="n">
        <v>46284</v>
      </c>
      <c r="F175" t="inlineStr">
        <is>
          <t>VÄSTERBOTTENS LÄN</t>
        </is>
      </c>
      <c r="G175" t="inlineStr">
        <is>
          <t>DOROTEA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46189</v>
      </c>
      <c r="E176" s="1" t="n">
        <v>46284</v>
      </c>
      <c r="F176" t="inlineStr">
        <is>
          <t>VÄSTERBOTTENS LÄN</t>
        </is>
      </c>
      <c r="G176" t="inlineStr">
        <is>
          <t>DOROTEA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45539</v>
      </c>
      <c r="E177" s="1" t="n">
        <v>46284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12.3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45224</v>
      </c>
      <c r="E178" s="1" t="n">
        <v>46284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9030-2025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46284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46284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45463</v>
      </c>
      <c r="E181" s="1" t="n">
        <v>46284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21749-2026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46149</v>
      </c>
      <c r="E182" s="1" t="n">
        <v>46284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46284</v>
      </c>
      <c r="F183" t="inlineStr">
        <is>
          <t>VÄSTERBOTTENS LÄN</t>
        </is>
      </c>
      <c r="G183" t="inlineStr">
        <is>
          <t>DOROTEA</t>
        </is>
      </c>
      <c r="I183" t="n">
        <v>10.3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52276-2023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45217</v>
      </c>
      <c r="E184" s="1" t="n">
        <v>46284</v>
      </c>
      <c r="F184" t="inlineStr">
        <is>
          <t>VÄSTERBOTTENS LÄN</t>
        </is>
      </c>
      <c r="G184" t="inlineStr">
        <is>
          <t>DOROTEA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46284</v>
      </c>
      <c r="F185" t="inlineStr">
        <is>
          <t>VÄSTERBOTTENS LÄN</t>
        </is>
      </c>
      <c r="G185" t="inlineStr">
        <is>
          <t>DOROTEA</t>
        </is>
      </c>
      <c r="I185" t="n">
        <v>14.8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44956</v>
      </c>
      <c r="E186" s="1" t="n">
        <v>46284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46284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12.8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46153</v>
      </c>
      <c r="E188" s="1" t="n">
        <v>46284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46284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53409-2025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45959</v>
      </c>
      <c r="E190" s="1" t="n">
        <v>46284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46284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46153</v>
      </c>
      <c r="E192" s="1" t="n">
        <v>46284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46284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22650-2026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46155</v>
      </c>
      <c r="E194" s="1" t="n">
        <v>46284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45561</v>
      </c>
      <c r="E195" s="1" t="n">
        <v>46284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45642</v>
      </c>
      <c r="E196" s="1" t="n">
        <v>46284</v>
      </c>
      <c r="F196" t="inlineStr">
        <is>
          <t>VÄSTERBOTTENS LÄN</t>
        </is>
      </c>
      <c r="G196" t="inlineStr">
        <is>
          <t>DOROTEA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60169-2024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45642</v>
      </c>
      <c r="E197" s="1" t="n">
        <v>46284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46284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45966</v>
      </c>
      <c r="E199" s="1" t="n">
        <v>46284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45975</v>
      </c>
      <c r="E200" s="1" t="n">
        <v>46284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45975</v>
      </c>
      <c r="E201" s="1" t="n">
        <v>46284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45977</v>
      </c>
      <c r="E202" s="1" t="n">
        <v>46284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44568</v>
      </c>
      <c r="E203" s="1" t="n">
        <v>46284</v>
      </c>
      <c r="F203" t="inlineStr">
        <is>
          <t>VÄSTERBOTTENS LÄN</t>
        </is>
      </c>
      <c r="G203" t="inlineStr">
        <is>
          <t>DOROTEA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46284</v>
      </c>
      <c r="F204" t="inlineStr">
        <is>
          <t>VÄSTERBOTTENS LÄN</t>
        </is>
      </c>
      <c r="G204" t="inlineStr">
        <is>
          <t>DOROTEA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45729</v>
      </c>
      <c r="E205" s="1" t="n">
        <v>46284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45978</v>
      </c>
      <c r="E206" s="1" t="n">
        <v>46284</v>
      </c>
      <c r="F206" t="inlineStr">
        <is>
          <t>VÄSTERBOTTENS LÄN</t>
        </is>
      </c>
      <c r="G206" t="inlineStr">
        <is>
          <t>DOROTEA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44888</v>
      </c>
      <c r="E207" s="1" t="n">
        <v>46284</v>
      </c>
      <c r="F207" t="inlineStr">
        <is>
          <t>VÄSTERBOTTENS LÄN</t>
        </is>
      </c>
      <c r="G207" t="inlineStr">
        <is>
          <t>DOROTEA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46284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46284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46284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46284</v>
      </c>
      <c r="F211" t="inlineStr">
        <is>
          <t>VÄSTERBOTTENS LÄN</t>
        </is>
      </c>
      <c r="G211" t="inlineStr">
        <is>
          <t>DOROTEA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46284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45982</v>
      </c>
      <c r="E213" s="1" t="n">
        <v>46284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44960</v>
      </c>
      <c r="E214" s="1" t="n">
        <v>46284</v>
      </c>
      <c r="F214" t="inlineStr">
        <is>
          <t>VÄSTERBOTTENS LÄN</t>
        </is>
      </c>
      <c r="G214" t="inlineStr">
        <is>
          <t>DOROTEA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45982</v>
      </c>
      <c r="E215" s="1" t="n">
        <v>46284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18.2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46284</v>
      </c>
      <c r="F216" t="inlineStr">
        <is>
          <t>VÄSTERBOTTENS LÄN</t>
        </is>
      </c>
      <c r="G216" t="inlineStr">
        <is>
          <t>DOROTEA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45882</v>
      </c>
      <c r="E217" s="1" t="n">
        <v>46284</v>
      </c>
      <c r="F217" t="inlineStr">
        <is>
          <t>VÄSTERBOTTENS LÄN</t>
        </is>
      </c>
      <c r="G217" t="inlineStr">
        <is>
          <t>DOROTEA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15735-2026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46107</v>
      </c>
      <c r="E218" s="1" t="n">
        <v>46284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38377-2023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45161</v>
      </c>
      <c r="E219" s="1" t="n">
        <v>46284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45988</v>
      </c>
      <c r="E220" s="1" t="n">
        <v>46284</v>
      </c>
      <c r="F220" t="inlineStr">
        <is>
          <t>VÄSTERBOTTENS LÄN</t>
        </is>
      </c>
      <c r="G220" t="inlineStr">
        <is>
          <t>DOROTEA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46284</v>
      </c>
      <c r="F221" t="inlineStr">
        <is>
          <t>VÄSTERBOTTENS LÄN</t>
        </is>
      </c>
      <c r="G221" t="inlineStr">
        <is>
          <t>DOROTEA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45505</v>
      </c>
      <c r="E222" s="1" t="n">
        <v>46284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46284</v>
      </c>
      <c r="F223" t="inlineStr">
        <is>
          <t>VÄSTERBOTTENS LÄN</t>
        </is>
      </c>
      <c r="G223" t="inlineStr">
        <is>
          <t>DOROTEA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32821-2024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45516</v>
      </c>
      <c r="E224" s="1" t="n">
        <v>46284</v>
      </c>
      <c r="F224" t="inlineStr">
        <is>
          <t>VÄSTERBOTTENS LÄN</t>
        </is>
      </c>
      <c r="G224" t="inlineStr">
        <is>
          <t>DOROTEA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44980</v>
      </c>
      <c r="E225" s="1" t="n">
        <v>46284</v>
      </c>
      <c r="F225" t="inlineStr">
        <is>
          <t>VÄSTERBOTTENS LÄN</t>
        </is>
      </c>
      <c r="G225" t="inlineStr">
        <is>
          <t>DOROTEA</t>
        </is>
      </c>
      <c r="I225" t="n">
        <v>18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45475</v>
      </c>
      <c r="E226" s="1" t="n">
        <v>46284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46160</v>
      </c>
      <c r="E227" s="1" t="n">
        <v>46284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45448</v>
      </c>
      <c r="E228" s="1" t="n">
        <v>46284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30461-2024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45491</v>
      </c>
      <c r="E229" s="1" t="n">
        <v>46284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45071</v>
      </c>
      <c r="E230" s="1" t="n">
        <v>46284</v>
      </c>
      <c r="F230" t="inlineStr">
        <is>
          <t>VÄSTERBOTTENS LÄN</t>
        </is>
      </c>
      <c r="G230" t="inlineStr">
        <is>
          <t>DOROTEA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54031-2025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45962</v>
      </c>
      <c r="E231" s="1" t="n">
        <v>46284</v>
      </c>
      <c r="F231" t="inlineStr">
        <is>
          <t>VÄSTERBOTTENS LÄN</t>
        </is>
      </c>
      <c r="G231" t="inlineStr">
        <is>
          <t>DOROTEA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46162</v>
      </c>
      <c r="E232" s="1" t="n">
        <v>46284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14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46284</v>
      </c>
      <c r="F233" t="inlineStr">
        <is>
          <t>VÄSTERBOTTENS LÄN</t>
        </is>
      </c>
      <c r="G233" t="inlineStr">
        <is>
          <t>DOROTEA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15057-2024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45399</v>
      </c>
      <c r="E234" s="1" t="n">
        <v>46284</v>
      </c>
      <c r="F234" t="inlineStr">
        <is>
          <t>VÄSTERBOTTENS LÄN</t>
        </is>
      </c>
      <c r="G234" t="inlineStr">
        <is>
          <t>DOROTEA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44889</v>
      </c>
      <c r="E235" s="1" t="n">
        <v>46284</v>
      </c>
      <c r="F235" t="inlineStr">
        <is>
          <t>VÄSTERBOTTENS LÄN</t>
        </is>
      </c>
      <c r="G235" t="inlineStr">
        <is>
          <t>DOROTEA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35937-2025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45862</v>
      </c>
      <c r="E236" s="1" t="n">
        <v>46284</v>
      </c>
      <c r="F236" t="inlineStr">
        <is>
          <t>VÄSTERBOTTENS LÄN</t>
        </is>
      </c>
      <c r="G236" t="inlineStr">
        <is>
          <t>DOROTEA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67686-2021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44524</v>
      </c>
      <c r="E237" s="1" t="n">
        <v>46284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45996</v>
      </c>
      <c r="E238" s="1" t="n">
        <v>46284</v>
      </c>
      <c r="F238" t="inlineStr">
        <is>
          <t>VÄSTERBOTTENS LÄN</t>
        </is>
      </c>
      <c r="G238" t="inlineStr">
        <is>
          <t>DOROTEA</t>
        </is>
      </c>
      <c r="I238" t="n">
        <v>23.9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23336-2026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46162</v>
      </c>
      <c r="E239" s="1" t="n">
        <v>46284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23324-2026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46162</v>
      </c>
      <c r="E240" s="1" t="n">
        <v>46284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50582-2024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45600</v>
      </c>
      <c r="E241" s="1" t="n">
        <v>46284</v>
      </c>
      <c r="F241" t="inlineStr">
        <is>
          <t>VÄSTERBOTTENS LÄN</t>
        </is>
      </c>
      <c r="G241" t="inlineStr">
        <is>
          <t>DOROTEA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46284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62193-2025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46003</v>
      </c>
      <c r="E243" s="1" t="n">
        <v>46284</v>
      </c>
      <c r="F243" t="inlineStr">
        <is>
          <t>VÄSTERBOTTENS LÄN</t>
        </is>
      </c>
      <c r="G243" t="inlineStr">
        <is>
          <t>DOROTEA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46284</v>
      </c>
      <c r="F244" t="inlineStr">
        <is>
          <t>VÄSTERBOTTENS LÄN</t>
        </is>
      </c>
      <c r="G244" t="inlineStr">
        <is>
          <t>DOROTEA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46284</v>
      </c>
      <c r="F245" t="inlineStr">
        <is>
          <t>VÄSTERBOTTENS LÄN</t>
        </is>
      </c>
      <c r="G245" t="inlineStr">
        <is>
          <t>DOROTEA</t>
        </is>
      </c>
      <c r="I245" t="n">
        <v>16.7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46284</v>
      </c>
      <c r="F246" t="inlineStr">
        <is>
          <t>VÄSTERBOTTENS LÄN</t>
        </is>
      </c>
      <c r="G246" t="inlineStr">
        <is>
          <t>DOROTEA</t>
        </is>
      </c>
      <c r="I246" t="n">
        <v>13.2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45755</v>
      </c>
      <c r="E247" s="1" t="n">
        <v>46284</v>
      </c>
      <c r="F247" t="inlineStr">
        <is>
          <t>VÄSTERBOTTENS LÄN</t>
        </is>
      </c>
      <c r="G247" t="inlineStr">
        <is>
          <t>DOROTEA</t>
        </is>
      </c>
      <c r="I247" t="n">
        <v>7.6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46284</v>
      </c>
      <c r="F248" t="inlineStr">
        <is>
          <t>VÄSTERBOTTENS LÄN</t>
        </is>
      </c>
      <c r="G248" t="inlineStr">
        <is>
          <t>DOROTEA</t>
        </is>
      </c>
      <c r="I248" t="n">
        <v>12.3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39721-2024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45552</v>
      </c>
      <c r="E249" s="1" t="n">
        <v>46284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62974-2025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46284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9.4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45539</v>
      </c>
      <c r="E251" s="1" t="n">
        <v>46284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8.199999999999999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36137-2023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45149</v>
      </c>
      <c r="E252" s="1" t="n">
        <v>46284</v>
      </c>
      <c r="F252" t="inlineStr">
        <is>
          <t>VÄSTERBOTTENS LÄN</t>
        </is>
      </c>
      <c r="G252" t="inlineStr">
        <is>
          <t>DOROTEA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44979</v>
      </c>
      <c r="E253" s="1" t="n">
        <v>46284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9.4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63939-2025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46284</v>
      </c>
      <c r="F254" t="inlineStr">
        <is>
          <t>VÄSTERBOTTENS LÄN</t>
        </is>
      </c>
      <c r="G254" t="inlineStr">
        <is>
          <t>DOROTEA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30456-2022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44761</v>
      </c>
      <c r="E255" s="1" t="n">
        <v>46284</v>
      </c>
      <c r="F255" t="inlineStr">
        <is>
          <t>VÄSTERBOTTENS LÄN</t>
        </is>
      </c>
      <c r="G255" t="inlineStr">
        <is>
          <t>DOROTEA</t>
        </is>
      </c>
      <c r="I255" t="n">
        <v>10.6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63745-2025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46017</v>
      </c>
      <c r="E256" s="1" t="n">
        <v>46284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17776-2023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46284</v>
      </c>
      <c r="F257" t="inlineStr">
        <is>
          <t>VÄSTERBOTTENS LÄN</t>
        </is>
      </c>
      <c r="G257" t="inlineStr">
        <is>
          <t>DOROTEA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45520</v>
      </c>
      <c r="E258" s="1" t="n">
        <v>46284</v>
      </c>
      <c r="F258" t="inlineStr">
        <is>
          <t>VÄSTERBOTTENS LÄN</t>
        </is>
      </c>
      <c r="G258" t="inlineStr">
        <is>
          <t>DOROTEA</t>
        </is>
      </c>
      <c r="I258" t="n">
        <v>11.1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14163-2024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45392</v>
      </c>
      <c r="E259" s="1" t="n">
        <v>46284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23213-2022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44719</v>
      </c>
      <c r="E260" s="1" t="n">
        <v>46284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46284</v>
      </c>
      <c r="F261" t="inlineStr">
        <is>
          <t>VÄSTERBOTTENS LÄN</t>
        </is>
      </c>
      <c r="G261" t="inlineStr">
        <is>
          <t>DOROTEA</t>
        </is>
      </c>
      <c r="I261" t="n">
        <v>18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40435-2023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45169</v>
      </c>
      <c r="E262" s="1" t="n">
        <v>46284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46174</v>
      </c>
      <c r="E263" s="1" t="n">
        <v>46284</v>
      </c>
      <c r="F263" t="inlineStr">
        <is>
          <t>VÄSTERBOTTENS LÄN</t>
        </is>
      </c>
      <c r="G263" t="inlineStr">
        <is>
          <t>DOROTEA</t>
        </is>
      </c>
      <c r="I263" t="n">
        <v>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9103-2023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44979</v>
      </c>
      <c r="E264" s="1" t="n">
        <v>46284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2146-2026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46284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40434-2023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45169</v>
      </c>
      <c r="E266" s="1" t="n">
        <v>46284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4958-2023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44956</v>
      </c>
      <c r="E267" s="1" t="n">
        <v>46284</v>
      </c>
      <c r="F267" t="inlineStr">
        <is>
          <t>VÄSTERBOTTENS LÄN</t>
        </is>
      </c>
      <c r="G267" t="inlineStr">
        <is>
          <t>DOROTEA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41353-2022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44824</v>
      </c>
      <c r="E268" s="1" t="n">
        <v>46284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46284</v>
      </c>
      <c r="F269" t="inlineStr">
        <is>
          <t>VÄSTERBOTTENS LÄN</t>
        </is>
      </c>
      <c r="G269" t="inlineStr">
        <is>
          <t>DOROTEA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46284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46174</v>
      </c>
      <c r="E271" s="1" t="n">
        <v>46284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46043</v>
      </c>
      <c r="E272" s="1" t="n">
        <v>46284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3559-2026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46284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12.9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60304-2022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44910</v>
      </c>
      <c r="E274" s="1" t="n">
        <v>46284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27199-2024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45471</v>
      </c>
      <c r="E275" s="1" t="n">
        <v>46284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39471-2024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45551</v>
      </c>
      <c r="E276" s="1" t="n">
        <v>46284</v>
      </c>
      <c r="F276" t="inlineStr">
        <is>
          <t>VÄSTERBOTTENS LÄN</t>
        </is>
      </c>
      <c r="G276" t="inlineStr">
        <is>
          <t>DOROTEA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45055</v>
      </c>
      <c r="E277" s="1" t="n">
        <v>46284</v>
      </c>
      <c r="F277" t="inlineStr">
        <is>
          <t>VÄSTERBOTTENS LÄN</t>
        </is>
      </c>
      <c r="G277" t="inlineStr">
        <is>
          <t>DOROTEA</t>
        </is>
      </c>
      <c r="H277" t="inlineStr">
        <is>
          <t>Övriga statliga verk och myndigheter</t>
        </is>
      </c>
      <c r="I277" t="n">
        <v>13.9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46042</v>
      </c>
      <c r="E278" s="1" t="n">
        <v>46284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46284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46284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46284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63885-2025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46010</v>
      </c>
      <c r="E282" s="1" t="n">
        <v>46284</v>
      </c>
      <c r="F282" t="inlineStr">
        <is>
          <t>VÄSTERBOTTENS LÄN</t>
        </is>
      </c>
      <c r="G282" t="inlineStr">
        <is>
          <t>DOROTEA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45315</v>
      </c>
      <c r="E283" s="1" t="n">
        <v>46284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46284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46284</v>
      </c>
      <c r="F285" t="inlineStr">
        <is>
          <t>VÄSTERBOTTENS LÄN</t>
        </is>
      </c>
      <c r="G285" t="inlineStr">
        <is>
          <t>DOROTEA</t>
        </is>
      </c>
      <c r="I285" t="n">
        <v>11.8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46051</v>
      </c>
      <c r="E286" s="1" t="n">
        <v>46284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46051</v>
      </c>
      <c r="E287" s="1" t="n">
        <v>46284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25361-2026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46176</v>
      </c>
      <c r="E288" s="1" t="n">
        <v>46284</v>
      </c>
      <c r="F288" t="inlineStr">
        <is>
          <t>VÄSTERBOTTENS LÄN</t>
        </is>
      </c>
      <c r="G288" t="inlineStr">
        <is>
          <t>DOROTEA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19726-2025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45771</v>
      </c>
      <c r="E289" s="1" t="n">
        <v>46284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6381-2026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46055</v>
      </c>
      <c r="E290" s="1" t="n">
        <v>46284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46284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46054</v>
      </c>
      <c r="E292" s="1" t="n">
        <v>46284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44958</v>
      </c>
      <c r="E293" s="1" t="n">
        <v>46284</v>
      </c>
      <c r="F293" t="inlineStr">
        <is>
          <t>VÄSTERBOTTENS LÄN</t>
        </is>
      </c>
      <c r="G293" t="inlineStr">
        <is>
          <t>DOROTEA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46284</v>
      </c>
      <c r="F294" t="inlineStr">
        <is>
          <t>VÄSTERBOTTENS LÄN</t>
        </is>
      </c>
      <c r="G294" t="inlineStr">
        <is>
          <t>DOROTEA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74013-2021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44557</v>
      </c>
      <c r="E295" s="1" t="n">
        <v>46284</v>
      </c>
      <c r="F295" t="inlineStr">
        <is>
          <t>VÄSTERBOTTENS LÄN</t>
        </is>
      </c>
      <c r="G295" t="inlineStr">
        <is>
          <t>DOROTEA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14255-2026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46099</v>
      </c>
      <c r="E296" s="1" t="n">
        <v>46284</v>
      </c>
      <c r="F296" t="inlineStr">
        <is>
          <t>VÄSTERBOTTENS LÄN</t>
        </is>
      </c>
      <c r="G296" t="inlineStr">
        <is>
          <t>DOROTEA</t>
        </is>
      </c>
      <c r="I296" t="n">
        <v>26.2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46284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7713-2026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46059</v>
      </c>
      <c r="E298" s="1" t="n">
        <v>46284</v>
      </c>
      <c r="F298" t="inlineStr">
        <is>
          <t>VÄSTERBOTTENS LÄN</t>
        </is>
      </c>
      <c r="G298" t="inlineStr">
        <is>
          <t>DOROTEA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7963-2026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46284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42484-2024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45565</v>
      </c>
      <c r="E300" s="1" t="n">
        <v>46284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55919-2023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45239</v>
      </c>
      <c r="E301" s="1" t="n">
        <v>46284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46284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46182</v>
      </c>
      <c r="E303" s="1" t="n">
        <v>46284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26255-2026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46182</v>
      </c>
      <c r="E304" s="1" t="n">
        <v>46284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46072</v>
      </c>
      <c r="E305" s="1" t="n">
        <v>46284</v>
      </c>
      <c r="F305" t="inlineStr">
        <is>
          <t>VÄSTERBOTTENS LÄN</t>
        </is>
      </c>
      <c r="G305" t="inlineStr">
        <is>
          <t>DOROTEA</t>
        </is>
      </c>
      <c r="I305" t="n">
        <v>20.1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45562</v>
      </c>
      <c r="E306" s="1" t="n">
        <v>46284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52144-2023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45223</v>
      </c>
      <c r="E307" s="1" t="n">
        <v>46284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46284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46085</v>
      </c>
      <c r="E309" s="1" t="n">
        <v>46284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47494-2023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45202</v>
      </c>
      <c r="E310" s="1" t="n">
        <v>46284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22942-2024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45448</v>
      </c>
      <c r="E311" s="1" t="n">
        <v>46284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17783-2023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45036</v>
      </c>
      <c r="E312" s="1" t="n">
        <v>46284</v>
      </c>
      <c r="F312" t="inlineStr">
        <is>
          <t>VÄSTERBOTTENS LÄN</t>
        </is>
      </c>
      <c r="G312" t="inlineStr">
        <is>
          <t>DOROTEA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46185</v>
      </c>
      <c r="E313" s="1" t="n">
        <v>46284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45565</v>
      </c>
      <c r="E314" s="1" t="n">
        <v>46284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45852</v>
      </c>
      <c r="E315" s="1" t="n">
        <v>46284</v>
      </c>
      <c r="F315" t="inlineStr">
        <is>
          <t>VÄSTERBOTTENS LÄN</t>
        </is>
      </c>
      <c r="G315" t="inlineStr">
        <is>
          <t>DOROTEA</t>
        </is>
      </c>
      <c r="H315" t="inlineStr">
        <is>
          <t>Allmännings- och besparingsskogar</t>
        </is>
      </c>
      <c r="I315" t="n">
        <v>22.1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45852</v>
      </c>
      <c r="E316" s="1" t="n">
        <v>46284</v>
      </c>
      <c r="F316" t="inlineStr">
        <is>
          <t>VÄSTERBOTTENS LÄN</t>
        </is>
      </c>
      <c r="G316" t="inlineStr">
        <is>
          <t>DOROTEA</t>
        </is>
      </c>
      <c r="H316" t="inlineStr">
        <is>
          <t>Allmännings- och besparingsskogar</t>
        </is>
      </c>
      <c r="I316" t="n">
        <v>20.3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45755</v>
      </c>
      <c r="E317" s="1" t="n">
        <v>46284</v>
      </c>
      <c r="F317" t="inlineStr">
        <is>
          <t>VÄSTERBOTTENS LÄN</t>
        </is>
      </c>
      <c r="G317" t="inlineStr">
        <is>
          <t>DOROTEA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46284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57070-2023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45244</v>
      </c>
      <c r="E319" s="1" t="n">
        <v>46284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59007-2024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45636</v>
      </c>
      <c r="E320" s="1" t="n">
        <v>46284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22944-2024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45448</v>
      </c>
      <c r="E321" s="1" t="n">
        <v>46284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27738-2026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46191</v>
      </c>
      <c r="E322" s="1" t="n">
        <v>46284</v>
      </c>
      <c r="F322" t="inlineStr">
        <is>
          <t>VÄSTERBOTTENS LÄN</t>
        </is>
      </c>
      <c r="G322" t="inlineStr">
        <is>
          <t>DOROTEA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14249-2026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46099</v>
      </c>
      <c r="E323" s="1" t="n">
        <v>46284</v>
      </c>
      <c r="F323" t="inlineStr">
        <is>
          <t>VÄSTERBOTTENS LÄN</t>
        </is>
      </c>
      <c r="G323" t="inlineStr">
        <is>
          <t>DOROTEA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28180-2026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46195</v>
      </c>
      <c r="E324" s="1" t="n">
        <v>46284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46195</v>
      </c>
      <c r="E325" s="1" t="n">
        <v>46284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28360-2026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46196</v>
      </c>
      <c r="E326" s="1" t="n">
        <v>46284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49.5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46284</v>
      </c>
      <c r="F327" t="inlineStr">
        <is>
          <t>VÄSTERBOTTENS LÄN</t>
        </is>
      </c>
      <c r="G327" t="inlineStr">
        <is>
          <t>DOROTEA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28782-2026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46284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13170-2025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45735</v>
      </c>
      <c r="E329" s="1" t="n">
        <v>46284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46284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45566</v>
      </c>
      <c r="E331" s="1" t="n">
        <v>46284</v>
      </c>
      <c r="F331" t="inlineStr">
        <is>
          <t>VÄSTERBOTTENS LÄN</t>
        </is>
      </c>
      <c r="G331" t="inlineStr">
        <is>
          <t>DOROTEA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44942</v>
      </c>
      <c r="E332" s="1" t="n">
        <v>46284</v>
      </c>
      <c r="F332" t="inlineStr">
        <is>
          <t>VÄSTERBOTTENS LÄN</t>
        </is>
      </c>
      <c r="G332" t="inlineStr">
        <is>
          <t>DOROTEA</t>
        </is>
      </c>
      <c r="I332" t="n">
        <v>22.7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28783-2026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46198</v>
      </c>
      <c r="E333" s="1" t="n">
        <v>46284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58313-2024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45632</v>
      </c>
      <c r="E334" s="1" t="n">
        <v>46284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46284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28741-2026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46198</v>
      </c>
      <c r="E336" s="1" t="n">
        <v>46284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46284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16352-2026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46284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33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16985-2026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46114</v>
      </c>
      <c r="E339" s="1" t="n">
        <v>46284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16896-2026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46284</v>
      </c>
      <c r="F340" t="inlineStr">
        <is>
          <t>VÄSTERBOTTENS LÄN</t>
        </is>
      </c>
      <c r="G340" t="inlineStr">
        <is>
          <t>DOROTEA</t>
        </is>
      </c>
      <c r="H340" t="inlineStr">
        <is>
          <t>Kommuner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33372-2024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45519</v>
      </c>
      <c r="E341" s="1" t="n">
        <v>46284</v>
      </c>
      <c r="F341" t="inlineStr">
        <is>
          <t>VÄSTERBOTTENS LÄN</t>
        </is>
      </c>
      <c r="G341" t="inlineStr">
        <is>
          <t>DOROTEA</t>
        </is>
      </c>
      <c r="I341" t="n">
        <v>8.9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46120</v>
      </c>
      <c r="E342" s="1" t="n">
        <v>46284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17623-2026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46284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20.3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18310-2026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46126</v>
      </c>
      <c r="E344" s="1" t="n">
        <v>46284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46123</v>
      </c>
      <c r="E345" s="1" t="n">
        <v>46284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46284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18.3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18254-2026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46126</v>
      </c>
      <c r="E347" s="1" t="n">
        <v>46284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18157-2026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46125</v>
      </c>
      <c r="E348" s="1" t="n">
        <v>46284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18143-2026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46284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10.1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46284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19298-2026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46133</v>
      </c>
      <c r="E351" s="1" t="n">
        <v>46284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14320-2024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46284</v>
      </c>
      <c r="F352" t="inlineStr">
        <is>
          <t>VÄSTERBOTTENS LÄN</t>
        </is>
      </c>
      <c r="G352" t="inlineStr">
        <is>
          <t>DOROTEA</t>
        </is>
      </c>
      <c r="I352" t="n">
        <v>10.2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59418-2023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45253</v>
      </c>
      <c r="E353" s="1" t="n">
        <v>46284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7.6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19445-2026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46133</v>
      </c>
      <c r="E354" s="1" t="n">
        <v>46284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19446-2026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46284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34503-2025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46284</v>
      </c>
      <c r="F356" t="inlineStr">
        <is>
          <t>VÄSTERBOTTENS LÄN</t>
        </is>
      </c>
      <c r="G356" t="inlineStr">
        <is>
          <t>DOROTEA</t>
        </is>
      </c>
      <c r="I356" t="n">
        <v>14.7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45111</v>
      </c>
      <c r="E357" s="1" t="n">
        <v>46284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42515-2023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45180</v>
      </c>
      <c r="E358" s="1" t="n">
        <v>46284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27.7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20316-2026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46284</v>
      </c>
      <c r="F359" t="inlineStr">
        <is>
          <t>VÄSTERBOTTENS LÄN</t>
        </is>
      </c>
      <c r="G359" t="inlineStr">
        <is>
          <t>DOROTEA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20333-2026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46136</v>
      </c>
      <c r="E360" s="1" t="n">
        <v>46284</v>
      </c>
      <c r="F360" t="inlineStr">
        <is>
          <t>VÄSTERBOTTENS LÄN</t>
        </is>
      </c>
      <c r="G360" t="inlineStr">
        <is>
          <t>DOROTEA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55889-2022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44888</v>
      </c>
      <c r="E361" s="1" t="n">
        <v>46284</v>
      </c>
      <c r="F361" t="inlineStr">
        <is>
          <t>VÄSTERBOTTENS LÄN</t>
        </is>
      </c>
      <c r="G361" t="inlineStr">
        <is>
          <t>DOROTEA</t>
        </is>
      </c>
      <c r="I361" t="n">
        <v>15.8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46284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33364-2026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46284</v>
      </c>
      <c r="F363" t="inlineStr">
        <is>
          <t>VÄSTERBOTTENS LÄN</t>
        </is>
      </c>
      <c r="G363" t="inlineStr">
        <is>
          <t>DOROTEA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4617-2023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44956</v>
      </c>
      <c r="E364" s="1" t="n">
        <v>46284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46209</v>
      </c>
      <c r="E365" s="1" t="n">
        <v>46284</v>
      </c>
      <c r="F365" t="inlineStr">
        <is>
          <t>VÄSTERBOTTENS LÄN</t>
        </is>
      </c>
      <c r="G365" t="inlineStr">
        <is>
          <t>DOROTEA</t>
        </is>
      </c>
      <c r="I365" t="n">
        <v>5.8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56807-2021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44481</v>
      </c>
      <c r="E366" s="1" t="n">
        <v>46284</v>
      </c>
      <c r="F366" t="inlineStr">
        <is>
          <t>VÄSTERBOTTENS LÄN</t>
        </is>
      </c>
      <c r="G366" t="inlineStr">
        <is>
          <t>DOROTEA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46284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33514-2026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46248</v>
      </c>
      <c r="E368" s="1" t="n">
        <v>46284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45253</v>
      </c>
      <c r="E369" s="1" t="n">
        <v>46284</v>
      </c>
      <c r="F369" t="inlineStr">
        <is>
          <t>VÄSTERBOTTENS LÄN</t>
        </is>
      </c>
      <c r="G369" t="inlineStr">
        <is>
          <t>DOROTEA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45253</v>
      </c>
      <c r="E370" s="1" t="n">
        <v>46284</v>
      </c>
      <c r="F370" t="inlineStr">
        <is>
          <t>VÄSTERBOTTENS LÄN</t>
        </is>
      </c>
      <c r="G370" t="inlineStr">
        <is>
          <t>DOROTEA</t>
        </is>
      </c>
      <c r="I370" t="n">
        <v>8.5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46284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35990-2023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45148</v>
      </c>
      <c r="E372" s="1" t="n">
        <v>46284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46818-2023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45198</v>
      </c>
      <c r="E373" s="1" t="n">
        <v>46284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46253</v>
      </c>
      <c r="E374" s="1" t="n">
        <v>46284</v>
      </c>
      <c r="F374" t="inlineStr">
        <is>
          <t>VÄSTERBOTTENS LÄN</t>
        </is>
      </c>
      <c r="G374" t="inlineStr">
        <is>
          <t>DOROTEA</t>
        </is>
      </c>
      <c r="I374" t="n">
        <v>11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46284</v>
      </c>
      <c r="F375" t="inlineStr">
        <is>
          <t>VÄSTERBOTTENS LÄN</t>
        </is>
      </c>
      <c r="G375" t="inlineStr">
        <is>
          <t>DOROTEA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46284</v>
      </c>
      <c r="F376" t="inlineStr">
        <is>
          <t>VÄSTERBOTTENS LÄN</t>
        </is>
      </c>
      <c r="G376" t="inlineStr">
        <is>
          <t>DOROTEA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46284</v>
      </c>
      <c r="F377" t="inlineStr">
        <is>
          <t>VÄSTERBOTTENS LÄN</t>
        </is>
      </c>
      <c r="G377" t="inlineStr">
        <is>
          <t>DOROTEA</t>
        </is>
      </c>
      <c r="I377" t="n">
        <v>13.6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57955-2021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44484</v>
      </c>
      <c r="E378" s="1" t="n">
        <v>46284</v>
      </c>
      <c r="F378" t="inlineStr">
        <is>
          <t>VÄSTERBOTTENS LÄN</t>
        </is>
      </c>
      <c r="G378" t="inlineStr">
        <is>
          <t>DOROTEA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30645-2026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46211</v>
      </c>
      <c r="E379" s="1" t="n">
        <v>46284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57071-2023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45244</v>
      </c>
      <c r="E380" s="1" t="n">
        <v>46284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30821-2026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46212</v>
      </c>
      <c r="E381" s="1" t="n">
        <v>46284</v>
      </c>
      <c r="F381" t="inlineStr">
        <is>
          <t>VÄSTERBOTTENS LÄN</t>
        </is>
      </c>
      <c r="G381" t="inlineStr">
        <is>
          <t>DOROTEA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46254</v>
      </c>
      <c r="E382" s="1" t="n">
        <v>46284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46212</v>
      </c>
      <c r="E383" s="1" t="n">
        <v>46284</v>
      </c>
      <c r="F383" t="inlineStr">
        <is>
          <t>VÄSTERBOTTENS LÄN</t>
        </is>
      </c>
      <c r="G383" t="inlineStr">
        <is>
          <t>DOROTEA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30823-2026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46212</v>
      </c>
      <c r="E384" s="1" t="n">
        <v>46284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60145-2021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44494</v>
      </c>
      <c r="E385" s="1" t="n">
        <v>46284</v>
      </c>
      <c r="F385" t="inlineStr">
        <is>
          <t>VÄSTERBOTTENS LÄN</t>
        </is>
      </c>
      <c r="G385" t="inlineStr">
        <is>
          <t>DOROTEA</t>
        </is>
      </c>
      <c r="I385" t="n">
        <v>13.3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28549-2023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45103</v>
      </c>
      <c r="E386" s="1" t="n">
        <v>46284</v>
      </c>
      <c r="F386" t="inlineStr">
        <is>
          <t>VÄSTERBOTTENS LÄN</t>
        </is>
      </c>
      <c r="G386" t="inlineStr">
        <is>
          <t>DOROTEA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46211</v>
      </c>
      <c r="E387" s="1" t="n">
        <v>46284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31016-2026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46213</v>
      </c>
      <c r="E388" s="1" t="n">
        <v>46284</v>
      </c>
      <c r="F388" t="inlineStr">
        <is>
          <t>VÄSTERBOTTENS LÄN</t>
        </is>
      </c>
      <c r="G388" t="inlineStr">
        <is>
          <t>DOROTEA</t>
        </is>
      </c>
      <c r="I388" t="n">
        <v>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31006-2026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46213</v>
      </c>
      <c r="E389" s="1" t="n">
        <v>46284</v>
      </c>
      <c r="F389" t="inlineStr">
        <is>
          <t>VÄSTERBOTTENS LÄN</t>
        </is>
      </c>
      <c r="G389" t="inlineStr">
        <is>
          <t>DOROTEA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46817-2022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44848</v>
      </c>
      <c r="E390" s="1" t="n">
        <v>46284</v>
      </c>
      <c r="F390" t="inlineStr">
        <is>
          <t>VÄSTERBOTTENS LÄN</t>
        </is>
      </c>
      <c r="G390" t="inlineStr">
        <is>
          <t>DOROTEA</t>
        </is>
      </c>
      <c r="I390" t="n">
        <v>29.8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46218</v>
      </c>
      <c r="E391" s="1" t="n">
        <v>46284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13035-2024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45385</v>
      </c>
      <c r="E392" s="1" t="n">
        <v>46284</v>
      </c>
      <c r="F392" t="inlineStr">
        <is>
          <t>VÄSTERBOTTENS LÄN</t>
        </is>
      </c>
      <c r="G392" t="inlineStr">
        <is>
          <t>DOROTEA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46261</v>
      </c>
      <c r="E393" s="1" t="n">
        <v>46284</v>
      </c>
      <c r="F393" t="inlineStr">
        <is>
          <t>VÄSTERBOTTENS LÄN</t>
        </is>
      </c>
      <c r="G393" t="inlineStr">
        <is>
          <t>DOROTEA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31302-2026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46218</v>
      </c>
      <c r="E394" s="1" t="n">
        <v>46284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31181-2026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46217</v>
      </c>
      <c r="E395" s="1" t="n">
        <v>46284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46966-2024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45586</v>
      </c>
      <c r="E396" s="1" t="n">
        <v>46284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35352-2026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46261</v>
      </c>
      <c r="E397" s="1" t="n">
        <v>46284</v>
      </c>
      <c r="F397" t="inlineStr">
        <is>
          <t>VÄSTERBOTTENS LÄN</t>
        </is>
      </c>
      <c r="G397" t="inlineStr">
        <is>
          <t>DOROTEA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46217</v>
      </c>
      <c r="E398" s="1" t="n">
        <v>46284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46218</v>
      </c>
      <c r="E399" s="1" t="n">
        <v>46284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46261</v>
      </c>
      <c r="E400" s="1" t="n">
        <v>46284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35335-2026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46261</v>
      </c>
      <c r="E401" s="1" t="n">
        <v>46284</v>
      </c>
      <c r="F401" t="inlineStr">
        <is>
          <t>VÄSTERBOTTENS LÄN</t>
        </is>
      </c>
      <c r="G401" t="inlineStr">
        <is>
          <t>DOROTEA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35353-2026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46261</v>
      </c>
      <c r="E402" s="1" t="n">
        <v>46284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23300-2023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45075</v>
      </c>
      <c r="E403" s="1" t="n">
        <v>46284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28717-2022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44748</v>
      </c>
      <c r="E404" s="1" t="n">
        <v>46284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30059-2024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45488</v>
      </c>
      <c r="E405" s="1" t="n">
        <v>46284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31439-2026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46220</v>
      </c>
      <c r="E406" s="1" t="n">
        <v>46284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43092-2023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46284</v>
      </c>
      <c r="F407" t="inlineStr">
        <is>
          <t>VÄSTERBOTTENS LÄN</t>
        </is>
      </c>
      <c r="G407" t="inlineStr">
        <is>
          <t>DOROTEA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35500-2026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46262</v>
      </c>
      <c r="E408" s="1" t="n">
        <v>46284</v>
      </c>
      <c r="F408" t="inlineStr">
        <is>
          <t>VÄSTERBOTTENS LÄN</t>
        </is>
      </c>
      <c r="G408" t="inlineStr">
        <is>
          <t>DOROTEA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13023-2025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45734</v>
      </c>
      <c r="E409" s="1" t="n">
        <v>46284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31574-2026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46224</v>
      </c>
      <c r="E410" s="1" t="n">
        <v>46284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31573-2026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46224</v>
      </c>
      <c r="E411" s="1" t="n">
        <v>46284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31575-2026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46224</v>
      </c>
      <c r="E412" s="1" t="n">
        <v>46284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36255-2026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46268</v>
      </c>
      <c r="E413" s="1" t="n">
        <v>46284</v>
      </c>
      <c r="F413" t="inlineStr">
        <is>
          <t>VÄSTERBOTTENS LÄN</t>
        </is>
      </c>
      <c r="G413" t="inlineStr">
        <is>
          <t>DOROTEA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43944-2024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45572</v>
      </c>
      <c r="E414" s="1" t="n">
        <v>46284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45478</v>
      </c>
      <c r="E415" s="1" t="n">
        <v>46284</v>
      </c>
      <c r="F415" t="inlineStr">
        <is>
          <t>VÄSTERBOTTENS LÄN</t>
        </is>
      </c>
      <c r="G415" t="inlineStr">
        <is>
          <t>DOROTEA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53382-2024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45614</v>
      </c>
      <c r="E416" s="1" t="n">
        <v>46284</v>
      </c>
      <c r="F416" t="inlineStr">
        <is>
          <t>VÄSTERBOTTENS LÄN</t>
        </is>
      </c>
      <c r="G416" t="inlineStr">
        <is>
          <t>DOROTEA</t>
        </is>
      </c>
      <c r="I416" t="n">
        <v>11.2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42104-2024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45562</v>
      </c>
      <c r="E417" s="1" t="n">
        <v>46284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37826-2026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46279</v>
      </c>
      <c r="E418" s="1" t="n">
        <v>46284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22774-2025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45789</v>
      </c>
      <c r="E419" s="1" t="n">
        <v>46284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46281</v>
      </c>
      <c r="E420" s="1" t="n">
        <v>46284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13451-2022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44645</v>
      </c>
      <c r="E421" s="1" t="n">
        <v>46284</v>
      </c>
      <c r="F421" t="inlineStr">
        <is>
          <t>VÄSTERBOTTENS LÄN</t>
        </is>
      </c>
      <c r="G421" t="inlineStr">
        <is>
          <t>DOROTEA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45771</v>
      </c>
      <c r="E422" s="1" t="n">
        <v>46284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34820-2023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45140</v>
      </c>
      <c r="E423" s="1" t="n">
        <v>46284</v>
      </c>
      <c r="F423" t="inlineStr">
        <is>
          <t>VÄSTERBOTTENS LÄN</t>
        </is>
      </c>
      <c r="G423" t="inlineStr">
        <is>
          <t>DOROTEA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29737-2024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45485</v>
      </c>
      <c r="E424" s="1" t="n">
        <v>46284</v>
      </c>
      <c r="F424" t="inlineStr">
        <is>
          <t>VÄSTERBOTTENS LÄN</t>
        </is>
      </c>
      <c r="G424" t="inlineStr">
        <is>
          <t>DOROTEA</t>
        </is>
      </c>
      <c r="I424" t="n">
        <v>10.2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23457-2025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45792</v>
      </c>
      <c r="E425" s="1" t="n">
        <v>46284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46284</v>
      </c>
      <c r="F426" t="inlineStr">
        <is>
          <t>VÄSTERBOTTENS LÄN</t>
        </is>
      </c>
      <c r="G426" t="inlineStr">
        <is>
          <t>DOROTEA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38299-2026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46282</v>
      </c>
      <c r="E427" s="1" t="n">
        <v>46284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10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45517</v>
      </c>
      <c r="E428" s="1" t="n">
        <v>46284</v>
      </c>
      <c r="F428" t="inlineStr">
        <is>
          <t>VÄSTERBOTTENS LÄN</t>
        </is>
      </c>
      <c r="G428" t="inlineStr">
        <is>
          <t>DOROTEA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53380-2024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45614</v>
      </c>
      <c r="E429" s="1" t="n">
        <v>46284</v>
      </c>
      <c r="F429" t="inlineStr">
        <is>
          <t>VÄSTERBOTTENS LÄN</t>
        </is>
      </c>
      <c r="G429" t="inlineStr">
        <is>
          <t>DOROTEA</t>
        </is>
      </c>
      <c r="I429" t="n">
        <v>12.8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45803</v>
      </c>
      <c r="E430" s="1" t="n">
        <v>46284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25356-2025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45800</v>
      </c>
      <c r="E431" s="1" t="n">
        <v>46284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26315-2025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45805</v>
      </c>
      <c r="E432" s="1" t="n">
        <v>46284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45807</v>
      </c>
      <c r="E433" s="1" t="n">
        <v>46284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45807</v>
      </c>
      <c r="E434" s="1" t="n">
        <v>46284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797-2025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45664</v>
      </c>
      <c r="E435" s="1" t="n">
        <v>46284</v>
      </c>
      <c r="F435" t="inlineStr">
        <is>
          <t>VÄSTERBOTTENS LÄN</t>
        </is>
      </c>
      <c r="G435" t="inlineStr">
        <is>
          <t>DOROTEA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14759-2025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45742</v>
      </c>
      <c r="E436" s="1" t="n">
        <v>46284</v>
      </c>
      <c r="F436" t="inlineStr">
        <is>
          <t>VÄSTERBOTTENS LÄN</t>
        </is>
      </c>
      <c r="G436" t="inlineStr">
        <is>
          <t>DOROTEA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26904-2025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45811</v>
      </c>
      <c r="E437" s="1" t="n">
        <v>46284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45817</v>
      </c>
      <c r="E438" s="1" t="n">
        <v>46284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45824</v>
      </c>
      <c r="E439" s="1" t="n">
        <v>46284</v>
      </c>
      <c r="F439" t="inlineStr">
        <is>
          <t>VÄSTERBOTTENS LÄN</t>
        </is>
      </c>
      <c r="G439" t="inlineStr">
        <is>
          <t>DOROTEA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45833</v>
      </c>
      <c r="E440" s="1" t="n">
        <v>46284</v>
      </c>
      <c r="F440" t="inlineStr">
        <is>
          <t>VÄSTERBOTTENS LÄN</t>
        </is>
      </c>
      <c r="G440" t="inlineStr">
        <is>
          <t>DOROTEA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45833</v>
      </c>
      <c r="E441" s="1" t="n">
        <v>46284</v>
      </c>
      <c r="F441" t="inlineStr">
        <is>
          <t>VÄSTERBOTTENS LÄN</t>
        </is>
      </c>
      <c r="G441" t="inlineStr">
        <is>
          <t>DOROTEA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45847</v>
      </c>
      <c r="E442" s="1" t="n">
        <v>46284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34279-2025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45846</v>
      </c>
      <c r="E443" s="1" t="n">
        <v>46284</v>
      </c>
      <c r="F443" t="inlineStr">
        <is>
          <t>VÄSTERBOTTENS LÄN</t>
        </is>
      </c>
      <c r="G443" t="inlineStr">
        <is>
          <t>DOROTEA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45848</v>
      </c>
      <c r="E444" s="1" t="n">
        <v>46284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34856-2025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45849</v>
      </c>
      <c r="E445" s="1" t="n">
        <v>46284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45852</v>
      </c>
      <c r="E446" s="1" t="n">
        <v>46284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35418-2025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45855</v>
      </c>
      <c r="E447" s="1" t="n">
        <v>46284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35456-2025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45855</v>
      </c>
      <c r="E448" s="1" t="n">
        <v>46284</v>
      </c>
      <c r="F448" t="inlineStr">
        <is>
          <t>VÄSTERBOTTENS LÄN</t>
        </is>
      </c>
      <c r="G448" t="inlineStr">
        <is>
          <t>DOROTEA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35438-2025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45855</v>
      </c>
      <c r="E449" s="1" t="n">
        <v>46284</v>
      </c>
      <c r="F449" t="inlineStr">
        <is>
          <t>VÄSTERBOTTENS LÄN</t>
        </is>
      </c>
      <c r="G449" t="inlineStr">
        <is>
          <t>DOROTEA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35458-2025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45855</v>
      </c>
      <c r="E450" s="1" t="n">
        <v>46284</v>
      </c>
      <c r="F450" t="inlineStr">
        <is>
          <t>VÄSTERBOTTENS LÄN</t>
        </is>
      </c>
      <c r="G450" t="inlineStr">
        <is>
          <t>DOROTEA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36111-2025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45866</v>
      </c>
      <c r="E451" s="1" t="n">
        <v>46284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36125-2025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45866</v>
      </c>
      <c r="E452" s="1" t="n">
        <v>46284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36845-2025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45874</v>
      </c>
      <c r="E453" s="1" t="n">
        <v>46284</v>
      </c>
      <c r="F453" t="inlineStr">
        <is>
          <t>VÄSTERBOTTENS LÄN</t>
        </is>
      </c>
      <c r="G453" t="inlineStr">
        <is>
          <t>DOROTEA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36844-2025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45874</v>
      </c>
      <c r="E454" s="1" t="n">
        <v>46284</v>
      </c>
      <c r="F454" t="inlineStr">
        <is>
          <t>VÄSTERBOTTENS LÄN</t>
        </is>
      </c>
      <c r="G454" t="inlineStr">
        <is>
          <t>DOROTEA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37135-2025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45875</v>
      </c>
      <c r="E455" s="1" t="n">
        <v>46284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37259-2025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45876</v>
      </c>
      <c r="E456" s="1" t="n">
        <v>46284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37476-2025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45877</v>
      </c>
      <c r="E457" s="1" t="n">
        <v>46284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37276-2025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45876</v>
      </c>
      <c r="E458" s="1" t="n">
        <v>46284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38099-2025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45882</v>
      </c>
      <c r="E459" s="1" t="n">
        <v>46284</v>
      </c>
      <c r="F459" t="inlineStr">
        <is>
          <t>VÄSTERBOTTENS LÄN</t>
        </is>
      </c>
      <c r="G459" t="inlineStr">
        <is>
          <t>DOROTEA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38100-2025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45882</v>
      </c>
      <c r="E460" s="1" t="n">
        <v>46284</v>
      </c>
      <c r="F460" t="inlineStr">
        <is>
          <t>VÄSTERBOTTENS LÄN</t>
        </is>
      </c>
      <c r="G460" t="inlineStr">
        <is>
          <t>DOROTEA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38097-2025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45882</v>
      </c>
      <c r="E461" s="1" t="n">
        <v>46284</v>
      </c>
      <c r="F461" t="inlineStr">
        <is>
          <t>VÄSTERBOTTENS LÄN</t>
        </is>
      </c>
      <c r="G461" t="inlineStr">
        <is>
          <t>DOROTEA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38098-2025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45882</v>
      </c>
      <c r="E462" s="1" t="n">
        <v>46284</v>
      </c>
      <c r="F462" t="inlineStr">
        <is>
          <t>VÄSTERBOTTENS LÄN</t>
        </is>
      </c>
      <c r="G462" t="inlineStr">
        <is>
          <t>DOROTEA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38227-2025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45883</v>
      </c>
      <c r="E463" s="1" t="n">
        <v>46284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38239-2025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45883</v>
      </c>
      <c r="E464" s="1" t="n">
        <v>46284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38101-2025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45882</v>
      </c>
      <c r="E465" s="1" t="n">
        <v>46284</v>
      </c>
      <c r="F465" t="inlineStr">
        <is>
          <t>VÄSTERBOTTENS LÄN</t>
        </is>
      </c>
      <c r="G465" t="inlineStr">
        <is>
          <t>DOROTEA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8709-2025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45712</v>
      </c>
      <c r="E466" s="1" t="n">
        <v>46284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2945-2024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45506</v>
      </c>
      <c r="E467" s="1" t="n">
        <v>46284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1058-2025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45749</v>
      </c>
      <c r="E468" s="1" t="n">
        <v>46284</v>
      </c>
      <c r="F468" t="inlineStr">
        <is>
          <t>VÄSTERBOTTENS LÄN</t>
        </is>
      </c>
      <c r="G468" t="inlineStr">
        <is>
          <t>DOROTEA</t>
        </is>
      </c>
      <c r="I468" t="n">
        <v>10.9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844-2025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45733</v>
      </c>
      <c r="E469" s="1" t="n">
        <v>46284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1293.5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2195-2025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45858</v>
      </c>
      <c r="E470" s="1" t="n">
        <v>46284</v>
      </c>
      <c r="F470" t="inlineStr">
        <is>
          <t>VÄSTERBOTTENS LÄN</t>
        </is>
      </c>
      <c r="G470" t="inlineStr">
        <is>
          <t>DOROTEA</t>
        </is>
      </c>
      <c r="I470" t="n">
        <v>27.4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2283-2025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45876</v>
      </c>
      <c r="E471" s="1" t="n">
        <v>46284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2360-2025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45889</v>
      </c>
      <c r="E472" s="1" t="n">
        <v>46284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1763-2026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46189</v>
      </c>
      <c r="E473" s="1" t="n">
        <v>46284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2407-2026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46279</v>
      </c>
      <c r="E474" s="1" t="n">
        <v>46284</v>
      </c>
      <c r="F474" t="inlineStr">
        <is>
          <t>VÄSTERBOTTENS LÄN</t>
        </is>
      </c>
      <c r="G474" t="inlineStr">
        <is>
          <t>DOROTEA</t>
        </is>
      </c>
      <c r="H474" t="inlineStr">
        <is>
          <t>SCA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2026-09-19T02:04:51Z</dcterms:created>
  <dcterms:modified xmlns:dcterms="http://purl.org/dc/terms/" xmlns:xsi="http://www.w3.org/2001/XMLSchema-instance" xsi:type="dcterms:W3CDTF">2026-09-19T02:04:51Z</dcterms:modified>
</cp:coreProperties>
</file>