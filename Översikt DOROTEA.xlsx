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46269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46269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46269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46269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46269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46269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46269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46269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46269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46269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46269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46269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46269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46269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46269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46269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46269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46269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46269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46269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46269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46269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46269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46269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46269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33263-2025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46269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15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Vedticka</t>
        </is>
      </c>
      <c r="W27">
        <f>HYPERLINK("https://klasma.github.io/Logging_2425/artfynd/A 33263-2025 artfynd.xlsx", "A 33263-2025")</f>
        <v/>
      </c>
      <c r="X27">
        <f>HYPERLINK("https://klasma.github.io/Logging_2425/kartor/A 33263-2025 karta.png", "A 33263-2025")</f>
        <v/>
      </c>
      <c r="Y27">
        <f>HYPERLINK("https://klasma.github.io/Logging_2425/kartor_geotiff/A 33263-2025 georefererad karta.tif", "A 33263-2025")</f>
        <v/>
      </c>
      <c r="AA27">
        <f>HYPERLINK("https://klasma.github.io/Logging_2425/klagomål/A 33263-2025 FSC-klagomål.docx", "A 33263-2025")</f>
        <v/>
      </c>
      <c r="AB27">
        <f>HYPERLINK("https://klasma.github.io/Logging_2425/klagomålsmail/A 33263-2025 FSC-klagomål mail.docx", "A 33263-2025")</f>
        <v/>
      </c>
      <c r="AC27">
        <f>HYPERLINK("https://klasma.github.io/Logging_2425/tillsyn/A 33263-2025 tillsynsbegäran.docx", "A 33263-2025")</f>
        <v/>
      </c>
      <c r="AD27">
        <f>HYPERLINK("https://klasma.github.io/Logging_2425/tillsynsmail/A 33263-2025 tillsynsbegäran mail.docx", "A 33263-2025")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46269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40013-2024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45553</v>
      </c>
      <c r="E29" s="1" t="n">
        <v>46269</v>
      </c>
      <c r="F29" t="inlineStr">
        <is>
          <t>VÄSTERBOTTENS LÄN</t>
        </is>
      </c>
      <c r="G29" t="inlineStr">
        <is>
          <t>DOROTEA</t>
        </is>
      </c>
      <c r="H29" t="inlineStr">
        <is>
          <t>Övriga statliga verk och myndigheter</t>
        </is>
      </c>
      <c r="I29" t="n">
        <v>1.5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Tretåig hackspett
Tjäder</t>
        </is>
      </c>
      <c r="W29">
        <f>HYPERLINK("https://klasma.github.io/Logging_2425/artfynd/A 40013-2024 artfynd.xlsx", "A 40013-2024")</f>
        <v/>
      </c>
      <c r="X29">
        <f>HYPERLINK("https://klasma.github.io/Logging_2425/kartor/A 40013-2024 karta.png", "A 40013-2024")</f>
        <v/>
      </c>
      <c r="Y29">
        <f>HYPERLINK("https://klasma.github.io/Logging_2425/kartor_geotiff/A 40013-2024 georefererad karta.tif", "A 40013-2024")</f>
        <v/>
      </c>
      <c r="AA29">
        <f>HYPERLINK("https://klasma.github.io/Logging_2425/klagomål/A 40013-2024 FSC-klagomål.docx", "A 40013-2024")</f>
        <v/>
      </c>
      <c r="AB29">
        <f>HYPERLINK("https://klasma.github.io/Logging_2425/klagomålsmail/A 40013-2024 FSC-klagomål mail.docx", "A 40013-2024")</f>
        <v/>
      </c>
      <c r="AC29">
        <f>HYPERLINK("https://klasma.github.io/Logging_2425/tillsyn/A 40013-2024 tillsynsbegäran.docx", "A 40013-2024")</f>
        <v/>
      </c>
      <c r="AD29">
        <f>HYPERLINK("https://klasma.github.io/Logging_2425/tillsynsmail/A 40013-2024 tillsynsbegäran mail.docx", "A 40013-2024")</f>
        <v/>
      </c>
      <c r="AE29">
        <f>HYPERLINK("https://klasma.github.io/Logging_2425/fåglar/A 40013-2024 prioriterade fågelarter.docx", "A 40013-2024")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46269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19589-2024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45429</v>
      </c>
      <c r="E31" s="1" t="n">
        <v>46269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Lunglav
Talltita</t>
        </is>
      </c>
      <c r="W31">
        <f>HYPERLINK("https://klasma.github.io/Logging_2425/artfynd/A 19589-2024 artfynd.xlsx", "A 19589-2024")</f>
        <v/>
      </c>
      <c r="X31">
        <f>HYPERLINK("https://klasma.github.io/Logging_2425/kartor/A 19589-2024 karta.png", "A 19589-2024")</f>
        <v/>
      </c>
      <c r="Y31">
        <f>HYPERLINK("https://klasma.github.io/Logging_2425/kartor_geotiff/A 19589-2024 georefererad karta.tif", "A 19589-2024")</f>
        <v/>
      </c>
      <c r="AA31">
        <f>HYPERLINK("https://klasma.github.io/Logging_2425/klagomål/A 19589-2024 FSC-klagomål.docx", "A 19589-2024")</f>
        <v/>
      </c>
      <c r="AB31">
        <f>HYPERLINK("https://klasma.github.io/Logging_2425/klagomålsmail/A 19589-2024 FSC-klagomål mail.docx", "A 19589-2024")</f>
        <v/>
      </c>
      <c r="AC31">
        <f>HYPERLINK("https://klasma.github.io/Logging_2425/tillsyn/A 19589-2024 tillsynsbegäran.docx", "A 19589-2024")</f>
        <v/>
      </c>
      <c r="AD31">
        <f>HYPERLINK("https://klasma.github.io/Logging_2425/tillsynsmail/A 19589-2024 tillsynsbegäran mail.docx", "A 19589-2024")</f>
        <v/>
      </c>
      <c r="AE31">
        <f>HYPERLINK("https://klasma.github.io/Logging_2425/fåglar/A 19589-2024 prioriterade fågelarter.docx", "A 19589-2024")</f>
        <v/>
      </c>
    </row>
    <row r="32" ht="15" customHeight="1">
      <c r="A32" t="inlineStr">
        <is>
          <t>A 4554-2026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46047</v>
      </c>
      <c r="E32" s="1" t="n">
        <v>46269</v>
      </c>
      <c r="F32" t="inlineStr">
        <is>
          <t>VÄSTERBOTTENS LÄN</t>
        </is>
      </c>
      <c r="G32" t="inlineStr">
        <is>
          <t>DOROTEA</t>
        </is>
      </c>
      <c r="I32" t="n">
        <v>6.1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Violettkantad guldvinge
Kricka</t>
        </is>
      </c>
      <c r="W32">
        <f>HYPERLINK("https://klasma.github.io/Logging_2425/artfynd/A 4554-2026 artfynd.xlsx", "A 4554-2026")</f>
        <v/>
      </c>
      <c r="X32">
        <f>HYPERLINK("https://klasma.github.io/Logging_2425/kartor/A 4554-2026 karta.png", "A 4554-2026")</f>
        <v/>
      </c>
      <c r="Y32">
        <f>HYPERLINK("https://klasma.github.io/Logging_2425/kartor_geotiff/A 4554-2026 georefererad karta.tif", "A 4554-2026")</f>
        <v/>
      </c>
      <c r="AA32">
        <f>HYPERLINK("https://klasma.github.io/Logging_2425/klagomål/A 4554-2026 FSC-klagomål.docx", "A 4554-2026")</f>
        <v/>
      </c>
      <c r="AB32">
        <f>HYPERLINK("https://klasma.github.io/Logging_2425/klagomålsmail/A 4554-2026 FSC-klagomål mail.docx", "A 4554-2026")</f>
        <v/>
      </c>
      <c r="AC32">
        <f>HYPERLINK("https://klasma.github.io/Logging_2425/tillsyn/A 4554-2026 tillsynsbegäran.docx", "A 4554-2026")</f>
        <v/>
      </c>
      <c r="AD32">
        <f>HYPERLINK("https://klasma.github.io/Logging_2425/tillsynsmail/A 4554-2026 tillsynsbegäran mail.docx", "A 4554-2026")</f>
        <v/>
      </c>
      <c r="AE32">
        <f>HYPERLINK("https://klasma.github.io/Logging_2425/fåglar/A 4554-2026 prioriterade fågelarter.docx", "A 4554-2026")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46269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46269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46269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46269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20600-2023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45057</v>
      </c>
      <c r="E37" s="1" t="n">
        <v>46269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HYPERLINK("https://klasma.github.io/Logging_2425/artfynd/A 20600-2023 artfynd.xlsx", "A 20600-2023")</f>
        <v/>
      </c>
      <c r="X37">
        <f>HYPERLINK("https://klasma.github.io/Logging_2425/kartor/A 20600-2023 karta.png", "A 20600-2023")</f>
        <v/>
      </c>
      <c r="Y37">
        <f>HYPERLINK("https://klasma.github.io/Logging_2425/kartor_geotiff/A 20600-2023 georefererad karta.tif", "A 20600-2023")</f>
        <v/>
      </c>
      <c r="AA37">
        <f>HYPERLINK("https://klasma.github.io/Logging_2425/klagomål/A 20600-2023 FSC-klagomål.docx", "A 20600-2023")</f>
        <v/>
      </c>
      <c r="AB37">
        <f>HYPERLINK("https://klasma.github.io/Logging_2425/klagomålsmail/A 20600-2023 FSC-klagomål mail.docx", "A 20600-2023")</f>
        <v/>
      </c>
      <c r="AC37">
        <f>HYPERLINK("https://klasma.github.io/Logging_2425/tillsyn/A 20600-2023 tillsynsbegäran.docx", "A 20600-2023")</f>
        <v/>
      </c>
      <c r="AD37">
        <f>HYPERLINK("https://klasma.github.io/Logging_2425/tillsynsmail/A 20600-2023 tillsynsbegäran mail.docx", "A 20600-2023")</f>
        <v/>
      </c>
    </row>
    <row r="38" ht="15" customHeight="1">
      <c r="A38" t="inlineStr">
        <is>
          <t>A 53309-2022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44878</v>
      </c>
      <c r="E38" s="1" t="n">
        <v>46269</v>
      </c>
      <c r="F38" t="inlineStr">
        <is>
          <t>VÄSTERBOTTENS LÄN</t>
        </is>
      </c>
      <c r="G38" t="inlineStr">
        <is>
          <t>DOROTEA</t>
        </is>
      </c>
      <c r="I38" t="n">
        <v>6.6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Göktyta</t>
        </is>
      </c>
      <c r="W38">
        <f>HYPERLINK("https://klasma.github.io/Logging_2425/artfynd/A 53309-2022 artfynd.xlsx", "A 53309-2022")</f>
        <v/>
      </c>
      <c r="X38">
        <f>HYPERLINK("https://klasma.github.io/Logging_2425/kartor/A 53309-2022 karta.png", "A 53309-2022")</f>
        <v/>
      </c>
      <c r="Y38">
        <f>HYPERLINK("https://klasma.github.io/Logging_2425/kartor_geotiff/A 53309-2022 georefererad karta.tif", "A 53309-2022")</f>
        <v/>
      </c>
      <c r="AA38">
        <f>HYPERLINK("https://klasma.github.io/Logging_2425/klagomål/A 53309-2022 FSC-klagomål.docx", "A 53309-2022")</f>
        <v/>
      </c>
      <c r="AB38">
        <f>HYPERLINK("https://klasma.github.io/Logging_2425/klagomålsmail/A 53309-2022 FSC-klagomål mail.docx", "A 53309-2022")</f>
        <v/>
      </c>
      <c r="AC38">
        <f>HYPERLINK("https://klasma.github.io/Logging_2425/tillsyn/A 53309-2022 tillsynsbegäran.docx", "A 53309-2022")</f>
        <v/>
      </c>
      <c r="AD38">
        <f>HYPERLINK("https://klasma.github.io/Logging_2425/tillsynsmail/A 53309-2022 tillsynsbegäran mail.docx", "A 53309-2022")</f>
        <v/>
      </c>
      <c r="AE38">
        <f>HYPERLINK("https://klasma.github.io/Logging_2425/fåglar/A 53309-2022 prioriterade fågelarter.docx", "A 53309-2022")</f>
        <v/>
      </c>
    </row>
    <row r="39" ht="15" customHeight="1">
      <c r="A39" t="inlineStr">
        <is>
          <t>A 26440-2025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46269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26440-2025 artfynd.xlsx", "A 26440-2025")</f>
        <v/>
      </c>
      <c r="X39">
        <f>HYPERLINK("https://klasma.github.io/Logging_2425/kartor/A 26440-2025 karta.png", "A 26440-2025")</f>
        <v/>
      </c>
      <c r="Y39">
        <f>HYPERLINK("https://klasma.github.io/Logging_2425/kartor_geotiff/A 26440-2025 georefererad karta.tif", "A 26440-2025")</f>
        <v/>
      </c>
      <c r="AA39">
        <f>HYPERLINK("https://klasma.github.io/Logging_2425/klagomål/A 26440-2025 FSC-klagomål.docx", "A 26440-2025")</f>
        <v/>
      </c>
      <c r="AB39">
        <f>HYPERLINK("https://klasma.github.io/Logging_2425/klagomålsmail/A 26440-2025 FSC-klagomål mail.docx", "A 26440-2025")</f>
        <v/>
      </c>
      <c r="AC39">
        <f>HYPERLINK("https://klasma.github.io/Logging_2425/tillsyn/A 26440-2025 tillsynsbegäran.docx", "A 26440-2025")</f>
        <v/>
      </c>
      <c r="AD39">
        <f>HYPERLINK("https://klasma.github.io/Logging_2425/tillsynsmail/A 26440-2025 tillsynsbegäran mail.docx", "A 26440-2025")</f>
        <v/>
      </c>
    </row>
    <row r="40" ht="15" customHeight="1">
      <c r="A40" t="inlineStr">
        <is>
          <t>A 48089-2022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44855</v>
      </c>
      <c r="E40" s="1" t="n">
        <v>46269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9.199999999999999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Gammelgransskål</t>
        </is>
      </c>
      <c r="W40">
        <f>HYPERLINK("https://klasma.github.io/Logging_2425/artfynd/A 48089-2022 artfynd.xlsx", "A 48089-2022")</f>
        <v/>
      </c>
      <c r="X40">
        <f>HYPERLINK("https://klasma.github.io/Logging_2425/kartor/A 48089-2022 karta.png", "A 48089-2022")</f>
        <v/>
      </c>
      <c r="Y40">
        <f>HYPERLINK("https://klasma.github.io/Logging_2425/kartor_geotiff/A 48089-2022 georefererad karta.tif", "A 48089-2022")</f>
        <v/>
      </c>
      <c r="AA40">
        <f>HYPERLINK("https://klasma.github.io/Logging_2425/klagomål/A 48089-2022 FSC-klagomål.docx", "A 48089-2022")</f>
        <v/>
      </c>
      <c r="AB40">
        <f>HYPERLINK("https://klasma.github.io/Logging_2425/klagomålsmail/A 48089-2022 FSC-klagomål mail.docx", "A 48089-2022")</f>
        <v/>
      </c>
      <c r="AC40">
        <f>HYPERLINK("https://klasma.github.io/Logging_2425/tillsyn/A 48089-2022 tillsynsbegäran.docx", "A 48089-2022")</f>
        <v/>
      </c>
      <c r="AD40">
        <f>HYPERLINK("https://klasma.github.io/Logging_2425/tillsynsmail/A 48089-2022 tillsynsbegäran mail.docx", "A 48089-2022")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46269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36318-2024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46269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8</v>
      </c>
      <c r="U42" t="n">
        <v>8</v>
      </c>
      <c r="V42" s="2" t="inlineStr">
        <is>
          <t>Garnlav</t>
        </is>
      </c>
      <c r="W42">
        <f>HYPERLINK("https://klasma.github.io/Logging_2425/artfynd/A 36318-2024 artfynd.xlsx", "A 36318-2024")</f>
        <v/>
      </c>
      <c r="X42">
        <f>HYPERLINK("https://klasma.github.io/Logging_2425/kartor/A 36318-2024 karta.png", "A 36318-2024")</f>
        <v/>
      </c>
      <c r="Y42">
        <f>HYPERLINK("https://klasma.github.io/Logging_2425/kartor_geotiff/A 36318-2024 georefererad karta.tif", "A 36318-2024")</f>
        <v/>
      </c>
      <c r="AA42">
        <f>HYPERLINK("https://klasma.github.io/Logging_2425/klagomål/A 36318-2024 FSC-klagomål.docx", "A 36318-2024")</f>
        <v/>
      </c>
      <c r="AB42">
        <f>HYPERLINK("https://klasma.github.io/Logging_2425/klagomålsmail/A 36318-2024 FSC-klagomål mail.docx", "A 36318-2024")</f>
        <v/>
      </c>
      <c r="AC42">
        <f>HYPERLINK("https://klasma.github.io/Logging_2425/tillsyn/A 36318-2024 tillsynsbegäran.docx", "A 36318-2024")</f>
        <v/>
      </c>
      <c r="AD42">
        <f>HYPERLINK("https://klasma.github.io/Logging_2425/tillsynsmail/A 36318-2024 tillsynsbegäran mail.docx", "A 36318-2024")</f>
        <v/>
      </c>
    </row>
    <row r="43" ht="15" customHeight="1">
      <c r="A43" t="inlineStr">
        <is>
          <t>A 46815-2023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45198</v>
      </c>
      <c r="E43" s="1" t="n">
        <v>46269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Harticka</t>
        </is>
      </c>
      <c r="W43">
        <f>HYPERLINK("https://klasma.github.io/Logging_2425/artfynd/A 46815-2023 artfynd.xlsx", "A 46815-2023")</f>
        <v/>
      </c>
      <c r="X43">
        <f>HYPERLINK("https://klasma.github.io/Logging_2425/kartor/A 46815-2023 karta.png", "A 46815-2023")</f>
        <v/>
      </c>
      <c r="Y43">
        <f>HYPERLINK("https://klasma.github.io/Logging_2425/kartor_geotiff/A 46815-2023 georefererad karta.tif", "A 46815-2023")</f>
        <v/>
      </c>
      <c r="AA43">
        <f>HYPERLINK("https://klasma.github.io/Logging_2425/klagomål/A 46815-2023 FSC-klagomål.docx", "A 46815-2023")</f>
        <v/>
      </c>
      <c r="AB43">
        <f>HYPERLINK("https://klasma.github.io/Logging_2425/klagomålsmail/A 46815-2023 FSC-klagomål mail.docx", "A 46815-2023")</f>
        <v/>
      </c>
      <c r="AC43">
        <f>HYPERLINK("https://klasma.github.io/Logging_2425/tillsyn/A 46815-2023 tillsynsbegäran.docx", "A 46815-2023")</f>
        <v/>
      </c>
      <c r="AD43">
        <f>HYPERLINK("https://klasma.github.io/Logging_2425/tillsynsmail/A 46815-2023 tillsynsbegäran mail.docx", "A 46815-2023")</f>
        <v/>
      </c>
    </row>
    <row r="44" ht="15" customHeight="1">
      <c r="A44" t="inlineStr">
        <is>
          <t>A 1278-2024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45302</v>
      </c>
      <c r="E44" s="1" t="n">
        <v>46269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Gräddticka</t>
        </is>
      </c>
      <c r="W44">
        <f>HYPERLINK("https://klasma.github.io/Logging_2425/artfynd/A 1278-2024 artfynd.xlsx", "A 1278-2024")</f>
        <v/>
      </c>
      <c r="X44">
        <f>HYPERLINK("https://klasma.github.io/Logging_2425/kartor/A 1278-2024 karta.png", "A 1278-2024")</f>
        <v/>
      </c>
      <c r="Y44">
        <f>HYPERLINK("https://klasma.github.io/Logging_2425/kartor_geotiff/A 1278-2024 georefererad karta.tif", "A 1278-2024")</f>
        <v/>
      </c>
      <c r="AA44">
        <f>HYPERLINK("https://klasma.github.io/Logging_2425/klagomål/A 1278-2024 FSC-klagomål.docx", "A 1278-2024")</f>
        <v/>
      </c>
      <c r="AB44">
        <f>HYPERLINK("https://klasma.github.io/Logging_2425/klagomålsmail/A 1278-2024 FSC-klagomål mail.docx", "A 1278-2024")</f>
        <v/>
      </c>
      <c r="AC44">
        <f>HYPERLINK("https://klasma.github.io/Logging_2425/tillsyn/A 1278-2024 tillsynsbegäran.docx", "A 1278-2024")</f>
        <v/>
      </c>
      <c r="AD44">
        <f>HYPERLINK("https://klasma.github.io/Logging_2425/tillsynsmail/A 1278-2024 tillsynsbegäran mail.docx", "A 1278-2024")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46269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41079-2025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45898</v>
      </c>
      <c r="E46" s="1" t="n">
        <v>46269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3.3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41079-2025 artfynd.xlsx", "A 41079-2025")</f>
        <v/>
      </c>
      <c r="X46">
        <f>HYPERLINK("https://klasma.github.io/Logging_2425/kartor/A 41079-2025 karta.png", "A 41079-2025")</f>
        <v/>
      </c>
      <c r="Y46">
        <f>HYPERLINK("https://klasma.github.io/Logging_2425/kartor_geotiff/A 41079-2025 georefererad karta.tif", "A 41079-2025")</f>
        <v/>
      </c>
      <c r="AA46">
        <f>HYPERLINK("https://klasma.github.io/Logging_2425/klagomål/A 41079-2025 FSC-klagomål.docx", "A 41079-2025")</f>
        <v/>
      </c>
      <c r="AB46">
        <f>HYPERLINK("https://klasma.github.io/Logging_2425/klagomålsmail/A 41079-2025 FSC-klagomål mail.docx", "A 41079-2025")</f>
        <v/>
      </c>
      <c r="AC46">
        <f>HYPERLINK("https://klasma.github.io/Logging_2425/tillsyn/A 41079-2025 tillsynsbegäran.docx", "A 41079-2025")</f>
        <v/>
      </c>
      <c r="AD46">
        <f>HYPERLINK("https://klasma.github.io/Logging_2425/tillsynsmail/A 41079-2025 tillsynsbegäran mail.docx", "A 41079-2025")</f>
        <v/>
      </c>
    </row>
    <row r="47" ht="15" customHeight="1">
      <c r="A47" t="inlineStr">
        <is>
          <t>A 39686-2025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46269</v>
      </c>
      <c r="F47" t="inlineStr">
        <is>
          <t>VÄSTERBOTTENS LÄN</t>
        </is>
      </c>
      <c r="G47" t="inlineStr">
        <is>
          <t>DOROTEA</t>
        </is>
      </c>
      <c r="I47" t="n">
        <v>1.5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HYPERLINK("https://klasma.github.io/Logging_2425/artfynd/A 39686-2025 artfynd.xlsx", "A 39686-2025")</f>
        <v/>
      </c>
      <c r="X47">
        <f>HYPERLINK("https://klasma.github.io/Logging_2425/kartor/A 39686-2025 karta.png", "A 39686-2025")</f>
        <v/>
      </c>
      <c r="Y47">
        <f>HYPERLINK("https://klasma.github.io/Logging_2425/kartor_geotiff/A 39686-2025 georefererad karta.tif", "A 39686-2025")</f>
        <v/>
      </c>
      <c r="AA47">
        <f>HYPERLINK("https://klasma.github.io/Logging_2425/klagomål/A 39686-2025 FSC-klagomål.docx", "A 39686-2025")</f>
        <v/>
      </c>
      <c r="AB47">
        <f>HYPERLINK("https://klasma.github.io/Logging_2425/klagomålsmail/A 39686-2025 FSC-klagomål mail.docx", "A 39686-2025")</f>
        <v/>
      </c>
      <c r="AC47">
        <f>HYPERLINK("https://klasma.github.io/Logging_2425/tillsyn/A 39686-2025 tillsynsbegäran.docx", "A 39686-2025")</f>
        <v/>
      </c>
      <c r="AD47">
        <f>HYPERLINK("https://klasma.github.io/Logging_2425/tillsynsmail/A 39686-2025 tillsynsbegäran mail.docx", "A 39686-2025")</f>
        <v/>
      </c>
    </row>
    <row r="48" ht="15" customHeight="1">
      <c r="A48" t="inlineStr">
        <is>
          <t>A 57058-2024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46269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57058-2024 artfynd.xlsx", "A 57058-2024")</f>
        <v/>
      </c>
      <c r="X48">
        <f>HYPERLINK("https://klasma.github.io/Logging_2425/kartor/A 57058-2024 karta.png", "A 57058-2024")</f>
        <v/>
      </c>
      <c r="Y48">
        <f>HYPERLINK("https://klasma.github.io/Logging_2425/kartor_geotiff/A 57058-2024 georefererad karta.tif", "A 57058-2024")</f>
        <v/>
      </c>
      <c r="AA48">
        <f>HYPERLINK("https://klasma.github.io/Logging_2425/klagomål/A 57058-2024 FSC-klagomål.docx", "A 57058-2024")</f>
        <v/>
      </c>
      <c r="AB48">
        <f>HYPERLINK("https://klasma.github.io/Logging_2425/klagomålsmail/A 57058-2024 FSC-klagomål mail.docx", "A 57058-2024")</f>
        <v/>
      </c>
      <c r="AC48">
        <f>HYPERLINK("https://klasma.github.io/Logging_2425/tillsyn/A 57058-2024 tillsynsbegäran.docx", "A 57058-2024")</f>
        <v/>
      </c>
      <c r="AD48">
        <f>HYPERLINK("https://klasma.github.io/Logging_2425/tillsynsmail/A 57058-2024 tillsynsbegäran mail.docx", "A 57058-2024")</f>
        <v/>
      </c>
    </row>
    <row r="49" ht="15" customHeight="1">
      <c r="A49" t="inlineStr">
        <is>
          <t>A 21926-2026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46150</v>
      </c>
      <c r="E49" s="1" t="n">
        <v>46269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2.7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HYPERLINK("https://klasma.github.io/Logging_2425/artfynd/A 21926-2026 artfynd.xlsx", "A 21926-2026")</f>
        <v/>
      </c>
      <c r="X49">
        <f>HYPERLINK("https://klasma.github.io/Logging_2425/kartor/A 21926-2026 karta.png", "A 21926-2026")</f>
        <v/>
      </c>
      <c r="Y49">
        <f>HYPERLINK("https://klasma.github.io/Logging_2425/kartor_geotiff/A 21926-2026 georefererad karta.tif", "A 21926-2026")</f>
        <v/>
      </c>
      <c r="AA49">
        <f>HYPERLINK("https://klasma.github.io/Logging_2425/klagomål/A 21926-2026 FSC-klagomål.docx", "A 21926-2026")</f>
        <v/>
      </c>
      <c r="AB49">
        <f>HYPERLINK("https://klasma.github.io/Logging_2425/klagomålsmail/A 21926-2026 FSC-klagomål mail.docx", "A 21926-2026")</f>
        <v/>
      </c>
      <c r="AC49">
        <f>HYPERLINK("https://klasma.github.io/Logging_2425/tillsyn/A 21926-2026 tillsynsbegäran.docx", "A 21926-2026")</f>
        <v/>
      </c>
      <c r="AD49">
        <f>HYPERLINK("https://klasma.github.io/Logging_2425/tillsynsmail/A 21926-2026 tillsynsbegäran mail.docx", "A 21926-2026")</f>
        <v/>
      </c>
    </row>
    <row r="50" ht="15" customHeight="1">
      <c r="A50" t="inlineStr">
        <is>
          <t>A 50530-2025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46269</v>
      </c>
      <c r="F50" t="inlineStr">
        <is>
          <t>VÄSTERBOTTENS LÄN</t>
        </is>
      </c>
      <c r="G50" t="inlineStr">
        <is>
          <t>DOROTEA</t>
        </is>
      </c>
      <c r="I50" t="n">
        <v>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Ängsnycklar</t>
        </is>
      </c>
      <c r="W50">
        <f>HYPERLINK("https://klasma.github.io/Logging_2425/artfynd/A 50530-2025 artfynd.xlsx", "A 50530-2025")</f>
        <v/>
      </c>
      <c r="X50">
        <f>HYPERLINK("https://klasma.github.io/Logging_2425/kartor/A 50530-2025 karta.png", "A 50530-2025")</f>
        <v/>
      </c>
      <c r="Y50">
        <f>HYPERLINK("https://klasma.github.io/Logging_2425/kartor_geotiff/A 50530-2025 georefererad karta.tif", "A 50530-2025")</f>
        <v/>
      </c>
      <c r="AA50">
        <f>HYPERLINK("https://klasma.github.io/Logging_2425/klagomål/A 50530-2025 FSC-klagomål.docx", "A 50530-2025")</f>
        <v/>
      </c>
      <c r="AB50">
        <f>HYPERLINK("https://klasma.github.io/Logging_2425/klagomålsmail/A 50530-2025 FSC-klagomål mail.docx", "A 50530-2025")</f>
        <v/>
      </c>
      <c r="AC50">
        <f>HYPERLINK("https://klasma.github.io/Logging_2425/tillsyn/A 50530-2025 tillsynsbegäran.docx", "A 50530-2025")</f>
        <v/>
      </c>
      <c r="AD50">
        <f>HYPERLINK("https://klasma.github.io/Logging_2425/tillsynsmail/A 50530-2025 tillsynsbegäran mail.docx", "A 50530-2025")</f>
        <v/>
      </c>
    </row>
    <row r="51" ht="15" customHeight="1">
      <c r="A51" t="inlineStr">
        <is>
          <t>A 25980-2026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46269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40.2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HYPERLINK("https://klasma.github.io/Logging_2425/artfynd/A 25980-2026 artfynd.xlsx", "A 25980-2026")</f>
        <v/>
      </c>
      <c r="X51">
        <f>HYPERLINK("https://klasma.github.io/Logging_2425/kartor/A 25980-2026 karta.png", "A 25980-2026")</f>
        <v/>
      </c>
      <c r="Y51">
        <f>HYPERLINK("https://klasma.github.io/Logging_2425/kartor_geotiff/A 25980-2026 georefererad karta.tif", "A 25980-2026")</f>
        <v/>
      </c>
      <c r="AA51">
        <f>HYPERLINK("https://klasma.github.io/Logging_2425/klagomål/A 25980-2026 FSC-klagomål.docx", "A 25980-2026")</f>
        <v/>
      </c>
      <c r="AB51">
        <f>HYPERLINK("https://klasma.github.io/Logging_2425/klagomålsmail/A 25980-2026 FSC-klagomål mail.docx", "A 25980-2026")</f>
        <v/>
      </c>
      <c r="AC51">
        <f>HYPERLINK("https://klasma.github.io/Logging_2425/tillsyn/A 25980-2026 tillsynsbegäran.docx", "A 25980-2026")</f>
        <v/>
      </c>
      <c r="AD51">
        <f>HYPERLINK("https://klasma.github.io/Logging_2425/tillsynsmail/A 25980-2026 tillsynsbegäran mail.docx", "A 25980-2026")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46269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57060-2024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46269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HYPERLINK("https://klasma.github.io/Logging_2425/artfynd/A 57060-2024 artfynd.xlsx", "A 57060-2024")</f>
        <v/>
      </c>
      <c r="X53">
        <f>HYPERLINK("https://klasma.github.io/Logging_2425/kartor/A 57060-2024 karta.png", "A 57060-2024")</f>
        <v/>
      </c>
      <c r="Y53">
        <f>HYPERLINK("https://klasma.github.io/Logging_2425/kartor_geotiff/A 57060-2024 georefererad karta.tif", "A 57060-2024")</f>
        <v/>
      </c>
      <c r="AA53">
        <f>HYPERLINK("https://klasma.github.io/Logging_2425/klagomål/A 57060-2024 FSC-klagomål.docx", "A 57060-2024")</f>
        <v/>
      </c>
      <c r="AB53">
        <f>HYPERLINK("https://klasma.github.io/Logging_2425/klagomålsmail/A 57060-2024 FSC-klagomål mail.docx", "A 57060-2024")</f>
        <v/>
      </c>
      <c r="AC53">
        <f>HYPERLINK("https://klasma.github.io/Logging_2425/tillsyn/A 57060-2024 tillsynsbegäran.docx", "A 57060-2024")</f>
        <v/>
      </c>
      <c r="AD53">
        <f>HYPERLINK("https://klasma.github.io/Logging_2425/tillsynsmail/A 57060-2024 tillsynsbegäran mail.docx", "A 57060-2024")</f>
        <v/>
      </c>
    </row>
    <row r="54" ht="15" customHeight="1">
      <c r="A54" t="inlineStr">
        <is>
          <t>A 30357-2026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46269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Tajgahumla</t>
        </is>
      </c>
      <c r="W54">
        <f>HYPERLINK("https://klasma.github.io/Logging_2425/artfynd/A 30357-2026 artfynd.xlsx", "A 30357-2026")</f>
        <v/>
      </c>
      <c r="X54">
        <f>HYPERLINK("https://klasma.github.io/Logging_2425/kartor/A 30357-2026 karta.png", "A 30357-2026")</f>
        <v/>
      </c>
      <c r="Y54">
        <f>HYPERLINK("https://klasma.github.io/Logging_2425/kartor_geotiff/A 30357-2026 georefererad karta.tif", "A 30357-2026")</f>
        <v/>
      </c>
      <c r="AA54">
        <f>HYPERLINK("https://klasma.github.io/Logging_2425/klagomål/A 30357-2026 FSC-klagomål.docx", "A 30357-2026")</f>
        <v/>
      </c>
      <c r="AB54">
        <f>HYPERLINK("https://klasma.github.io/Logging_2425/klagomålsmail/A 30357-2026 FSC-klagomål mail.docx", "A 30357-2026")</f>
        <v/>
      </c>
      <c r="AC54">
        <f>HYPERLINK("https://klasma.github.io/Logging_2425/tillsyn/A 30357-2026 tillsynsbegäran.docx", "A 30357-2026")</f>
        <v/>
      </c>
      <c r="AD54">
        <f>HYPERLINK("https://klasma.github.io/Logging_2425/tillsynsmail/A 30357-2026 tillsynsbegäran mail.docx", "A 30357-2026")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46269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46269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46269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46269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46269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46269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46269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46269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46269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46269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46269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46269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46269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46269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46269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44956</v>
      </c>
      <c r="E70" s="1" t="n">
        <v>46269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27199-2024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45471</v>
      </c>
      <c r="E71" s="1" t="n">
        <v>46269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44719</v>
      </c>
      <c r="E72" s="1" t="n">
        <v>46269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45071</v>
      </c>
      <c r="E73" s="1" t="n">
        <v>46269</v>
      </c>
      <c r="F73" t="inlineStr">
        <is>
          <t>VÄSTERBOTTENS LÄN</t>
        </is>
      </c>
      <c r="G73" t="inlineStr">
        <is>
          <t>DOROTEA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22942-2024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45448</v>
      </c>
      <c r="E74" s="1" t="n">
        <v>46269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45734</v>
      </c>
      <c r="E75" s="1" t="n">
        <v>46269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46269</v>
      </c>
      <c r="F76" t="inlineStr">
        <is>
          <t>VÄSTERBOTTENS LÄN</t>
        </is>
      </c>
      <c r="G76" t="inlineStr">
        <is>
          <t>DOROTEA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42104-2024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45562</v>
      </c>
      <c r="E77" s="1" t="n">
        <v>46269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45228</v>
      </c>
      <c r="E78" s="1" t="n">
        <v>46269</v>
      </c>
      <c r="F78" t="inlineStr">
        <is>
          <t>VÄSTERBOTTENS LÄN</t>
        </is>
      </c>
      <c r="G78" t="inlineStr">
        <is>
          <t>DOROTEA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45228</v>
      </c>
      <c r="E79" s="1" t="n">
        <v>46269</v>
      </c>
      <c r="F79" t="inlineStr">
        <is>
          <t>VÄSTERBOTTENS LÄN</t>
        </is>
      </c>
      <c r="G79" t="inlineStr">
        <is>
          <t>DOROTEA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44958</v>
      </c>
      <c r="E80" s="1" t="n">
        <v>46269</v>
      </c>
      <c r="F80" t="inlineStr">
        <is>
          <t>VÄSTERBOTTENS LÄN</t>
        </is>
      </c>
      <c r="G80" t="inlineStr">
        <is>
          <t>DOROTEA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46269</v>
      </c>
      <c r="F81" t="inlineStr">
        <is>
          <t>VÄSTERBOTTENS LÄN</t>
        </is>
      </c>
      <c r="G81" t="inlineStr">
        <is>
          <t>DOROTEA</t>
        </is>
      </c>
      <c r="I81" t="n">
        <v>10.2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46269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46269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45792</v>
      </c>
      <c r="E84" s="1" t="n">
        <v>46269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44761</v>
      </c>
      <c r="E85" s="1" t="n">
        <v>46269</v>
      </c>
      <c r="F85" t="inlineStr">
        <is>
          <t>VÄSTERBOTTENS LÄN</t>
        </is>
      </c>
      <c r="G85" t="inlineStr">
        <is>
          <t>DOROTEA</t>
        </is>
      </c>
      <c r="I85" t="n">
        <v>10.6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29737-2024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45485</v>
      </c>
      <c r="E86" s="1" t="n">
        <v>46269</v>
      </c>
      <c r="F86" t="inlineStr">
        <is>
          <t>VÄSTERBOTTENS LÄN</t>
        </is>
      </c>
      <c r="G86" t="inlineStr">
        <is>
          <t>DOROTEA</t>
        </is>
      </c>
      <c r="I86" t="n">
        <v>10.2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46269</v>
      </c>
      <c r="F87" t="inlineStr">
        <is>
          <t>VÄSTERBOTTENS LÄN</t>
        </is>
      </c>
      <c r="G87" t="inlineStr">
        <is>
          <t>DOROTEA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48006-2023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45198</v>
      </c>
      <c r="E88" s="1" t="n">
        <v>46269</v>
      </c>
      <c r="F88" t="inlineStr">
        <is>
          <t>VÄSTERBOTTENS LÄN</t>
        </is>
      </c>
      <c r="G88" t="inlineStr">
        <is>
          <t>DOROTEA</t>
        </is>
      </c>
      <c r="H88" t="inlineStr">
        <is>
          <t>Övriga statliga verk och myndigheter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25028-2024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45461</v>
      </c>
      <c r="E89" s="1" t="n">
        <v>46269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34820-2023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46269</v>
      </c>
      <c r="F90" t="inlineStr">
        <is>
          <t>VÄSTERBOTTENS LÄN</t>
        </is>
      </c>
      <c r="G90" t="inlineStr">
        <is>
          <t>DOROTEA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45551</v>
      </c>
      <c r="E91" s="1" t="n">
        <v>46269</v>
      </c>
      <c r="F91" t="inlineStr">
        <is>
          <t>VÄSTERBOTTENS LÄN</t>
        </is>
      </c>
      <c r="G91" t="inlineStr">
        <is>
          <t>DOROTEA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45517</v>
      </c>
      <c r="E92" s="1" t="n">
        <v>46269</v>
      </c>
      <c r="F92" t="inlineStr">
        <is>
          <t>VÄSTERBOTTENS LÄN</t>
        </is>
      </c>
      <c r="G92" t="inlineStr">
        <is>
          <t>DOROTEA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45399</v>
      </c>
      <c r="E93" s="1" t="n">
        <v>46269</v>
      </c>
      <c r="F93" t="inlineStr">
        <is>
          <t>VÄSTERBOTTENS LÄN</t>
        </is>
      </c>
      <c r="G93" t="inlineStr">
        <is>
          <t>DOROTEA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53380-2024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45614</v>
      </c>
      <c r="E94" s="1" t="n">
        <v>46269</v>
      </c>
      <c r="F94" t="inlineStr">
        <is>
          <t>VÄSTERBOTTENS LÄN</t>
        </is>
      </c>
      <c r="G94" t="inlineStr">
        <is>
          <t>DOROTEA</t>
        </is>
      </c>
      <c r="I94" t="n">
        <v>12.8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46269</v>
      </c>
      <c r="F95" t="inlineStr">
        <is>
          <t>VÄSTERBOTTENS LÄN</t>
        </is>
      </c>
      <c r="G95" t="inlineStr">
        <is>
          <t>DOROTEA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4617-2023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44956</v>
      </c>
      <c r="E96" s="1" t="n">
        <v>46269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60304-2022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44910</v>
      </c>
      <c r="E97" s="1" t="n">
        <v>46269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25356-2025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46269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45224</v>
      </c>
      <c r="E99" s="1" t="n">
        <v>46269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45519</v>
      </c>
      <c r="E100" s="1" t="n">
        <v>46269</v>
      </c>
      <c r="F100" t="inlineStr">
        <is>
          <t>VÄSTERBOTTENS LÄN</t>
        </is>
      </c>
      <c r="G100" t="inlineStr">
        <is>
          <t>DOROTEA</t>
        </is>
      </c>
      <c r="I100" t="n">
        <v>8.9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60162-2024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46269</v>
      </c>
      <c r="F101" t="inlineStr">
        <is>
          <t>VÄSTERBOTTENS LÄN</t>
        </is>
      </c>
      <c r="G101" t="inlineStr">
        <is>
          <t>DOROTEA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46269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41353-2022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46269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46269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45807</v>
      </c>
      <c r="E105" s="1" t="n">
        <v>46269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45807</v>
      </c>
      <c r="E106" s="1" t="n">
        <v>46269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46269</v>
      </c>
      <c r="F107" t="inlineStr">
        <is>
          <t>VÄSTERBOTTENS LÄN</t>
        </is>
      </c>
      <c r="G107" t="inlineStr">
        <is>
          <t>DOROTEA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46269</v>
      </c>
      <c r="F108" t="inlineStr">
        <is>
          <t>VÄSTERBOTTENS LÄN</t>
        </is>
      </c>
      <c r="G108" t="inlineStr">
        <is>
          <t>DOROTEA</t>
        </is>
      </c>
      <c r="I108" t="n">
        <v>14.8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60163-2024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46269</v>
      </c>
      <c r="F109" t="inlineStr">
        <is>
          <t>VÄSTERBOTTENS LÄN</t>
        </is>
      </c>
      <c r="G109" t="inlineStr">
        <is>
          <t>DOROTEA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45742</v>
      </c>
      <c r="E110" s="1" t="n">
        <v>46269</v>
      </c>
      <c r="F110" t="inlineStr">
        <is>
          <t>VÄSTERBOTTENS LÄN</t>
        </is>
      </c>
      <c r="G110" t="inlineStr">
        <is>
          <t>DOROTEA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45125</v>
      </c>
      <c r="E111" s="1" t="n">
        <v>46269</v>
      </c>
      <c r="F111" t="inlineStr">
        <is>
          <t>VÄSTERBOTTENS LÄN</t>
        </is>
      </c>
      <c r="G111" t="inlineStr">
        <is>
          <t>DOROTEA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26904-2025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46269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45551</v>
      </c>
      <c r="E113" s="1" t="n">
        <v>46269</v>
      </c>
      <c r="F113" t="inlineStr">
        <is>
          <t>VÄSTERBOTTENS LÄN</t>
        </is>
      </c>
      <c r="G113" t="inlineStr">
        <is>
          <t>DOROTEA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4958-2023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44956</v>
      </c>
      <c r="E114" s="1" t="n">
        <v>46269</v>
      </c>
      <c r="F114" t="inlineStr">
        <is>
          <t>VÄSTERBOTTENS LÄN</t>
        </is>
      </c>
      <c r="G114" t="inlineStr">
        <is>
          <t>DOROTEA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45182</v>
      </c>
      <c r="E115" s="1" t="n">
        <v>46269</v>
      </c>
      <c r="F115" t="inlineStr">
        <is>
          <t>VÄSTERBOTTENS LÄN</t>
        </is>
      </c>
      <c r="G115" t="inlineStr">
        <is>
          <t>DOROTEA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46269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22946-2024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46269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46269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46269</v>
      </c>
      <c r="F119" t="inlineStr">
        <is>
          <t>VÄSTERBOTTENS LÄN</t>
        </is>
      </c>
      <c r="G119" t="inlineStr">
        <is>
          <t>DOROTEA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44582</v>
      </c>
      <c r="E120" s="1" t="n">
        <v>46269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34700-2023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45140</v>
      </c>
      <c r="E121" s="1" t="n">
        <v>46269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34702-2023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45140</v>
      </c>
      <c r="E122" s="1" t="n">
        <v>46269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40434-2023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45169</v>
      </c>
      <c r="E123" s="1" t="n">
        <v>46269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29258-2025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46269</v>
      </c>
      <c r="F124" t="inlineStr">
        <is>
          <t>VÄSTERBOTTENS LÄN</t>
        </is>
      </c>
      <c r="G124" t="inlineStr">
        <is>
          <t>DOROTEA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45198</v>
      </c>
      <c r="E125" s="1" t="n">
        <v>46269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57070-2023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45244</v>
      </c>
      <c r="E126" s="1" t="n">
        <v>46269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41104-2023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46269</v>
      </c>
      <c r="F127" t="inlineStr">
        <is>
          <t>VÄSTERBOTTENS LÄN</t>
        </is>
      </c>
      <c r="G127" t="inlineStr">
        <is>
          <t>DOROTEA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60145-2021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46269</v>
      </c>
      <c r="F128" t="inlineStr">
        <is>
          <t>VÄSTERBOTTENS LÄN</t>
        </is>
      </c>
      <c r="G128" t="inlineStr">
        <is>
          <t>DOROTEA</t>
        </is>
      </c>
      <c r="I128" t="n">
        <v>13.3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59418-2023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45253</v>
      </c>
      <c r="E129" s="1" t="n">
        <v>46269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44860</v>
      </c>
      <c r="E130" s="1" t="n">
        <v>46269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Sveaskog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45636</v>
      </c>
      <c r="E131" s="1" t="n">
        <v>46269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45488</v>
      </c>
      <c r="E132" s="1" t="n">
        <v>46269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45483</v>
      </c>
      <c r="E133" s="1" t="n">
        <v>46269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46269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27909-2024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45475</v>
      </c>
      <c r="E135" s="1" t="n">
        <v>46269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13.2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46269</v>
      </c>
      <c r="F136" t="inlineStr">
        <is>
          <t>VÄSTERBOTTENS LÄN</t>
        </is>
      </c>
      <c r="G136" t="inlineStr">
        <is>
          <t>DOROTEA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46269</v>
      </c>
      <c r="F137" t="inlineStr">
        <is>
          <t>VÄSTERBOTTENS LÄN</t>
        </is>
      </c>
      <c r="G137" t="inlineStr">
        <is>
          <t>DOROTEA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40435-2023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45169</v>
      </c>
      <c r="E138" s="1" t="n">
        <v>46269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14806-2023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45013</v>
      </c>
      <c r="E139" s="1" t="n">
        <v>46269</v>
      </c>
      <c r="F139" t="inlineStr">
        <is>
          <t>VÄSTERBOTTENS LÄN</t>
        </is>
      </c>
      <c r="G139" t="inlineStr">
        <is>
          <t>DOROTEA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34279-2025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46269</v>
      </c>
      <c r="F140" t="inlineStr">
        <is>
          <t>VÄSTERBOTTENS LÄN</t>
        </is>
      </c>
      <c r="G140" t="inlineStr">
        <is>
          <t>DOROTEA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44484</v>
      </c>
      <c r="E141" s="1" t="n">
        <v>46269</v>
      </c>
      <c r="F141" t="inlineStr">
        <is>
          <t>VÄSTERBOTTENS LÄN</t>
        </is>
      </c>
      <c r="G141" t="inlineStr">
        <is>
          <t>DOROTEA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44889</v>
      </c>
      <c r="E142" s="1" t="n">
        <v>46269</v>
      </c>
      <c r="F142" t="inlineStr">
        <is>
          <t>VÄSTERBOTTENS LÄN</t>
        </is>
      </c>
      <c r="G142" t="inlineStr">
        <is>
          <t>DOROTEA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34681-2025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45848</v>
      </c>
      <c r="E143" s="1" t="n">
        <v>46269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45847</v>
      </c>
      <c r="E144" s="1" t="n">
        <v>46269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46269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45852</v>
      </c>
      <c r="E146" s="1" t="n">
        <v>46269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46269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45622</v>
      </c>
      <c r="E148" s="1" t="n">
        <v>46269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46269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46269</v>
      </c>
      <c r="F150" t="inlineStr">
        <is>
          <t>VÄSTERBOTTENS LÄN</t>
        </is>
      </c>
      <c r="G150" t="inlineStr">
        <is>
          <t>DOROTEA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45855</v>
      </c>
      <c r="E151" s="1" t="n">
        <v>46269</v>
      </c>
      <c r="F151" t="inlineStr">
        <is>
          <t>VÄSTERBOTTENS LÄN</t>
        </is>
      </c>
      <c r="G151" t="inlineStr">
        <is>
          <t>DOROTEA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45855</v>
      </c>
      <c r="E152" s="1" t="n">
        <v>46269</v>
      </c>
      <c r="F152" t="inlineStr">
        <is>
          <t>VÄSTERBOTTENS LÄN</t>
        </is>
      </c>
      <c r="G152" t="inlineStr">
        <is>
          <t>DOROTEA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45111</v>
      </c>
      <c r="E153" s="1" t="n">
        <v>46269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36125-2025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45866</v>
      </c>
      <c r="E154" s="1" t="n">
        <v>46269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36111-2025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45866</v>
      </c>
      <c r="E155" s="1" t="n">
        <v>46269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44889</v>
      </c>
      <c r="E156" s="1" t="n">
        <v>46269</v>
      </c>
      <c r="F156" t="inlineStr">
        <is>
          <t>VÄSTERBOTTENS LÄN</t>
        </is>
      </c>
      <c r="G156" t="inlineStr">
        <is>
          <t>DOROTEA</t>
        </is>
      </c>
      <c r="I156" t="n">
        <v>15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45714</v>
      </c>
      <c r="E157" s="1" t="n">
        <v>46269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45874</v>
      </c>
      <c r="E158" s="1" t="n">
        <v>46269</v>
      </c>
      <c r="F158" t="inlineStr">
        <is>
          <t>VÄSTERBOTTENS LÄN</t>
        </is>
      </c>
      <c r="G158" t="inlineStr">
        <is>
          <t>DOROTEA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74013-2021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46269</v>
      </c>
      <c r="F159" t="inlineStr">
        <is>
          <t>VÄSTERBOTTENS LÄN</t>
        </is>
      </c>
      <c r="G159" t="inlineStr">
        <is>
          <t>DOROTEA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44925</v>
      </c>
      <c r="E160" s="1" t="n">
        <v>46269</v>
      </c>
      <c r="F160" t="inlineStr">
        <is>
          <t>VÄSTERBOTTENS LÄN</t>
        </is>
      </c>
      <c r="G160" t="inlineStr">
        <is>
          <t>DOROTEA</t>
        </is>
      </c>
      <c r="I160" t="n">
        <v>22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45742</v>
      </c>
      <c r="E161" s="1" t="n">
        <v>46269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45491</v>
      </c>
      <c r="E162" s="1" t="n">
        <v>46269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Sveaskog</t>
        </is>
      </c>
      <c r="I162" t="n">
        <v>13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36844-2025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45874</v>
      </c>
      <c r="E163" s="1" t="n">
        <v>46269</v>
      </c>
      <c r="F163" t="inlineStr">
        <is>
          <t>VÄSTERBOTTENS LÄN</t>
        </is>
      </c>
      <c r="G163" t="inlineStr">
        <is>
          <t>DOROTEA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37259-2025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45876</v>
      </c>
      <c r="E164" s="1" t="n">
        <v>46269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45875</v>
      </c>
      <c r="E165" s="1" t="n">
        <v>46269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45876</v>
      </c>
      <c r="E166" s="1" t="n">
        <v>46269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46269</v>
      </c>
      <c r="F167" t="inlineStr">
        <is>
          <t>VÄSTERBOTTENS LÄN</t>
        </is>
      </c>
      <c r="G167" t="inlineStr">
        <is>
          <t>DOROTEA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44974</v>
      </c>
      <c r="E168" s="1" t="n">
        <v>46269</v>
      </c>
      <c r="F168" t="inlineStr">
        <is>
          <t>VÄSTERBOTTENS LÄN</t>
        </is>
      </c>
      <c r="G168" t="inlineStr">
        <is>
          <t>DOROTEA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44568</v>
      </c>
      <c r="E169" s="1" t="n">
        <v>46269</v>
      </c>
      <c r="F169" t="inlineStr">
        <is>
          <t>VÄSTERBOTTENS LÄN</t>
        </is>
      </c>
      <c r="G169" t="inlineStr">
        <is>
          <t>DOROTEA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37476-2025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45877</v>
      </c>
      <c r="E170" s="1" t="n">
        <v>46269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45712</v>
      </c>
      <c r="E171" s="1" t="n">
        <v>46269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45882</v>
      </c>
      <c r="E172" s="1" t="n">
        <v>46269</v>
      </c>
      <c r="F172" t="inlineStr">
        <is>
          <t>VÄSTERBOTTENS LÄN</t>
        </is>
      </c>
      <c r="G172" t="inlineStr">
        <is>
          <t>DOROTEA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45565</v>
      </c>
      <c r="E173" s="1" t="n">
        <v>46269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45882</v>
      </c>
      <c r="E174" s="1" t="n">
        <v>46269</v>
      </c>
      <c r="F174" t="inlineStr">
        <is>
          <t>VÄSTERBOTTENS LÄN</t>
        </is>
      </c>
      <c r="G174" t="inlineStr">
        <is>
          <t>DOROTEA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45882</v>
      </c>
      <c r="E175" s="1" t="n">
        <v>46269</v>
      </c>
      <c r="F175" t="inlineStr">
        <is>
          <t>VÄSTERBOTTENS LÄN</t>
        </is>
      </c>
      <c r="G175" t="inlineStr">
        <is>
          <t>DOROTEA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46269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38097-2025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45882</v>
      </c>
      <c r="E177" s="1" t="n">
        <v>46269</v>
      </c>
      <c r="F177" t="inlineStr">
        <is>
          <t>VÄSTERBOTTENS LÄN</t>
        </is>
      </c>
      <c r="G177" t="inlineStr">
        <is>
          <t>DOROTEA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45882</v>
      </c>
      <c r="E178" s="1" t="n">
        <v>46269</v>
      </c>
      <c r="F178" t="inlineStr">
        <is>
          <t>VÄSTERBOTTENS LÄN</t>
        </is>
      </c>
      <c r="G178" t="inlineStr">
        <is>
          <t>DOROTEA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7429-2023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44971</v>
      </c>
      <c r="E179" s="1" t="n">
        <v>46269</v>
      </c>
      <c r="F179" t="inlineStr">
        <is>
          <t>VÄSTERBOTTENS LÄN</t>
        </is>
      </c>
      <c r="G179" t="inlineStr">
        <is>
          <t>DOROTEA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46269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45036</v>
      </c>
      <c r="E181" s="1" t="n">
        <v>46269</v>
      </c>
      <c r="F181" t="inlineStr">
        <is>
          <t>VÄSTERBOTTENS LÄN</t>
        </is>
      </c>
      <c r="G181" t="inlineStr">
        <is>
          <t>DOROTEA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45223</v>
      </c>
      <c r="E182" s="1" t="n">
        <v>46269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41771-2024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45561</v>
      </c>
      <c r="E183" s="1" t="n">
        <v>46269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55919-2023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45239</v>
      </c>
      <c r="E184" s="1" t="n">
        <v>46269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46269</v>
      </c>
      <c r="F185" t="inlineStr">
        <is>
          <t>VÄSTERBOTTENS LÄN</t>
        </is>
      </c>
      <c r="G185" t="inlineStr">
        <is>
          <t>DOROTEA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46269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46269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46269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45883</v>
      </c>
      <c r="E189" s="1" t="n">
        <v>46269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46269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19445-2026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46133</v>
      </c>
      <c r="E191" s="1" t="n">
        <v>46269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19298-2026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46133</v>
      </c>
      <c r="E192" s="1" t="n">
        <v>46269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38227-2025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46269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46133</v>
      </c>
      <c r="E194" s="1" t="n">
        <v>46269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44979</v>
      </c>
      <c r="E195" s="1" t="n">
        <v>46269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47494-2023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45202</v>
      </c>
      <c r="E196" s="1" t="n">
        <v>46269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46269</v>
      </c>
      <c r="F197" t="inlineStr">
        <is>
          <t>VÄSTERBOTTENS LÄN</t>
        </is>
      </c>
      <c r="G197" t="inlineStr">
        <is>
          <t>DOROTEA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46269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45893</v>
      </c>
      <c r="E199" s="1" t="n">
        <v>46269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45846</v>
      </c>
      <c r="E200" s="1" t="n">
        <v>46269</v>
      </c>
      <c r="F200" t="inlineStr">
        <is>
          <t>VÄSTERBOTTENS LÄN</t>
        </is>
      </c>
      <c r="G200" t="inlineStr">
        <is>
          <t>DOROTEA</t>
        </is>
      </c>
      <c r="I200" t="n">
        <v>14.7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46269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46269</v>
      </c>
      <c r="F202" t="inlineStr">
        <is>
          <t>VÄSTERBOTTENS LÄN</t>
        </is>
      </c>
      <c r="G202" t="inlineStr">
        <is>
          <t>DOROTEA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45855</v>
      </c>
      <c r="E203" s="1" t="n">
        <v>46269</v>
      </c>
      <c r="F203" t="inlineStr">
        <is>
          <t>VÄSTERBOTTENS LÄN</t>
        </is>
      </c>
      <c r="G203" t="inlineStr">
        <is>
          <t>DOROTEA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46269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45036</v>
      </c>
      <c r="E205" s="1" t="n">
        <v>46269</v>
      </c>
      <c r="F205" t="inlineStr">
        <is>
          <t>VÄSTERBOTTENS LÄN</t>
        </is>
      </c>
      <c r="G205" t="inlineStr">
        <is>
          <t>DOROTEA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46269</v>
      </c>
      <c r="F206" t="inlineStr">
        <is>
          <t>VÄSTERBOTTENS LÄN</t>
        </is>
      </c>
      <c r="G206" t="inlineStr">
        <is>
          <t>DOROTEA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45866</v>
      </c>
      <c r="E207" s="1" t="n">
        <v>46269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45556</v>
      </c>
      <c r="E208" s="1" t="n">
        <v>46269</v>
      </c>
      <c r="F208" t="inlineStr">
        <is>
          <t>VÄSTERBOTTENS LÄN</t>
        </is>
      </c>
      <c r="G208" t="inlineStr">
        <is>
          <t>DOROTEA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42125-2025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46269</v>
      </c>
      <c r="F209" t="inlineStr">
        <is>
          <t>VÄSTERBOTTENS LÄN</t>
        </is>
      </c>
      <c r="G209" t="inlineStr">
        <is>
          <t>DOROTEA</t>
        </is>
      </c>
      <c r="H209" t="inlineStr">
        <is>
          <t>Övriga Aktiebolag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46269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45295</v>
      </c>
      <c r="E211" s="1" t="n">
        <v>46269</v>
      </c>
      <c r="F211" t="inlineStr">
        <is>
          <t>VÄSTERBOTTENS LÄN</t>
        </is>
      </c>
      <c r="G211" t="inlineStr">
        <is>
          <t>DOROTEA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63294-2025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46010</v>
      </c>
      <c r="E212" s="1" t="n">
        <v>46269</v>
      </c>
      <c r="F212" t="inlineStr">
        <is>
          <t>VÄSTERBOTTENS LÄN</t>
        </is>
      </c>
      <c r="G212" t="inlineStr">
        <is>
          <t>DOROTEA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46269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57170-2025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46269</v>
      </c>
      <c r="F214" t="inlineStr">
        <is>
          <t>VÄSTERBOTTENS LÄN</t>
        </is>
      </c>
      <c r="G214" t="inlineStr">
        <is>
          <t>DOROTEA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46966-2024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45586</v>
      </c>
      <c r="E215" s="1" t="n">
        <v>46269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46269</v>
      </c>
      <c r="F216" t="inlineStr">
        <is>
          <t>VÄSTERBOTTENS LÄN</t>
        </is>
      </c>
      <c r="G216" t="inlineStr">
        <is>
          <t>DOROTEA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46269</v>
      </c>
      <c r="F217" t="inlineStr">
        <is>
          <t>VÄSTERBOTTENS LÄN</t>
        </is>
      </c>
      <c r="G217" t="inlineStr">
        <is>
          <t>DOROTEA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63575-2025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46013</v>
      </c>
      <c r="E218" s="1" t="n">
        <v>46269</v>
      </c>
      <c r="F218" t="inlineStr">
        <is>
          <t>VÄSTERBOTTENS LÄN</t>
        </is>
      </c>
      <c r="G218" t="inlineStr">
        <is>
          <t>DOROTEA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45180</v>
      </c>
      <c r="E219" s="1" t="n">
        <v>46269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27.7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46269</v>
      </c>
      <c r="F220" t="inlineStr">
        <is>
          <t>VÄSTERBOTTENS LÄN</t>
        </is>
      </c>
      <c r="G220" t="inlineStr">
        <is>
          <t>DOROTEA</t>
        </is>
      </c>
      <c r="I220" t="n">
        <v>31.7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44888</v>
      </c>
      <c r="E221" s="1" t="n">
        <v>46269</v>
      </c>
      <c r="F221" t="inlineStr">
        <is>
          <t>VÄSTERBOTTENS LÄN</t>
        </is>
      </c>
      <c r="G221" t="inlineStr">
        <is>
          <t>DOROTEA</t>
        </is>
      </c>
      <c r="I221" t="n">
        <v>15.8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46269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11.1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46269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45912</v>
      </c>
      <c r="E224" s="1" t="n">
        <v>46269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20333-2026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46136</v>
      </c>
      <c r="E225" s="1" t="n">
        <v>46269</v>
      </c>
      <c r="F225" t="inlineStr">
        <is>
          <t>VÄSTERBOTTENS LÄN</t>
        </is>
      </c>
      <c r="G225" t="inlineStr">
        <is>
          <t>DOROTEA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45912</v>
      </c>
      <c r="E226" s="1" t="n">
        <v>46269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44282-2025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45916</v>
      </c>
      <c r="E227" s="1" t="n">
        <v>46269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45611</v>
      </c>
      <c r="E228" s="1" t="n">
        <v>46269</v>
      </c>
      <c r="F228" t="inlineStr">
        <is>
          <t>VÄSTERBOTTENS LÄN</t>
        </is>
      </c>
      <c r="G228" t="inlineStr">
        <is>
          <t>DOROTEA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44194-2025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46269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44190-2025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46269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46269</v>
      </c>
      <c r="F231" t="inlineStr">
        <is>
          <t>VÄSTERBOTTENS LÄN</t>
        </is>
      </c>
      <c r="G231" t="inlineStr">
        <is>
          <t>DOROTEA</t>
        </is>
      </c>
      <c r="H231" t="inlineStr">
        <is>
          <t>Övriga statliga verk och myndigheter</t>
        </is>
      </c>
      <c r="I231" t="n">
        <v>15.2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45331</v>
      </c>
      <c r="E232" s="1" t="n">
        <v>46269</v>
      </c>
      <c r="F232" t="inlineStr">
        <is>
          <t>VÄSTERBOTTENS LÄN</t>
        </is>
      </c>
      <c r="G232" t="inlineStr">
        <is>
          <t>DOROTEA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46269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46269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46269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45988</v>
      </c>
      <c r="E236" s="1" t="n">
        <v>46269</v>
      </c>
      <c r="F236" t="inlineStr">
        <is>
          <t>VÄSTERBOTTENS LÄN</t>
        </is>
      </c>
      <c r="G236" t="inlineStr">
        <is>
          <t>DOROTEA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23300-2023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45075</v>
      </c>
      <c r="E237" s="1" t="n">
        <v>46269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17658-2023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45036</v>
      </c>
      <c r="E238" s="1" t="n">
        <v>46269</v>
      </c>
      <c r="F238" t="inlineStr">
        <is>
          <t>VÄSTERBOTTENS LÄN</t>
        </is>
      </c>
      <c r="G238" t="inlineStr">
        <is>
          <t>DOROTEA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45705</v>
      </c>
      <c r="E239" s="1" t="n">
        <v>46269</v>
      </c>
      <c r="F239" t="inlineStr">
        <is>
          <t>VÄSTERBOTTENS LÄN</t>
        </is>
      </c>
      <c r="G239" t="inlineStr">
        <is>
          <t>DOROTEA</t>
        </is>
      </c>
      <c r="I239" t="n">
        <v>13.3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45876</v>
      </c>
      <c r="E240" s="1" t="n">
        <v>46269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45351</v>
      </c>
      <c r="E241" s="1" t="n">
        <v>46269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46269</v>
      </c>
      <c r="F242" t="inlineStr">
        <is>
          <t>VÄSTERBOTTENS LÄN</t>
        </is>
      </c>
      <c r="G242" t="inlineStr">
        <is>
          <t>DOROTEA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35990-2023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45148</v>
      </c>
      <c r="E243" s="1" t="n">
        <v>46269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46269</v>
      </c>
      <c r="F244" t="inlineStr">
        <is>
          <t>VÄSTERBOTTENS LÄN</t>
        </is>
      </c>
      <c r="G244" t="inlineStr">
        <is>
          <t>DOROTEA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46269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45845</v>
      </c>
      <c r="E246" s="1" t="n">
        <v>46269</v>
      </c>
      <c r="F246" t="inlineStr">
        <is>
          <t>VÄSTERBOTTENS LÄN</t>
        </is>
      </c>
      <c r="G246" t="inlineStr">
        <is>
          <t>DOROTEA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45614</v>
      </c>
      <c r="E247" s="1" t="n">
        <v>46269</v>
      </c>
      <c r="F247" t="inlineStr">
        <is>
          <t>VÄSTERBOTTENS LÄN</t>
        </is>
      </c>
      <c r="G247" t="inlineStr">
        <is>
          <t>DOROTEA</t>
        </is>
      </c>
      <c r="I247" t="n">
        <v>26.5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46136</v>
      </c>
      <c r="E248" s="1" t="n">
        <v>46269</v>
      </c>
      <c r="F248" t="inlineStr">
        <is>
          <t>VÄSTERBOTTENS LÄN</t>
        </is>
      </c>
      <c r="G248" t="inlineStr">
        <is>
          <t>DOROTEA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45678</v>
      </c>
      <c r="E249" s="1" t="n">
        <v>46269</v>
      </c>
      <c r="F249" t="inlineStr">
        <is>
          <t>VÄSTERBOTTENS LÄN</t>
        </is>
      </c>
      <c r="G249" t="inlineStr">
        <is>
          <t>DOROTEA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46141</v>
      </c>
      <c r="E250" s="1" t="n">
        <v>46269</v>
      </c>
      <c r="F250" t="inlineStr">
        <is>
          <t>VÄSTERBOTTENS LÄN</t>
        </is>
      </c>
      <c r="G250" t="inlineStr">
        <is>
          <t>DOROTEA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46269</v>
      </c>
      <c r="F251" t="inlineStr">
        <is>
          <t>VÄSTERBOTTENS LÄN</t>
        </is>
      </c>
      <c r="G251" t="inlineStr">
        <is>
          <t>DOROTEA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20231-2026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46136</v>
      </c>
      <c r="E252" s="1" t="n">
        <v>46269</v>
      </c>
      <c r="F252" t="inlineStr">
        <is>
          <t>VÄSTERBOTTENS LÄN</t>
        </is>
      </c>
      <c r="G252" t="inlineStr">
        <is>
          <t>DOROTEA</t>
        </is>
      </c>
      <c r="I252" t="n">
        <v>21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46269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46269</v>
      </c>
      <c r="F254" t="inlineStr">
        <is>
          <t>VÄSTERBOTTENS LÄN</t>
        </is>
      </c>
      <c r="G254" t="inlineStr">
        <is>
          <t>DOROTEA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46269</v>
      </c>
      <c r="F255" t="inlineStr">
        <is>
          <t>VÄSTERBOTTENS LÄN</t>
        </is>
      </c>
      <c r="G255" t="inlineStr">
        <is>
          <t>DOROTEA</t>
        </is>
      </c>
      <c r="H255" t="inlineStr">
        <is>
          <t>Kommuner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20680-2026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46141</v>
      </c>
      <c r="E256" s="1" t="n">
        <v>46269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46269</v>
      </c>
      <c r="F257" t="inlineStr">
        <is>
          <t>VÄSTERBOTTENS LÄN</t>
        </is>
      </c>
      <c r="G257" t="inlineStr">
        <is>
          <t>DOROTEA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46269</v>
      </c>
      <c r="F258" t="inlineStr">
        <is>
          <t>VÄSTERBOTTENS LÄN</t>
        </is>
      </c>
      <c r="G258" t="inlineStr">
        <is>
          <t>DOROTEA</t>
        </is>
      </c>
      <c r="I258" t="n">
        <v>17.8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46269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46269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49408-2025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46269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45246</v>
      </c>
      <c r="E262" s="1" t="n">
        <v>46269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49054-2025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46269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9.800000000000001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46147</v>
      </c>
      <c r="E264" s="1" t="n">
        <v>46269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45729</v>
      </c>
      <c r="E265" s="1" t="n">
        <v>46269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13.5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46147</v>
      </c>
      <c r="E266" s="1" t="n">
        <v>46269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21749-2026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46149</v>
      </c>
      <c r="E267" s="1" t="n">
        <v>46269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21812-2026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46150</v>
      </c>
      <c r="E268" s="1" t="n">
        <v>46269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46150</v>
      </c>
      <c r="E269" s="1" t="n">
        <v>46269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46189</v>
      </c>
      <c r="E270" s="1" t="n">
        <v>46269</v>
      </c>
      <c r="F270" t="inlineStr">
        <is>
          <t>VÄSTERBOTTENS LÄN</t>
        </is>
      </c>
      <c r="G270" t="inlineStr">
        <is>
          <t>DOROTEA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46189</v>
      </c>
      <c r="E271" s="1" t="n">
        <v>46269</v>
      </c>
      <c r="F271" t="inlineStr">
        <is>
          <t>VÄSTERBOTTENS LÄN</t>
        </is>
      </c>
      <c r="G271" t="inlineStr">
        <is>
          <t>DOROTEA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46269</v>
      </c>
      <c r="F272" t="inlineStr">
        <is>
          <t>VÄSTERBOTTENS LÄN</t>
        </is>
      </c>
      <c r="G272" t="inlineStr">
        <is>
          <t>DOROTEA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45574</v>
      </c>
      <c r="E273" s="1" t="n">
        <v>46269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46269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46269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16.2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45539</v>
      </c>
      <c r="E276" s="1" t="n">
        <v>46269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12.3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55888-2022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44888</v>
      </c>
      <c r="E277" s="1" t="n">
        <v>46269</v>
      </c>
      <c r="F277" t="inlineStr">
        <is>
          <t>VÄSTERBOTTENS LÄN</t>
        </is>
      </c>
      <c r="G277" t="inlineStr">
        <is>
          <t>DOROTEA</t>
        </is>
      </c>
      <c r="I277" t="n">
        <v>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46153</v>
      </c>
      <c r="E278" s="1" t="n">
        <v>46269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16.4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44960</v>
      </c>
      <c r="E279" s="1" t="n">
        <v>46269</v>
      </c>
      <c r="F279" t="inlineStr">
        <is>
          <t>VÄSTERBOTTENS LÄN</t>
        </is>
      </c>
      <c r="G279" t="inlineStr">
        <is>
          <t>DOROTEA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15352-2025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45747</v>
      </c>
      <c r="E280" s="1" t="n">
        <v>46269</v>
      </c>
      <c r="F280" t="inlineStr">
        <is>
          <t>VÄSTERBOTTENS LÄN</t>
        </is>
      </c>
      <c r="G280" t="inlineStr">
        <is>
          <t>DOROTEA</t>
        </is>
      </c>
      <c r="I280" t="n">
        <v>10.3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56807-2021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44481</v>
      </c>
      <c r="E281" s="1" t="n">
        <v>46269</v>
      </c>
      <c r="F281" t="inlineStr">
        <is>
          <t>VÄSTERBOTTENS LÄN</t>
        </is>
      </c>
      <c r="G281" t="inlineStr">
        <is>
          <t>DOROTEA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22650-2026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46269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52412-2025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46269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45642</v>
      </c>
      <c r="E284" s="1" t="n">
        <v>46269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46269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23001-2026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46160</v>
      </c>
      <c r="E286" s="1" t="n">
        <v>46269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38377-2023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45161</v>
      </c>
      <c r="E287" s="1" t="n">
        <v>46269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38096-2025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45882</v>
      </c>
      <c r="E288" s="1" t="n">
        <v>46269</v>
      </c>
      <c r="F288" t="inlineStr">
        <is>
          <t>VÄSTERBOTTENS LÄN</t>
        </is>
      </c>
      <c r="G288" t="inlineStr">
        <is>
          <t>DOROTEA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46269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14163-2024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45392</v>
      </c>
      <c r="E290" s="1" t="n">
        <v>46269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45505</v>
      </c>
      <c r="E291" s="1" t="n">
        <v>46269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46269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46269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46269</v>
      </c>
      <c r="F294" t="inlineStr">
        <is>
          <t>VÄSTERBOTTENS LÄN</t>
        </is>
      </c>
      <c r="G294" t="inlineStr">
        <is>
          <t>DOROTEA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46269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30461-2024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45491</v>
      </c>
      <c r="E296" s="1" t="n">
        <v>46269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45962</v>
      </c>
      <c r="E297" s="1" t="n">
        <v>46269</v>
      </c>
      <c r="F297" t="inlineStr">
        <is>
          <t>VÄSTERBOTTENS LÄN</t>
        </is>
      </c>
      <c r="G297" t="inlineStr">
        <is>
          <t>DOROTEA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46269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45966</v>
      </c>
      <c r="E299" s="1" t="n">
        <v>46269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7.3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23214-2026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46162</v>
      </c>
      <c r="E300" s="1" t="n">
        <v>46269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23408-2026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46269</v>
      </c>
      <c r="F301" t="inlineStr">
        <is>
          <t>VÄSTERBOTTENS LÄN</t>
        </is>
      </c>
      <c r="G301" t="inlineStr">
        <is>
          <t>DOROTEA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46817-2022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44848</v>
      </c>
      <c r="E302" s="1" t="n">
        <v>46269</v>
      </c>
      <c r="F302" t="inlineStr">
        <is>
          <t>VÄSTERBOTTENS LÄN</t>
        </is>
      </c>
      <c r="G302" t="inlineStr">
        <is>
          <t>DOROTEA</t>
        </is>
      </c>
      <c r="I302" t="n">
        <v>29.8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46269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46269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46269</v>
      </c>
      <c r="F305" t="inlineStr">
        <is>
          <t>VÄSTERBOTTENS LÄN</t>
        </is>
      </c>
      <c r="G305" t="inlineStr">
        <is>
          <t>DOROTEA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46269</v>
      </c>
      <c r="F306" t="inlineStr">
        <is>
          <t>VÄSTERBOTTENS LÄN</t>
        </is>
      </c>
      <c r="G306" t="inlineStr">
        <is>
          <t>DOROTEA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50582-2024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45600</v>
      </c>
      <c r="E307" s="1" t="n">
        <v>46269</v>
      </c>
      <c r="F307" t="inlineStr">
        <is>
          <t>VÄSTERBOTTENS LÄN</t>
        </is>
      </c>
      <c r="G307" t="inlineStr">
        <is>
          <t>DOROTEA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45977</v>
      </c>
      <c r="E308" s="1" t="n">
        <v>46269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45980</v>
      </c>
      <c r="E309" s="1" t="n">
        <v>46269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45980</v>
      </c>
      <c r="E310" s="1" t="n">
        <v>46269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45980</v>
      </c>
      <c r="E311" s="1" t="n">
        <v>46269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25373-2026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46269</v>
      </c>
      <c r="F312" t="inlineStr">
        <is>
          <t>VÄSTERBOTTENS LÄN</t>
        </is>
      </c>
      <c r="G312" t="inlineStr">
        <is>
          <t>DOROTEA</t>
        </is>
      </c>
      <c r="I312" t="n">
        <v>7.9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58014-2025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45982</v>
      </c>
      <c r="E313" s="1" t="n">
        <v>46269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18.2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57722-2025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45981</v>
      </c>
      <c r="E314" s="1" t="n">
        <v>46269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46269</v>
      </c>
      <c r="F315" t="inlineStr">
        <is>
          <t>VÄSTERBOTTENS LÄN</t>
        </is>
      </c>
      <c r="G315" t="inlineStr">
        <is>
          <t>DOROTEA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42473-2024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45565</v>
      </c>
      <c r="E316" s="1" t="n">
        <v>46269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57947-2025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45982</v>
      </c>
      <c r="E317" s="1" t="n">
        <v>46269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46269</v>
      </c>
      <c r="F318" t="inlineStr">
        <is>
          <t>VÄSTERBOTTENS LÄN</t>
        </is>
      </c>
      <c r="G318" t="inlineStr">
        <is>
          <t>DOROTEA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45988</v>
      </c>
      <c r="E319" s="1" t="n">
        <v>46269</v>
      </c>
      <c r="F319" t="inlineStr">
        <is>
          <t>VÄSTERBOTTENS LÄN</t>
        </is>
      </c>
      <c r="G319" t="inlineStr">
        <is>
          <t>DOROTEA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46269</v>
      </c>
      <c r="F320" t="inlineStr">
        <is>
          <t>VÄSTERBOTTENS LÄN</t>
        </is>
      </c>
      <c r="G320" t="inlineStr">
        <is>
          <t>DOROTEA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9103-2023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44979</v>
      </c>
      <c r="E321" s="1" t="n">
        <v>46269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46269</v>
      </c>
      <c r="F322" t="inlineStr">
        <is>
          <t>VÄSTERBOTTENS LÄN</t>
        </is>
      </c>
      <c r="G322" t="inlineStr">
        <is>
          <t>DOROTEA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25361-2026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46176</v>
      </c>
      <c r="E323" s="1" t="n">
        <v>46269</v>
      </c>
      <c r="F323" t="inlineStr">
        <is>
          <t>VÄSTERBOTTENS LÄN</t>
        </is>
      </c>
      <c r="G323" t="inlineStr">
        <is>
          <t>DOROTEA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46269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11.8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24852-2026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46269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46965-2024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45586</v>
      </c>
      <c r="E326" s="1" t="n">
        <v>46269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Sveaskog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46269</v>
      </c>
      <c r="F327" t="inlineStr">
        <is>
          <t>VÄSTERBOTTENS LÄN</t>
        </is>
      </c>
      <c r="G327" t="inlineStr">
        <is>
          <t>DOROTEA</t>
        </is>
      </c>
      <c r="I327" t="n">
        <v>26.2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35937-2025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45862</v>
      </c>
      <c r="E328" s="1" t="n">
        <v>46269</v>
      </c>
      <c r="F328" t="inlineStr">
        <is>
          <t>VÄSTERBOTTENS LÄN</t>
        </is>
      </c>
      <c r="G328" t="inlineStr">
        <is>
          <t>DOROTEA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45996</v>
      </c>
      <c r="E329" s="1" t="n">
        <v>46269</v>
      </c>
      <c r="F329" t="inlineStr">
        <is>
          <t>VÄSTERBOTTENS LÄN</t>
        </is>
      </c>
      <c r="G329" t="inlineStr">
        <is>
          <t>DOROTEA</t>
        </is>
      </c>
      <c r="I329" t="n">
        <v>23.9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26124-2026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46269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46269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26237-2026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46269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46269</v>
      </c>
      <c r="F333" t="inlineStr">
        <is>
          <t>VÄSTERBOTTENS LÄN</t>
        </is>
      </c>
      <c r="G333" t="inlineStr">
        <is>
          <t>DOROTEA</t>
        </is>
      </c>
      <c r="I333" t="n">
        <v>18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46182</v>
      </c>
      <c r="E334" s="1" t="n">
        <v>46269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62193-2025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46003</v>
      </c>
      <c r="E335" s="1" t="n">
        <v>46269</v>
      </c>
      <c r="F335" t="inlineStr">
        <is>
          <t>VÄSTERBOTTENS LÄN</t>
        </is>
      </c>
      <c r="G335" t="inlineStr">
        <is>
          <t>DOROTEA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46269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37072-2024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45539</v>
      </c>
      <c r="E337" s="1" t="n">
        <v>46269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8.199999999999999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62399-2025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46007</v>
      </c>
      <c r="E338" s="1" t="n">
        <v>46269</v>
      </c>
      <c r="F338" t="inlineStr">
        <is>
          <t>VÄSTERBOTTENS LÄN</t>
        </is>
      </c>
      <c r="G338" t="inlineStr">
        <is>
          <t>DOROTEA</t>
        </is>
      </c>
      <c r="I338" t="n">
        <v>16.7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46269</v>
      </c>
      <c r="F339" t="inlineStr">
        <is>
          <t>VÄSTERBOTTENS LÄN</t>
        </is>
      </c>
      <c r="G339" t="inlineStr">
        <is>
          <t>DOROTEA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62423-2025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46007</v>
      </c>
      <c r="E340" s="1" t="n">
        <v>46269</v>
      </c>
      <c r="F340" t="inlineStr">
        <is>
          <t>VÄSTERBOTTENS LÄN</t>
        </is>
      </c>
      <c r="G340" t="inlineStr">
        <is>
          <t>DOROTEA</t>
        </is>
      </c>
      <c r="I340" t="n">
        <v>13.2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45755</v>
      </c>
      <c r="E341" s="1" t="n">
        <v>46269</v>
      </c>
      <c r="F341" t="inlineStr">
        <is>
          <t>VÄSTERBOTTENS LÄN</t>
        </is>
      </c>
      <c r="G341" t="inlineStr">
        <is>
          <t>DOROTEA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26926-2026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46185</v>
      </c>
      <c r="E342" s="1" t="n">
        <v>46269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46007</v>
      </c>
      <c r="E343" s="1" t="n">
        <v>46269</v>
      </c>
      <c r="F343" t="inlineStr">
        <is>
          <t>VÄSTERBOTTENS LÄN</t>
        </is>
      </c>
      <c r="G343" t="inlineStr">
        <is>
          <t>DOROTEA</t>
        </is>
      </c>
      <c r="I343" t="n">
        <v>12.3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62974-2025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46009</v>
      </c>
      <c r="E344" s="1" t="n">
        <v>46269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46010</v>
      </c>
      <c r="E345" s="1" t="n">
        <v>46269</v>
      </c>
      <c r="F345" t="inlineStr">
        <is>
          <t>VÄSTERBOTTENS LÄN</t>
        </is>
      </c>
      <c r="G345" t="inlineStr">
        <is>
          <t>DOROTEA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63745-2025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46017</v>
      </c>
      <c r="E346" s="1" t="n">
        <v>46269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8.699999999999999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42228-2024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46269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7.7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33738-2024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45520</v>
      </c>
      <c r="E348" s="1" t="n">
        <v>46269</v>
      </c>
      <c r="F348" t="inlineStr">
        <is>
          <t>VÄSTERBOTTENS LÄN</t>
        </is>
      </c>
      <c r="G348" t="inlineStr">
        <is>
          <t>DOROTEA</t>
        </is>
      </c>
      <c r="I348" t="n">
        <v>11.1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27738-2026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46191</v>
      </c>
      <c r="E349" s="1" t="n">
        <v>46269</v>
      </c>
      <c r="F349" t="inlineStr">
        <is>
          <t>VÄSTERBOTTENS LÄN</t>
        </is>
      </c>
      <c r="G349" t="inlineStr">
        <is>
          <t>DOROTEA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46030</v>
      </c>
      <c r="E350" s="1" t="n">
        <v>46269</v>
      </c>
      <c r="F350" t="inlineStr">
        <is>
          <t>VÄSTERBOTTENS LÄN</t>
        </is>
      </c>
      <c r="G350" t="inlineStr">
        <is>
          <t>DOROTEA</t>
        </is>
      </c>
      <c r="I350" t="n">
        <v>18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46269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46269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27477-2023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45097</v>
      </c>
      <c r="E353" s="1" t="n">
        <v>46269</v>
      </c>
      <c r="F353" t="inlineStr">
        <is>
          <t>VÄSTERBOTTENS LÄN</t>
        </is>
      </c>
      <c r="G353" t="inlineStr">
        <is>
          <t>DOROTEA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2146-2026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46269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28360-2026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46269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49.5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44942</v>
      </c>
      <c r="E356" s="1" t="n">
        <v>46269</v>
      </c>
      <c r="F356" t="inlineStr">
        <is>
          <t>VÄSTERBOTTENS LÄN</t>
        </is>
      </c>
      <c r="G356" t="inlineStr">
        <is>
          <t>DOROTEA</t>
        </is>
      </c>
      <c r="I356" t="n">
        <v>22.7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46269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46269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46269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12.9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3368-2026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46042</v>
      </c>
      <c r="E360" s="1" t="n">
        <v>46269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46042</v>
      </c>
      <c r="E361" s="1" t="n">
        <v>46269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42889-2024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45566</v>
      </c>
      <c r="E362" s="1" t="n">
        <v>46269</v>
      </c>
      <c r="F362" t="inlineStr">
        <is>
          <t>VÄSTERBOTTENS LÄN</t>
        </is>
      </c>
      <c r="G362" t="inlineStr">
        <is>
          <t>DOROTEA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46269</v>
      </c>
      <c r="F363" t="inlineStr">
        <is>
          <t>VÄSTERBOTTENS LÄN</t>
        </is>
      </c>
      <c r="G363" t="inlineStr">
        <is>
          <t>DOROTEA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28741-2026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46198</v>
      </c>
      <c r="E364" s="1" t="n">
        <v>46269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28783-2026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46269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46269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63885-2025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46269</v>
      </c>
      <c r="F367" t="inlineStr">
        <is>
          <t>VÄSTERBOTTENS LÄN</t>
        </is>
      </c>
      <c r="G367" t="inlineStr">
        <is>
          <t>DOROTEA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46269</v>
      </c>
      <c r="F368" t="inlineStr">
        <is>
          <t>VÄSTERBOTTENS LÄN</t>
        </is>
      </c>
      <c r="G368" t="inlineStr">
        <is>
          <t>DOROTEA</t>
        </is>
      </c>
      <c r="I368" t="n">
        <v>11.8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12773-2026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46091</v>
      </c>
      <c r="E369" s="1" t="n">
        <v>46269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46051</v>
      </c>
      <c r="E370" s="1" t="n">
        <v>46269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46269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46269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46054</v>
      </c>
      <c r="E373" s="1" t="n">
        <v>46269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29757-2026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46269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46248</v>
      </c>
      <c r="E375" s="1" t="n">
        <v>46269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59653-2024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45639</v>
      </c>
      <c r="E376" s="1" t="n">
        <v>46269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46247</v>
      </c>
      <c r="E377" s="1" t="n">
        <v>46269</v>
      </c>
      <c r="F377" t="inlineStr">
        <is>
          <t>VÄSTERBOTTENS LÄN</t>
        </is>
      </c>
      <c r="G377" t="inlineStr">
        <is>
          <t>DOROTEA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7713-2026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46269</v>
      </c>
      <c r="F378" t="inlineStr">
        <is>
          <t>VÄSTERBOTTENS LÄN</t>
        </is>
      </c>
      <c r="G378" t="inlineStr">
        <is>
          <t>DOROTEA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7716-2026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46059</v>
      </c>
      <c r="E379" s="1" t="n">
        <v>46269</v>
      </c>
      <c r="F379" t="inlineStr">
        <is>
          <t>VÄSTERBOTTENS LÄN</t>
        </is>
      </c>
      <c r="G379" t="inlineStr">
        <is>
          <t>DOROTEA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17783-2023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46269</v>
      </c>
      <c r="F380" t="inlineStr">
        <is>
          <t>VÄSTERBOTTENS LÄN</t>
        </is>
      </c>
      <c r="G380" t="inlineStr">
        <is>
          <t>DOROTEA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7963-2026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46269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22944-2024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45448</v>
      </c>
      <c r="E382" s="1" t="n">
        <v>46269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30078-2026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46269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8852-2024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45356</v>
      </c>
      <c r="E384" s="1" t="n">
        <v>46269</v>
      </c>
      <c r="F384" t="inlineStr">
        <is>
          <t>VÄSTERBOTTENS LÄN</t>
        </is>
      </c>
      <c r="G384" t="inlineStr">
        <is>
          <t>DOROTEA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46269</v>
      </c>
      <c r="F385" t="inlineStr">
        <is>
          <t>VÄSTERBOTTENS LÄN</t>
        </is>
      </c>
      <c r="G385" t="inlineStr">
        <is>
          <t>DOROTEA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46269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9796-2026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46269</v>
      </c>
      <c r="F387" t="inlineStr">
        <is>
          <t>VÄSTERBOTTENS LÄN</t>
        </is>
      </c>
      <c r="G387" t="inlineStr">
        <is>
          <t>DOROTEA</t>
        </is>
      </c>
      <c r="I387" t="n">
        <v>20.1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45770</v>
      </c>
      <c r="E388" s="1" t="n">
        <v>46269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8246-2024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45351</v>
      </c>
      <c r="E389" s="1" t="n">
        <v>46269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34189-2026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46269</v>
      </c>
      <c r="F390" t="inlineStr">
        <is>
          <t>VÄSTERBOTTENS LÄN</t>
        </is>
      </c>
      <c r="G390" t="inlineStr">
        <is>
          <t>DOROTEA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46211</v>
      </c>
      <c r="E391" s="1" t="n">
        <v>46269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30645-2026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46211</v>
      </c>
      <c r="E392" s="1" t="n">
        <v>46269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46253</v>
      </c>
      <c r="E393" s="1" t="n">
        <v>46269</v>
      </c>
      <c r="F393" t="inlineStr">
        <is>
          <t>VÄSTERBOTTENS LÄN</t>
        </is>
      </c>
      <c r="G393" t="inlineStr">
        <is>
          <t>DOROTEA</t>
        </is>
      </c>
      <c r="I393" t="n">
        <v>13.6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46269</v>
      </c>
      <c r="F394" t="inlineStr">
        <is>
          <t>VÄSTERBOTTENS LÄN</t>
        </is>
      </c>
      <c r="G394" t="inlineStr">
        <is>
          <t>DOROTEA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34149-2026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46269</v>
      </c>
      <c r="F395" t="inlineStr">
        <is>
          <t>VÄSTERBOTTENS LÄN</t>
        </is>
      </c>
      <c r="G395" t="inlineStr">
        <is>
          <t>DOROTEA</t>
        </is>
      </c>
      <c r="I395" t="n">
        <v>11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46085</v>
      </c>
      <c r="E396" s="1" t="n">
        <v>46269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12082-2026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46086</v>
      </c>
      <c r="E397" s="1" t="n">
        <v>46269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30885-2026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46212</v>
      </c>
      <c r="E398" s="1" t="n">
        <v>46269</v>
      </c>
      <c r="F398" t="inlineStr">
        <is>
          <t>VÄSTERBOTTENS LÄN</t>
        </is>
      </c>
      <c r="G398" t="inlineStr">
        <is>
          <t>DOROTEA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30821-2026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46212</v>
      </c>
      <c r="E399" s="1" t="n">
        <v>46269</v>
      </c>
      <c r="F399" t="inlineStr">
        <is>
          <t>VÄSTERBOTTENS LÄN</t>
        </is>
      </c>
      <c r="G399" t="inlineStr">
        <is>
          <t>DOROTEA</t>
        </is>
      </c>
      <c r="I399" t="n">
        <v>8.4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46212</v>
      </c>
      <c r="E400" s="1" t="n">
        <v>46269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24003-2025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45796</v>
      </c>
      <c r="E401" s="1" t="n">
        <v>46269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31016-2026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46213</v>
      </c>
      <c r="E402" s="1" t="n">
        <v>46269</v>
      </c>
      <c r="F402" t="inlineStr">
        <is>
          <t>VÄSTERBOTTENS LÄN</t>
        </is>
      </c>
      <c r="G402" t="inlineStr">
        <is>
          <t>DOROTEA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46269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31006-2026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46213</v>
      </c>
      <c r="E404" s="1" t="n">
        <v>46269</v>
      </c>
      <c r="F404" t="inlineStr">
        <is>
          <t>VÄSTERBOTTENS LÄN</t>
        </is>
      </c>
      <c r="G404" t="inlineStr">
        <is>
          <t>DOROTEA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45755</v>
      </c>
      <c r="E405" s="1" t="n">
        <v>46269</v>
      </c>
      <c r="F405" t="inlineStr">
        <is>
          <t>VÄSTERBOTTENS LÄN</t>
        </is>
      </c>
      <c r="G405" t="inlineStr">
        <is>
          <t>DOROTEA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35202-2025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45852</v>
      </c>
      <c r="E406" s="1" t="n">
        <v>46269</v>
      </c>
      <c r="F406" t="inlineStr">
        <is>
          <t>VÄSTERBOTTENS LÄN</t>
        </is>
      </c>
      <c r="G406" t="inlineStr">
        <is>
          <t>DOROTEA</t>
        </is>
      </c>
      <c r="H406" t="inlineStr">
        <is>
          <t>Allmännings- och besparingsskogar</t>
        </is>
      </c>
      <c r="I406" t="n">
        <v>22.1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35203-2025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45852</v>
      </c>
      <c r="E407" s="1" t="n">
        <v>46269</v>
      </c>
      <c r="F407" t="inlineStr">
        <is>
          <t>VÄSTERBOTTENS LÄN</t>
        </is>
      </c>
      <c r="G407" t="inlineStr">
        <is>
          <t>DOROTEA</t>
        </is>
      </c>
      <c r="H407" t="inlineStr">
        <is>
          <t>Allmännings- och besparingsskogar</t>
        </is>
      </c>
      <c r="I407" t="n">
        <v>20.3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59395-2023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45253</v>
      </c>
      <c r="E408" s="1" t="n">
        <v>46269</v>
      </c>
      <c r="F408" t="inlineStr">
        <is>
          <t>VÄSTERBOTTENS LÄN</t>
        </is>
      </c>
      <c r="G408" t="inlineStr">
        <is>
          <t>DOROTEA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59397-2023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45253</v>
      </c>
      <c r="E409" s="1" t="n">
        <v>46269</v>
      </c>
      <c r="F409" t="inlineStr">
        <is>
          <t>VÄSTERBOTTENS LÄN</t>
        </is>
      </c>
      <c r="G409" t="inlineStr">
        <is>
          <t>DOROTEA</t>
        </is>
      </c>
      <c r="I409" t="n">
        <v>8.5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20759-2023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45055</v>
      </c>
      <c r="E410" s="1" t="n">
        <v>46269</v>
      </c>
      <c r="F410" t="inlineStr">
        <is>
          <t>VÄSTERBOTTENS LÄN</t>
        </is>
      </c>
      <c r="G410" t="inlineStr">
        <is>
          <t>DOROTEA</t>
        </is>
      </c>
      <c r="H410" t="inlineStr">
        <is>
          <t>Övriga statliga verk och myndigheter</t>
        </is>
      </c>
      <c r="I410" t="n">
        <v>13.9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67686-2021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44524</v>
      </c>
      <c r="E411" s="1" t="n">
        <v>46269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32821-2024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45516</v>
      </c>
      <c r="E412" s="1" t="n">
        <v>46269</v>
      </c>
      <c r="F412" t="inlineStr">
        <is>
          <t>VÄSTERBOTTENS LÄN</t>
        </is>
      </c>
      <c r="G412" t="inlineStr">
        <is>
          <t>DOROTEA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57376-2022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44889</v>
      </c>
      <c r="E413" s="1" t="n">
        <v>46269</v>
      </c>
      <c r="F413" t="inlineStr">
        <is>
          <t>VÄSTERBOTTENS LÄN</t>
        </is>
      </c>
      <c r="G413" t="inlineStr">
        <is>
          <t>DOROTEA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46217</v>
      </c>
      <c r="E414" s="1" t="n">
        <v>46269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14249-2026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46099</v>
      </c>
      <c r="E415" s="1" t="n">
        <v>46269</v>
      </c>
      <c r="F415" t="inlineStr">
        <is>
          <t>VÄSTERBOTTENS LÄN</t>
        </is>
      </c>
      <c r="G415" t="inlineStr">
        <is>
          <t>DOROTEA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34107-2023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45125</v>
      </c>
      <c r="E416" s="1" t="n">
        <v>46269</v>
      </c>
      <c r="F416" t="inlineStr">
        <is>
          <t>VÄSTERBOTTENS LÄN</t>
        </is>
      </c>
      <c r="G416" t="inlineStr">
        <is>
          <t>DOROTEA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35000-2023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45142</v>
      </c>
      <c r="E417" s="1" t="n">
        <v>46269</v>
      </c>
      <c r="F417" t="inlineStr">
        <is>
          <t>VÄSTERBOTTENS LÄN</t>
        </is>
      </c>
      <c r="G417" t="inlineStr">
        <is>
          <t>DOROTEA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15020-2026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46269</v>
      </c>
      <c r="F418" t="inlineStr">
        <is>
          <t>VÄSTERBOTTENS LÄN</t>
        </is>
      </c>
      <c r="G418" t="inlineStr">
        <is>
          <t>DOROTEA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31179-2026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46217</v>
      </c>
      <c r="E419" s="1" t="n">
        <v>46269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31259-2026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46218</v>
      </c>
      <c r="E420" s="1" t="n">
        <v>46269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46218</v>
      </c>
      <c r="E421" s="1" t="n">
        <v>46269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46261</v>
      </c>
      <c r="E422" s="1" t="n">
        <v>46269</v>
      </c>
      <c r="F422" t="inlineStr">
        <is>
          <t>VÄSTERBOTTENS LÄN</t>
        </is>
      </c>
      <c r="G422" t="inlineStr">
        <is>
          <t>DOROTEA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35353-2026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46261</v>
      </c>
      <c r="E423" s="1" t="n">
        <v>46269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52276-2023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46269</v>
      </c>
      <c r="F424" t="inlineStr">
        <is>
          <t>VÄSTERBOTTENS LÄN</t>
        </is>
      </c>
      <c r="G424" t="inlineStr">
        <is>
          <t>DOROTEA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46261</v>
      </c>
      <c r="E425" s="1" t="n">
        <v>46269</v>
      </c>
      <c r="F425" t="inlineStr">
        <is>
          <t>VÄSTERBOTTENS LÄN</t>
        </is>
      </c>
      <c r="G425" t="inlineStr">
        <is>
          <t>DOROTEA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35352-2026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46261</v>
      </c>
      <c r="E426" s="1" t="n">
        <v>46269</v>
      </c>
      <c r="F426" t="inlineStr">
        <is>
          <t>VÄSTERBOTTENS LÄN</t>
        </is>
      </c>
      <c r="G426" t="inlineStr">
        <is>
          <t>DOROTEA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46269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35296-2026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46261</v>
      </c>
      <c r="E428" s="1" t="n">
        <v>46269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35500-2026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46262</v>
      </c>
      <c r="E429" s="1" t="n">
        <v>46269</v>
      </c>
      <c r="F429" t="inlineStr">
        <is>
          <t>VÄSTERBOTTENS LÄN</t>
        </is>
      </c>
      <c r="G429" t="inlineStr">
        <is>
          <t>DOROTEA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46218</v>
      </c>
      <c r="E430" s="1" t="n">
        <v>46269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16251-2026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46111</v>
      </c>
      <c r="E431" s="1" t="n">
        <v>46269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16352-2026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46111</v>
      </c>
      <c r="E432" s="1" t="n">
        <v>46269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33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46111</v>
      </c>
      <c r="E433" s="1" t="n">
        <v>46269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31439-2026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46220</v>
      </c>
      <c r="E434" s="1" t="n">
        <v>46269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46269</v>
      </c>
      <c r="F435" t="inlineStr">
        <is>
          <t>VÄSTERBOTTENS LÄN</t>
        </is>
      </c>
      <c r="G435" t="inlineStr">
        <is>
          <t>DOROTEA</t>
        </is>
      </c>
      <c r="H435" t="inlineStr">
        <is>
          <t>Kommuner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53795-2022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44876</v>
      </c>
      <c r="E436" s="1" t="n">
        <v>46269</v>
      </c>
      <c r="F436" t="inlineStr">
        <is>
          <t>VÄSTERBOTTENS LÄN</t>
        </is>
      </c>
      <c r="G436" t="inlineStr">
        <is>
          <t>DOROTEA</t>
        </is>
      </c>
      <c r="I436" t="n">
        <v>12.3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46114</v>
      </c>
      <c r="E437" s="1" t="n">
        <v>46269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17623-2026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46121</v>
      </c>
      <c r="E438" s="1" t="n">
        <v>46269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20.3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46120</v>
      </c>
      <c r="E439" s="1" t="n">
        <v>46269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46269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18143-2026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46125</v>
      </c>
      <c r="E441" s="1" t="n">
        <v>46269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17971-2026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46123</v>
      </c>
      <c r="E442" s="1" t="n">
        <v>46269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18130-2026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46125</v>
      </c>
      <c r="E443" s="1" t="n">
        <v>46269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18.3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18157-2026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46125</v>
      </c>
      <c r="E444" s="1" t="n">
        <v>46269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46224</v>
      </c>
      <c r="E445" s="1" t="n">
        <v>46269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36255-2026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46268</v>
      </c>
      <c r="E446" s="1" t="n">
        <v>46269</v>
      </c>
      <c r="F446" t="inlineStr">
        <is>
          <t>VÄSTERBOTTENS LÄN</t>
        </is>
      </c>
      <c r="G446" t="inlineStr">
        <is>
          <t>DOROTEA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46224</v>
      </c>
      <c r="E447" s="1" t="n">
        <v>46269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18254-2026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46269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46126</v>
      </c>
      <c r="E449" s="1" t="n">
        <v>46269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46224</v>
      </c>
      <c r="E450" s="1" t="n">
        <v>46269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52144-2023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45223</v>
      </c>
      <c r="E451" s="1" t="n">
        <v>46269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22450-2024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45446</v>
      </c>
      <c r="E452" s="1" t="n">
        <v>46269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60153-2024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45642</v>
      </c>
      <c r="E453" s="1" t="n">
        <v>46269</v>
      </c>
      <c r="F453" t="inlineStr">
        <is>
          <t>VÄSTERBOTTENS LÄN</t>
        </is>
      </c>
      <c r="G453" t="inlineStr">
        <is>
          <t>DOROTEA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9030-2025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45713</v>
      </c>
      <c r="E454" s="1" t="n">
        <v>46269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60015-2023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45257</v>
      </c>
      <c r="E455" s="1" t="n">
        <v>46269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45315</v>
      </c>
      <c r="E456" s="1" t="n">
        <v>46269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10402-2025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45720</v>
      </c>
      <c r="E457" s="1" t="n">
        <v>46269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59394-2023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45253</v>
      </c>
      <c r="E458" s="1" t="n">
        <v>46269</v>
      </c>
      <c r="F458" t="inlineStr">
        <is>
          <t>VÄSTERBOTTENS LÄN</t>
        </is>
      </c>
      <c r="G458" t="inlineStr">
        <is>
          <t>DOROTEA</t>
        </is>
      </c>
      <c r="I458" t="n">
        <v>28.8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27305-2024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45471</v>
      </c>
      <c r="E459" s="1" t="n">
        <v>46269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28549-2023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45103</v>
      </c>
      <c r="E460" s="1" t="n">
        <v>46269</v>
      </c>
      <c r="F460" t="inlineStr">
        <is>
          <t>VÄSTERBOTTENS LÄN</t>
        </is>
      </c>
      <c r="G460" t="inlineStr">
        <is>
          <t>DOROTEA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43944-2024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45572</v>
      </c>
      <c r="E461" s="1" t="n">
        <v>46269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28856-2024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45478</v>
      </c>
      <c r="E462" s="1" t="n">
        <v>46269</v>
      </c>
      <c r="F462" t="inlineStr">
        <is>
          <t>VÄSTERBOTTENS LÄN</t>
        </is>
      </c>
      <c r="G462" t="inlineStr">
        <is>
          <t>DOROTEA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53382-2024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45614</v>
      </c>
      <c r="E463" s="1" t="n">
        <v>46269</v>
      </c>
      <c r="F463" t="inlineStr">
        <is>
          <t>VÄSTERBOTTENS LÄN</t>
        </is>
      </c>
      <c r="G463" t="inlineStr">
        <is>
          <t>DOROTEA</t>
        </is>
      </c>
      <c r="I463" t="n">
        <v>11.2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2945-2024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45506</v>
      </c>
      <c r="E464" s="1" t="n">
        <v>46269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1058-2025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45749</v>
      </c>
      <c r="E465" s="1" t="n">
        <v>46269</v>
      </c>
      <c r="F465" t="inlineStr">
        <is>
          <t>VÄSTERBOTTENS LÄN</t>
        </is>
      </c>
      <c r="G465" t="inlineStr">
        <is>
          <t>DOROTEA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844-2025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45733</v>
      </c>
      <c r="E466" s="1" t="n">
        <v>46269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1293.5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2195-2025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45858</v>
      </c>
      <c r="E467" s="1" t="n">
        <v>46269</v>
      </c>
      <c r="F467" t="inlineStr">
        <is>
          <t>VÄSTERBOTTENS LÄN</t>
        </is>
      </c>
      <c r="G467" t="inlineStr">
        <is>
          <t>DOROTEA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2283-2025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45876</v>
      </c>
      <c r="E468" s="1" t="n">
        <v>46269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2360-2025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45889</v>
      </c>
      <c r="E469" s="1" t="n">
        <v>46269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46269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2026-09-04T02:04:58Z</dcterms:created>
  <dcterms:modified xmlns:dcterms="http://purl.org/dc/terms/" xmlns:xsi="http://www.w3.org/2001/XMLSchema-instance" xsi:type="dcterms:W3CDTF">2026-09-04T02:04:59Z</dcterms:modified>
</cp:coreProperties>
</file>