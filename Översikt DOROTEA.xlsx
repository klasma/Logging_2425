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46253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46253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46253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46253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46253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57581-2024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45630</v>
      </c>
      <c r="E7" s="1" t="n">
        <v>46253</v>
      </c>
      <c r="F7" t="inlineStr">
        <is>
          <t>VÄSTERBOTTENS LÄN</t>
        </is>
      </c>
      <c r="G7" t="inlineStr">
        <is>
          <t>DOROTEA</t>
        </is>
      </c>
      <c r="I7" t="n">
        <v>9.1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40</v>
      </c>
      <c r="U7" t="n">
        <v>40</v>
      </c>
      <c r="V7" s="2" t="inlineStr">
        <is>
          <t>Garnlav
Lunglav
Skrovellav
Talltagel
Talltita
Tretåig hackspett
Bårdlav
Luddlav
Norrlandslav
Skinnlav
Spillkråka
Fiskgjuse</t>
        </is>
      </c>
      <c r="W7">
        <f>HYPERLINK("https://klasma.github.io/Logging_2425/artfynd/A 57581-2024 artfynd.xlsx", "A 57581-2024")</f>
        <v/>
      </c>
      <c r="X7">
        <f>HYPERLINK("https://klasma.github.io/Logging_2425/kartor/A 57581-2024 karta.png", "A 57581-2024")</f>
        <v/>
      </c>
      <c r="Y7">
        <f>HYPERLINK("https://klasma.github.io/Logging_2425/kartor_geotiff/A 57581-2024 georefererad karta.tif", "A 57581-2024")</f>
        <v/>
      </c>
      <c r="AA7">
        <f>HYPERLINK("https://klasma.github.io/Logging_2425/klagomål/A 57581-2024 FSC-klagomål.docx", "A 57581-2024")</f>
        <v/>
      </c>
      <c r="AB7">
        <f>HYPERLINK("https://klasma.github.io/Logging_2425/klagomålsmail/A 57581-2024 FSC-klagomål mail.docx", "A 57581-2024")</f>
        <v/>
      </c>
      <c r="AC7">
        <f>HYPERLINK("https://klasma.github.io/Logging_2425/tillsyn/A 57581-2024 tillsynsbegäran.docx", "A 57581-2024")</f>
        <v/>
      </c>
      <c r="AD7">
        <f>HYPERLINK("https://klasma.github.io/Logging_2425/tillsynsmail/A 57581-2024 tillsynsbegäran mail.docx", "A 57581-2024")</f>
        <v/>
      </c>
      <c r="AE7">
        <f>HYPERLINK("https://klasma.github.io/Logging_2425/fåglar/A 57581-2024 prioriterade fågelarter.docx", "A 57581-2024")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46253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46253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46253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46253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46253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46253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46253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33659-2023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46253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21.1</v>
      </c>
      <c r="J15" t="n">
        <v>2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36</v>
      </c>
      <c r="U15" t="n">
        <v>36</v>
      </c>
      <c r="V15" s="2" t="inlineStr">
        <is>
          <t>Garnlav
Harticka
Lavskrika
Stjärntagging
Tretåig hackspett
Trådticka</t>
        </is>
      </c>
      <c r="W15">
        <f>HYPERLINK("https://klasma.github.io/Logging_2425/artfynd/A 33659-2023 artfynd.xlsx", "A 33659-2023")</f>
        <v/>
      </c>
      <c r="X15">
        <f>HYPERLINK("https://klasma.github.io/Logging_2425/kartor/A 33659-2023 karta.png", "A 33659-2023")</f>
        <v/>
      </c>
      <c r="Y15">
        <f>HYPERLINK("https://klasma.github.io/Logging_2425/kartor_geotiff/A 33659-2023 georefererad karta.tif", "A 33659-2023")</f>
        <v/>
      </c>
      <c r="AA15">
        <f>HYPERLINK("https://klasma.github.io/Logging_2425/klagomål/A 33659-2023 FSC-klagomål.docx", "A 33659-2023")</f>
        <v/>
      </c>
      <c r="AB15">
        <f>HYPERLINK("https://klasma.github.io/Logging_2425/klagomålsmail/A 33659-2023 FSC-klagomål mail.docx", "A 33659-2023")</f>
        <v/>
      </c>
      <c r="AC15">
        <f>HYPERLINK("https://klasma.github.io/Logging_2425/tillsyn/A 33659-2023 tillsynsbegäran.docx", "A 33659-2023")</f>
        <v/>
      </c>
      <c r="AD15">
        <f>HYPERLINK("https://klasma.github.io/Logging_2425/tillsynsmail/A 33659-2023 tillsynsbegäran mail.docx", "A 33659-2023")</f>
        <v/>
      </c>
      <c r="AE15">
        <f>HYPERLINK("https://klasma.github.io/Logging_2425/fåglar/A 33659-2023 prioriterade fågelarter.docx", "A 33659-2023")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46253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46253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46253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46253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A 47493-2023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45202</v>
      </c>
      <c r="E20" s="1" t="n">
        <v>46253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4.9</v>
      </c>
      <c r="J20" t="n">
        <v>1</v>
      </c>
      <c r="K20" t="n">
        <v>0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Ostticka
Lunglav
Tretåig hackspett
Ullticka</t>
        </is>
      </c>
      <c r="W20">
        <f>HYPERLINK("https://klasma.github.io/Logging_2425/artfynd/A 47493-2023 artfynd.xlsx", "A 47493-2023")</f>
        <v/>
      </c>
      <c r="X20">
        <f>HYPERLINK("https://klasma.github.io/Logging_2425/kartor/A 47493-2023 karta.png", "A 47493-2023")</f>
        <v/>
      </c>
      <c r="Y20">
        <f>HYPERLINK("https://klasma.github.io/Logging_2425/kartor_geotiff/A 47493-2023 georefererad karta.tif", "A 47493-2023")</f>
        <v/>
      </c>
      <c r="AA20">
        <f>HYPERLINK("https://klasma.github.io/Logging_2425/klagomål/A 47493-2023 FSC-klagomål.docx", "A 47493-2023")</f>
        <v/>
      </c>
      <c r="AB20">
        <f>HYPERLINK("https://klasma.github.io/Logging_2425/klagomålsmail/A 47493-2023 FSC-klagomål mail.docx", "A 47493-2023")</f>
        <v/>
      </c>
      <c r="AC20">
        <f>HYPERLINK("https://klasma.github.io/Logging_2425/tillsyn/A 47493-2023 tillsynsbegäran.docx", "A 47493-2023")</f>
        <v/>
      </c>
      <c r="AD20">
        <f>HYPERLINK("https://klasma.github.io/Logging_2425/tillsynsmail/A 47493-2023 tillsynsbegäran mail.docx", "A 47493-2023")</f>
        <v/>
      </c>
      <c r="AE20">
        <f>HYPERLINK("https://klasma.github.io/Logging_2425/fåglar/A 47493-2023 prioriterade fågelarter.docx", "A 47493-2023")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46253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46253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46253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46253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A 21672-2023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46253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7.4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Doftskinn
Skrovellav
Ullticka</t>
        </is>
      </c>
      <c r="W25">
        <f>HYPERLINK("https://klasma.github.io/Logging_2425/artfynd/A 21672-2023 artfynd.xlsx", "A 21672-2023")</f>
        <v/>
      </c>
      <c r="X25">
        <f>HYPERLINK("https://klasma.github.io/Logging_2425/kartor/A 21672-2023 karta.png", "A 21672-2023")</f>
        <v/>
      </c>
      <c r="Y25">
        <f>HYPERLINK("https://klasma.github.io/Logging_2425/kartor_geotiff/A 21672-2023 georefererad karta.tif", "A 21672-2023")</f>
        <v/>
      </c>
      <c r="AA25">
        <f>HYPERLINK("https://klasma.github.io/Logging_2425/klagomål/A 21672-2023 FSC-klagomål.docx", "A 21672-2023")</f>
        <v/>
      </c>
      <c r="AB25">
        <f>HYPERLINK("https://klasma.github.io/Logging_2425/klagomålsmail/A 21672-2023 FSC-klagomål mail.docx", "A 21672-2023")</f>
        <v/>
      </c>
      <c r="AC25">
        <f>HYPERLINK("https://klasma.github.io/Logging_2425/tillsyn/A 21672-2023 tillsynsbegäran.docx", "A 21672-2023")</f>
        <v/>
      </c>
      <c r="AD25">
        <f>HYPERLINK("https://klasma.github.io/Logging_2425/tillsynsmail/A 21672-2023 tillsynsbegäran mail.docx", "A 21672-2023")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46253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17825-2024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45418</v>
      </c>
      <c r="E27" s="1" t="n">
        <v>46253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24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Skrovellav</t>
        </is>
      </c>
      <c r="W27">
        <f>HYPERLINK("https://klasma.github.io/Logging_2425/artfynd/A 17825-2024 artfynd.xlsx", "A 17825-2024")</f>
        <v/>
      </c>
      <c r="X27">
        <f>HYPERLINK("https://klasma.github.io/Logging_2425/kartor/A 17825-2024 karta.png", "A 17825-2024")</f>
        <v/>
      </c>
      <c r="Y27">
        <f>HYPERLINK("https://klasma.github.io/Logging_2425/kartor_geotiff/A 17825-2024 georefererad karta.tif", "A 17825-2024")</f>
        <v/>
      </c>
      <c r="AA27">
        <f>HYPERLINK("https://klasma.github.io/Logging_2425/klagomål/A 17825-2024 FSC-klagomål.docx", "A 17825-2024")</f>
        <v/>
      </c>
      <c r="AB27">
        <f>HYPERLINK("https://klasma.github.io/Logging_2425/klagomålsmail/A 17825-2024 FSC-klagomål mail.docx", "A 17825-2024")</f>
        <v/>
      </c>
      <c r="AC27">
        <f>HYPERLINK("https://klasma.github.io/Logging_2425/tillsyn/A 17825-2024 tillsynsbegäran.docx", "A 17825-2024")</f>
        <v/>
      </c>
      <c r="AD27">
        <f>HYPERLINK("https://klasma.github.io/Logging_2425/tillsynsmail/A 17825-2024 tillsynsbegäran mail.docx", "A 17825-2024")</f>
        <v/>
      </c>
    </row>
    <row r="28" ht="15" customHeight="1">
      <c r="A28" t="inlineStr">
        <is>
          <t>A 4554-2026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46047</v>
      </c>
      <c r="E28" s="1" t="n">
        <v>46253</v>
      </c>
      <c r="F28" t="inlineStr">
        <is>
          <t>VÄSTERBOTTENS LÄN</t>
        </is>
      </c>
      <c r="G28" t="inlineStr">
        <is>
          <t>DOROTEA</t>
        </is>
      </c>
      <c r="I28" t="n">
        <v>6.1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Violettkantad guldvinge
Kricka</t>
        </is>
      </c>
      <c r="W28">
        <f>HYPERLINK("https://klasma.github.io/Logging_2425/artfynd/A 4554-2026 artfynd.xlsx", "A 4554-2026")</f>
        <v/>
      </c>
      <c r="X28">
        <f>HYPERLINK("https://klasma.github.io/Logging_2425/kartor/A 4554-2026 karta.png", "A 4554-2026")</f>
        <v/>
      </c>
      <c r="Y28">
        <f>HYPERLINK("https://klasma.github.io/Logging_2425/kartor_geotiff/A 4554-2026 georefererad karta.tif", "A 4554-2026")</f>
        <v/>
      </c>
      <c r="AA28">
        <f>HYPERLINK("https://klasma.github.io/Logging_2425/klagomål/A 4554-2026 FSC-klagomål.docx", "A 4554-2026")</f>
        <v/>
      </c>
      <c r="AB28">
        <f>HYPERLINK("https://klasma.github.io/Logging_2425/klagomålsmail/A 4554-2026 FSC-klagomål mail.docx", "A 4554-2026")</f>
        <v/>
      </c>
      <c r="AC28">
        <f>HYPERLINK("https://klasma.github.io/Logging_2425/tillsyn/A 4554-2026 tillsynsbegäran.docx", "A 4554-2026")</f>
        <v/>
      </c>
      <c r="AD28">
        <f>HYPERLINK("https://klasma.github.io/Logging_2425/tillsynsmail/A 4554-2026 tillsynsbegäran mail.docx", "A 4554-2026")</f>
        <v/>
      </c>
      <c r="AE28">
        <f>HYPERLINK("https://klasma.github.io/Logging_2425/fåglar/A 4554-2026 prioriterade fågelarter.docx", "A 4554-2026")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46253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33263-2025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46253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15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Vedticka</t>
        </is>
      </c>
      <c r="W30">
        <f>HYPERLINK("https://klasma.github.io/Logging_2425/artfynd/A 33263-2025 artfynd.xlsx", "A 33263-2025")</f>
        <v/>
      </c>
      <c r="X30">
        <f>HYPERLINK("https://klasma.github.io/Logging_2425/kartor/A 33263-2025 karta.png", "A 33263-2025")</f>
        <v/>
      </c>
      <c r="Y30">
        <f>HYPERLINK("https://klasma.github.io/Logging_2425/kartor_geotiff/A 33263-2025 georefererad karta.tif", "A 33263-2025")</f>
        <v/>
      </c>
      <c r="AA30">
        <f>HYPERLINK("https://klasma.github.io/Logging_2425/klagomål/A 33263-2025 FSC-klagomål.docx", "A 33263-2025")</f>
        <v/>
      </c>
      <c r="AB30">
        <f>HYPERLINK("https://klasma.github.io/Logging_2425/klagomålsmail/A 33263-2025 FSC-klagomål mail.docx", "A 33263-2025")</f>
        <v/>
      </c>
      <c r="AC30">
        <f>HYPERLINK("https://klasma.github.io/Logging_2425/tillsyn/A 33263-2025 tillsynsbegäran.docx", "A 33263-2025")</f>
        <v/>
      </c>
      <c r="AD30">
        <f>HYPERLINK("https://klasma.github.io/Logging_2425/tillsynsmail/A 33263-2025 tillsynsbegäran mail.docx", "A 33263-2025")</f>
        <v/>
      </c>
    </row>
    <row r="31" ht="15" customHeight="1">
      <c r="A31" t="inlineStr">
        <is>
          <t>A 49045-2025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46253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4.5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Gammelgransskål
Tretåig hackspett</t>
        </is>
      </c>
      <c r="W31">
        <f>HYPERLINK("https://klasma.github.io/Logging_2425/artfynd/A 49045-2025 artfynd.xlsx", "A 49045-2025")</f>
        <v/>
      </c>
      <c r="X31">
        <f>HYPERLINK("https://klasma.github.io/Logging_2425/kartor/A 49045-2025 karta.png", "A 49045-2025")</f>
        <v/>
      </c>
      <c r="Y31">
        <f>HYPERLINK("https://klasma.github.io/Logging_2425/kartor_geotiff/A 49045-2025 georefererad karta.tif", "A 49045-2025")</f>
        <v/>
      </c>
      <c r="AA31">
        <f>HYPERLINK("https://klasma.github.io/Logging_2425/klagomål/A 49045-2025 FSC-klagomål.docx", "A 49045-2025")</f>
        <v/>
      </c>
      <c r="AB31">
        <f>HYPERLINK("https://klasma.github.io/Logging_2425/klagomålsmail/A 49045-2025 FSC-klagomål mail.docx", "A 49045-2025")</f>
        <v/>
      </c>
      <c r="AC31">
        <f>HYPERLINK("https://klasma.github.io/Logging_2425/tillsyn/A 49045-2025 tillsynsbegäran.docx", "A 49045-2025")</f>
        <v/>
      </c>
      <c r="AD31">
        <f>HYPERLINK("https://klasma.github.io/Logging_2425/tillsynsmail/A 49045-2025 tillsynsbegäran mail.docx", "A 49045-2025")</f>
        <v/>
      </c>
      <c r="AE31">
        <f>HYPERLINK("https://klasma.github.io/Logging_2425/fåglar/A 49045-2025 prioriterade fågelarter.docx", "A 49045-2025")</f>
        <v/>
      </c>
    </row>
    <row r="32" ht="15" customHeight="1">
      <c r="A32" t="inlineStr">
        <is>
          <t>A 58736-2022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44902</v>
      </c>
      <c r="E32" s="1" t="n">
        <v>46253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3.4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Skrovellav</t>
        </is>
      </c>
      <c r="W32">
        <f>HYPERLINK("https://klasma.github.io/Logging_2425/artfynd/A 58736-2022 artfynd.xlsx", "A 58736-2022")</f>
        <v/>
      </c>
      <c r="X32">
        <f>HYPERLINK("https://klasma.github.io/Logging_2425/kartor/A 58736-2022 karta.png", "A 58736-2022")</f>
        <v/>
      </c>
      <c r="Y32">
        <f>HYPERLINK("https://klasma.github.io/Logging_2425/kartor_geotiff/A 58736-2022 georefererad karta.tif", "A 58736-2022")</f>
        <v/>
      </c>
      <c r="AA32">
        <f>HYPERLINK("https://klasma.github.io/Logging_2425/klagomål/A 58736-2022 FSC-klagomål.docx", "A 58736-2022")</f>
        <v/>
      </c>
      <c r="AB32">
        <f>HYPERLINK("https://klasma.github.io/Logging_2425/klagomålsmail/A 58736-2022 FSC-klagomål mail.docx", "A 58736-2022")</f>
        <v/>
      </c>
      <c r="AC32">
        <f>HYPERLINK("https://klasma.github.io/Logging_2425/tillsyn/A 58736-2022 tillsynsbegäran.docx", "A 58736-2022")</f>
        <v/>
      </c>
      <c r="AD32">
        <f>HYPERLINK("https://klasma.github.io/Logging_2425/tillsynsmail/A 58736-2022 tillsynsbegäran mail.docx", "A 58736-2022")</f>
        <v/>
      </c>
    </row>
    <row r="33" ht="15" customHeight="1">
      <c r="A33" t="inlineStr">
        <is>
          <t>A 19589-2024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45429</v>
      </c>
      <c r="E33" s="1" t="n">
        <v>46253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Lunglav
Talltita</t>
        </is>
      </c>
      <c r="W33">
        <f>HYPERLINK("https://klasma.github.io/Logging_2425/artfynd/A 19589-2024 artfynd.xlsx", "A 19589-2024")</f>
        <v/>
      </c>
      <c r="X33">
        <f>HYPERLINK("https://klasma.github.io/Logging_2425/kartor/A 19589-2024 karta.png", "A 19589-2024")</f>
        <v/>
      </c>
      <c r="Y33">
        <f>HYPERLINK("https://klasma.github.io/Logging_2425/kartor_geotiff/A 19589-2024 georefererad karta.tif", "A 19589-2024")</f>
        <v/>
      </c>
      <c r="AA33">
        <f>HYPERLINK("https://klasma.github.io/Logging_2425/klagomål/A 19589-2024 FSC-klagomål.docx", "A 19589-2024")</f>
        <v/>
      </c>
      <c r="AB33">
        <f>HYPERLINK("https://klasma.github.io/Logging_2425/klagomålsmail/A 19589-2024 FSC-klagomål mail.docx", "A 19589-2024")</f>
        <v/>
      </c>
      <c r="AC33">
        <f>HYPERLINK("https://klasma.github.io/Logging_2425/tillsyn/A 19589-2024 tillsynsbegäran.docx", "A 19589-2024")</f>
        <v/>
      </c>
      <c r="AD33">
        <f>HYPERLINK("https://klasma.github.io/Logging_2425/tillsynsmail/A 19589-2024 tillsynsbegäran mail.docx", "A 19589-2024")</f>
        <v/>
      </c>
      <c r="AE33">
        <f>HYPERLINK("https://klasma.github.io/Logging_2425/fåglar/A 19589-2024 prioriterade fågelarter.docx", "A 19589-2024")</f>
        <v/>
      </c>
    </row>
    <row r="34" ht="15" customHeight="1">
      <c r="A34" t="inlineStr">
        <is>
          <t>A 27234-2024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45471</v>
      </c>
      <c r="E34" s="1" t="n">
        <v>46253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2.2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Rynkskinn
Skrovellav</t>
        </is>
      </c>
      <c r="W34">
        <f>HYPERLINK("https://klasma.github.io/Logging_2425/artfynd/A 27234-2024 artfynd.xlsx", "A 27234-2024")</f>
        <v/>
      </c>
      <c r="X34">
        <f>HYPERLINK("https://klasma.github.io/Logging_2425/kartor/A 27234-2024 karta.png", "A 27234-2024")</f>
        <v/>
      </c>
      <c r="Y34">
        <f>HYPERLINK("https://klasma.github.io/Logging_2425/kartor_geotiff/A 27234-2024 georefererad karta.tif", "A 27234-2024")</f>
        <v/>
      </c>
      <c r="AA34">
        <f>HYPERLINK("https://klasma.github.io/Logging_2425/klagomål/A 27234-2024 FSC-klagomål.docx", "A 27234-2024")</f>
        <v/>
      </c>
      <c r="AB34">
        <f>HYPERLINK("https://klasma.github.io/Logging_2425/klagomålsmail/A 27234-2024 FSC-klagomål mail.docx", "A 27234-2024")</f>
        <v/>
      </c>
      <c r="AC34">
        <f>HYPERLINK("https://klasma.github.io/Logging_2425/tillsyn/A 27234-2024 tillsynsbegäran.docx", "A 27234-2024")</f>
        <v/>
      </c>
      <c r="AD34">
        <f>HYPERLINK("https://klasma.github.io/Logging_2425/tillsynsmail/A 27234-2024 tillsynsbegäran mail.docx", "A 27234-2024")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46253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A 48089-2022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44855</v>
      </c>
      <c r="E36" s="1" t="n">
        <v>46253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9.199999999999999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Gammelgransskål</t>
        </is>
      </c>
      <c r="W36">
        <f>HYPERLINK("https://klasma.github.io/Logging_2425/artfynd/A 48089-2022 artfynd.xlsx", "A 48089-2022")</f>
        <v/>
      </c>
      <c r="X36">
        <f>HYPERLINK("https://klasma.github.io/Logging_2425/kartor/A 48089-2022 karta.png", "A 48089-2022")</f>
        <v/>
      </c>
      <c r="Y36">
        <f>HYPERLINK("https://klasma.github.io/Logging_2425/kartor_geotiff/A 48089-2022 georefererad karta.tif", "A 48089-2022")</f>
        <v/>
      </c>
      <c r="AA36">
        <f>HYPERLINK("https://klasma.github.io/Logging_2425/klagomål/A 48089-2022 FSC-klagomål.docx", "A 48089-2022")</f>
        <v/>
      </c>
      <c r="AB36">
        <f>HYPERLINK("https://klasma.github.io/Logging_2425/klagomålsmail/A 48089-2022 FSC-klagomål mail.docx", "A 48089-2022")</f>
        <v/>
      </c>
      <c r="AC36">
        <f>HYPERLINK("https://klasma.github.io/Logging_2425/tillsyn/A 48089-2022 tillsynsbegäran.docx", "A 48089-2022")</f>
        <v/>
      </c>
      <c r="AD36">
        <f>HYPERLINK("https://klasma.github.io/Logging_2425/tillsynsmail/A 48089-2022 tillsynsbegäran mail.docx", "A 48089-2022")</f>
        <v/>
      </c>
    </row>
    <row r="37" ht="15" customHeight="1">
      <c r="A37" t="inlineStr">
        <is>
          <t>A 26440-2025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45807</v>
      </c>
      <c r="E37" s="1" t="n">
        <v>46253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2.2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Lunglav</t>
        </is>
      </c>
      <c r="W37">
        <f>HYPERLINK("https://klasma.github.io/Logging_2425/artfynd/A 26440-2025 artfynd.xlsx", "A 26440-2025")</f>
        <v/>
      </c>
      <c r="X37">
        <f>HYPERLINK("https://klasma.github.io/Logging_2425/kartor/A 26440-2025 karta.png", "A 26440-2025")</f>
        <v/>
      </c>
      <c r="Y37">
        <f>HYPERLINK("https://klasma.github.io/Logging_2425/kartor_geotiff/A 26440-2025 georefererad karta.tif", "A 26440-2025")</f>
        <v/>
      </c>
      <c r="AA37">
        <f>HYPERLINK("https://klasma.github.io/Logging_2425/klagomål/A 26440-2025 FSC-klagomål.docx", "A 26440-2025")</f>
        <v/>
      </c>
      <c r="AB37">
        <f>HYPERLINK("https://klasma.github.io/Logging_2425/klagomålsmail/A 26440-2025 FSC-klagomål mail.docx", "A 26440-2025")</f>
        <v/>
      </c>
      <c r="AC37">
        <f>HYPERLINK("https://klasma.github.io/Logging_2425/tillsyn/A 26440-2025 tillsynsbegäran.docx", "A 26440-2025")</f>
        <v/>
      </c>
      <c r="AD37">
        <f>HYPERLINK("https://klasma.github.io/Logging_2425/tillsynsmail/A 26440-2025 tillsynsbegäran mail.docx", "A 26440-2025")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46253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46253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20600-2023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45057</v>
      </c>
      <c r="E40" s="1" t="n">
        <v>46253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HYPERLINK("https://klasma.github.io/Logging_2425/artfynd/A 20600-2023 artfynd.xlsx", "A 20600-2023")</f>
        <v/>
      </c>
      <c r="X40">
        <f>HYPERLINK("https://klasma.github.io/Logging_2425/kartor/A 20600-2023 karta.png", "A 20600-2023")</f>
        <v/>
      </c>
      <c r="Y40">
        <f>HYPERLINK("https://klasma.github.io/Logging_2425/kartor_geotiff/A 20600-2023 georefererad karta.tif", "A 20600-2023")</f>
        <v/>
      </c>
      <c r="AA40">
        <f>HYPERLINK("https://klasma.github.io/Logging_2425/klagomål/A 20600-2023 FSC-klagomål.docx", "A 20600-2023")</f>
        <v/>
      </c>
      <c r="AB40">
        <f>HYPERLINK("https://klasma.github.io/Logging_2425/klagomålsmail/A 20600-2023 FSC-klagomål mail.docx", "A 20600-2023")</f>
        <v/>
      </c>
      <c r="AC40">
        <f>HYPERLINK("https://klasma.github.io/Logging_2425/tillsyn/A 20600-2023 tillsynsbegäran.docx", "A 20600-2023")</f>
        <v/>
      </c>
      <c r="AD40">
        <f>HYPERLINK("https://klasma.github.io/Logging_2425/tillsynsmail/A 20600-2023 tillsynsbegäran mail.docx", "A 20600-2023")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46253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30286-2023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46253</v>
      </c>
      <c r="F42" t="inlineStr">
        <is>
          <t>VÄSTERBOTTENS LÄN</t>
        </is>
      </c>
      <c r="G42" t="inlineStr">
        <is>
          <t>DOROTEA</t>
        </is>
      </c>
      <c r="I42" t="n">
        <v>21.2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Skogsrör</t>
        </is>
      </c>
      <c r="W42">
        <f>HYPERLINK("https://klasma.github.io/Logging_2425/artfynd/A 30286-2023 artfynd.xlsx", "A 30286-2023")</f>
        <v/>
      </c>
      <c r="X42">
        <f>HYPERLINK("https://klasma.github.io/Logging_2425/kartor/A 30286-2023 karta.png", "A 30286-2023")</f>
        <v/>
      </c>
      <c r="Y42">
        <f>HYPERLINK("https://klasma.github.io/Logging_2425/kartor_geotiff/A 30286-2023 georefererad karta.tif", "A 30286-2023")</f>
        <v/>
      </c>
      <c r="AA42">
        <f>HYPERLINK("https://klasma.github.io/Logging_2425/klagomål/A 30286-2023 FSC-klagomål.docx", "A 30286-2023")</f>
        <v/>
      </c>
      <c r="AB42">
        <f>HYPERLINK("https://klasma.github.io/Logging_2425/klagomålsmail/A 30286-2023 FSC-klagomål mail.docx", "A 30286-2023")</f>
        <v/>
      </c>
      <c r="AC42">
        <f>HYPERLINK("https://klasma.github.io/Logging_2425/tillsyn/A 30286-2023 tillsynsbegäran.docx", "A 30286-2023")</f>
        <v/>
      </c>
      <c r="AD42">
        <f>HYPERLINK("https://klasma.github.io/Logging_2425/tillsynsmail/A 30286-2023 tillsynsbegäran mail.docx", "A 30286-2023")</f>
        <v/>
      </c>
    </row>
    <row r="43" ht="15" customHeight="1">
      <c r="A43" t="inlineStr">
        <is>
          <t>A 36318-2024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46253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8</v>
      </c>
      <c r="U43" t="n">
        <v>8</v>
      </c>
      <c r="V43" s="2" t="inlineStr">
        <is>
          <t>Garnlav</t>
        </is>
      </c>
      <c r="W43">
        <f>HYPERLINK("https://klasma.github.io/Logging_2425/artfynd/A 36318-2024 artfynd.xlsx", "A 36318-2024")</f>
        <v/>
      </c>
      <c r="X43">
        <f>HYPERLINK("https://klasma.github.io/Logging_2425/kartor/A 36318-2024 karta.png", "A 36318-2024")</f>
        <v/>
      </c>
      <c r="Y43">
        <f>HYPERLINK("https://klasma.github.io/Logging_2425/kartor_geotiff/A 36318-2024 georefererad karta.tif", "A 36318-2024")</f>
        <v/>
      </c>
      <c r="AA43">
        <f>HYPERLINK("https://klasma.github.io/Logging_2425/klagomål/A 36318-2024 FSC-klagomål.docx", "A 36318-2024")</f>
        <v/>
      </c>
      <c r="AB43">
        <f>HYPERLINK("https://klasma.github.io/Logging_2425/klagomålsmail/A 36318-2024 FSC-klagomål mail.docx", "A 36318-2024")</f>
        <v/>
      </c>
      <c r="AC43">
        <f>HYPERLINK("https://klasma.github.io/Logging_2425/tillsyn/A 36318-2024 tillsynsbegäran.docx", "A 36318-2024")</f>
        <v/>
      </c>
      <c r="AD43">
        <f>HYPERLINK("https://klasma.github.io/Logging_2425/tillsynsmail/A 36318-2024 tillsynsbegäran mail.docx", "A 36318-2024")</f>
        <v/>
      </c>
    </row>
    <row r="44" ht="15" customHeight="1">
      <c r="A44" t="inlineStr">
        <is>
          <t>A 12005-2023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44994</v>
      </c>
      <c r="E44" s="1" t="n">
        <v>46253</v>
      </c>
      <c r="F44" t="inlineStr">
        <is>
          <t>VÄSTERBOTTENS LÄN</t>
        </is>
      </c>
      <c r="G44" t="inlineStr">
        <is>
          <t>DOROTEA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HYPERLINK("https://klasma.github.io/Logging_2425/artfynd/A 12005-2023 artfynd.xlsx", "A 12005-2023")</f>
        <v/>
      </c>
      <c r="X44">
        <f>HYPERLINK("https://klasma.github.io/Logging_2425/kartor/A 12005-2023 karta.png", "A 12005-2023")</f>
        <v/>
      </c>
      <c r="Y44">
        <f>HYPERLINK("https://klasma.github.io/Logging_2425/kartor_geotiff/A 12005-2023 georefererad karta.tif", "A 12005-2023")</f>
        <v/>
      </c>
      <c r="AA44">
        <f>HYPERLINK("https://klasma.github.io/Logging_2425/klagomål/A 12005-2023 FSC-klagomål.docx", "A 12005-2023")</f>
        <v/>
      </c>
      <c r="AB44">
        <f>HYPERLINK("https://klasma.github.io/Logging_2425/klagomålsmail/A 12005-2023 FSC-klagomål mail.docx", "A 12005-2023")</f>
        <v/>
      </c>
      <c r="AC44">
        <f>HYPERLINK("https://klasma.github.io/Logging_2425/tillsyn/A 12005-2023 tillsynsbegäran.docx", "A 12005-2023")</f>
        <v/>
      </c>
      <c r="AD44">
        <f>HYPERLINK("https://klasma.github.io/Logging_2425/tillsynsmail/A 12005-2023 tillsynsbegäran mail.docx", "A 12005-2023")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46253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57058-2024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46253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2.4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HYPERLINK("https://klasma.github.io/Logging_2425/artfynd/A 57058-2024 artfynd.xlsx", "A 57058-2024")</f>
        <v/>
      </c>
      <c r="X46">
        <f>HYPERLINK("https://klasma.github.io/Logging_2425/kartor/A 57058-2024 karta.png", "A 57058-2024")</f>
        <v/>
      </c>
      <c r="Y46">
        <f>HYPERLINK("https://klasma.github.io/Logging_2425/kartor_geotiff/A 57058-2024 georefererad karta.tif", "A 57058-2024")</f>
        <v/>
      </c>
      <c r="AA46">
        <f>HYPERLINK("https://klasma.github.io/Logging_2425/klagomål/A 57058-2024 FSC-klagomål.docx", "A 57058-2024")</f>
        <v/>
      </c>
      <c r="AB46">
        <f>HYPERLINK("https://klasma.github.io/Logging_2425/klagomålsmail/A 57058-2024 FSC-klagomål mail.docx", "A 57058-2024")</f>
        <v/>
      </c>
      <c r="AC46">
        <f>HYPERLINK("https://klasma.github.io/Logging_2425/tillsyn/A 57058-2024 tillsynsbegäran.docx", "A 57058-2024")</f>
        <v/>
      </c>
      <c r="AD46">
        <f>HYPERLINK("https://klasma.github.io/Logging_2425/tillsynsmail/A 57058-2024 tillsynsbegäran mail.docx", "A 57058-2024")</f>
        <v/>
      </c>
    </row>
    <row r="47" ht="15" customHeight="1">
      <c r="A47" t="inlineStr">
        <is>
          <t>A 53309-2022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44878</v>
      </c>
      <c r="E47" s="1" t="n">
        <v>46253</v>
      </c>
      <c r="F47" t="inlineStr">
        <is>
          <t>VÄSTERBOTTENS LÄN</t>
        </is>
      </c>
      <c r="G47" t="inlineStr">
        <is>
          <t>DOROTEA</t>
        </is>
      </c>
      <c r="I47" t="n">
        <v>6.6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Göktyta</t>
        </is>
      </c>
      <c r="W47">
        <f>HYPERLINK("https://klasma.github.io/Logging_2425/artfynd/A 53309-2022 artfynd.xlsx", "A 53309-2022")</f>
        <v/>
      </c>
      <c r="X47">
        <f>HYPERLINK("https://klasma.github.io/Logging_2425/kartor/A 53309-2022 karta.png", "A 53309-2022")</f>
        <v/>
      </c>
      <c r="Y47">
        <f>HYPERLINK("https://klasma.github.io/Logging_2425/kartor_geotiff/A 53309-2022 georefererad karta.tif", "A 53309-2022")</f>
        <v/>
      </c>
      <c r="AA47">
        <f>HYPERLINK("https://klasma.github.io/Logging_2425/klagomål/A 53309-2022 FSC-klagomål.docx", "A 53309-2022")</f>
        <v/>
      </c>
      <c r="AB47">
        <f>HYPERLINK("https://klasma.github.io/Logging_2425/klagomålsmail/A 53309-2022 FSC-klagomål mail.docx", "A 53309-2022")</f>
        <v/>
      </c>
      <c r="AC47">
        <f>HYPERLINK("https://klasma.github.io/Logging_2425/tillsyn/A 53309-2022 tillsynsbegäran.docx", "A 53309-2022")</f>
        <v/>
      </c>
      <c r="AD47">
        <f>HYPERLINK("https://klasma.github.io/Logging_2425/tillsynsmail/A 53309-2022 tillsynsbegäran mail.docx", "A 53309-2022")</f>
        <v/>
      </c>
      <c r="AE47">
        <f>HYPERLINK("https://klasma.github.io/Logging_2425/fåglar/A 53309-2022 prioriterade fågelarter.docx", "A 53309-2022")</f>
        <v/>
      </c>
    </row>
    <row r="48" ht="15" customHeight="1">
      <c r="A48" t="inlineStr">
        <is>
          <t>A 25980-2026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46253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40.2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Lunglav</t>
        </is>
      </c>
      <c r="W48">
        <f>HYPERLINK("https://klasma.github.io/Logging_2425/artfynd/A 25980-2026 artfynd.xlsx", "A 25980-2026")</f>
        <v/>
      </c>
      <c r="X48">
        <f>HYPERLINK("https://klasma.github.io/Logging_2425/kartor/A 25980-2026 karta.png", "A 25980-2026")</f>
        <v/>
      </c>
      <c r="Y48">
        <f>HYPERLINK("https://klasma.github.io/Logging_2425/kartor_geotiff/A 25980-2026 georefererad karta.tif", "A 25980-2026")</f>
        <v/>
      </c>
      <c r="AA48">
        <f>HYPERLINK("https://klasma.github.io/Logging_2425/klagomål/A 25980-2026 FSC-klagomål.docx", "A 25980-2026")</f>
        <v/>
      </c>
      <c r="AB48">
        <f>HYPERLINK("https://klasma.github.io/Logging_2425/klagomålsmail/A 25980-2026 FSC-klagomål mail.docx", "A 25980-2026")</f>
        <v/>
      </c>
      <c r="AC48">
        <f>HYPERLINK("https://klasma.github.io/Logging_2425/tillsyn/A 25980-2026 tillsynsbegäran.docx", "A 25980-2026")</f>
        <v/>
      </c>
      <c r="AD48">
        <f>HYPERLINK("https://klasma.github.io/Logging_2425/tillsynsmail/A 25980-2026 tillsynsbegäran mail.docx", "A 25980-2026")</f>
        <v/>
      </c>
    </row>
    <row r="49" ht="15" customHeight="1">
      <c r="A49" t="inlineStr">
        <is>
          <t>A 46815-2023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45198</v>
      </c>
      <c r="E49" s="1" t="n">
        <v>46253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Harticka</t>
        </is>
      </c>
      <c r="W49">
        <f>HYPERLINK("https://klasma.github.io/Logging_2425/artfynd/A 46815-2023 artfynd.xlsx", "A 46815-2023")</f>
        <v/>
      </c>
      <c r="X49">
        <f>HYPERLINK("https://klasma.github.io/Logging_2425/kartor/A 46815-2023 karta.png", "A 46815-2023")</f>
        <v/>
      </c>
      <c r="Y49">
        <f>HYPERLINK("https://klasma.github.io/Logging_2425/kartor_geotiff/A 46815-2023 georefererad karta.tif", "A 46815-2023")</f>
        <v/>
      </c>
      <c r="AA49">
        <f>HYPERLINK("https://klasma.github.io/Logging_2425/klagomål/A 46815-2023 FSC-klagomål.docx", "A 46815-2023")</f>
        <v/>
      </c>
      <c r="AB49">
        <f>HYPERLINK("https://klasma.github.io/Logging_2425/klagomålsmail/A 46815-2023 FSC-klagomål mail.docx", "A 46815-2023")</f>
        <v/>
      </c>
      <c r="AC49">
        <f>HYPERLINK("https://klasma.github.io/Logging_2425/tillsyn/A 46815-2023 tillsynsbegäran.docx", "A 46815-2023")</f>
        <v/>
      </c>
      <c r="AD49">
        <f>HYPERLINK("https://klasma.github.io/Logging_2425/tillsynsmail/A 46815-2023 tillsynsbegäran mail.docx", "A 46815-2023")</f>
        <v/>
      </c>
    </row>
    <row r="50" ht="15" customHeight="1">
      <c r="A50" t="inlineStr">
        <is>
          <t>A 1278-2024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45302</v>
      </c>
      <c r="E50" s="1" t="n">
        <v>46253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Gräddticka</t>
        </is>
      </c>
      <c r="W50">
        <f>HYPERLINK("https://klasma.github.io/Logging_2425/artfynd/A 1278-2024 artfynd.xlsx", "A 1278-2024")</f>
        <v/>
      </c>
      <c r="X50">
        <f>HYPERLINK("https://klasma.github.io/Logging_2425/kartor/A 1278-2024 karta.png", "A 1278-2024")</f>
        <v/>
      </c>
      <c r="Y50">
        <f>HYPERLINK("https://klasma.github.io/Logging_2425/kartor_geotiff/A 1278-2024 georefererad karta.tif", "A 1278-2024")</f>
        <v/>
      </c>
      <c r="AA50">
        <f>HYPERLINK("https://klasma.github.io/Logging_2425/klagomål/A 1278-2024 FSC-klagomål.docx", "A 1278-2024")</f>
        <v/>
      </c>
      <c r="AB50">
        <f>HYPERLINK("https://klasma.github.io/Logging_2425/klagomålsmail/A 1278-2024 FSC-klagomål mail.docx", "A 1278-2024")</f>
        <v/>
      </c>
      <c r="AC50">
        <f>HYPERLINK("https://klasma.github.io/Logging_2425/tillsyn/A 1278-2024 tillsynsbegäran.docx", "A 1278-2024")</f>
        <v/>
      </c>
      <c r="AD50">
        <f>HYPERLINK("https://klasma.github.io/Logging_2425/tillsynsmail/A 1278-2024 tillsynsbegäran mail.docx", "A 1278-2024")</f>
        <v/>
      </c>
    </row>
    <row r="51" ht="15" customHeight="1">
      <c r="A51" t="inlineStr">
        <is>
          <t>A 32331-2026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46253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Skrovellav</t>
        </is>
      </c>
      <c r="W51">
        <f>HYPERLINK("https://klasma.github.io/Logging_2425/artfynd/A 32331-2026 artfynd.xlsx", "A 32331-2026")</f>
        <v/>
      </c>
      <c r="X51">
        <f>HYPERLINK("https://klasma.github.io/Logging_2425/kartor/A 32331-2026 karta.png", "A 32331-2026")</f>
        <v/>
      </c>
      <c r="Y51">
        <f>HYPERLINK("https://klasma.github.io/Logging_2425/kartor_geotiff/A 32331-2026 georefererad karta.tif", "A 32331-2026")</f>
        <v/>
      </c>
      <c r="AA51">
        <f>HYPERLINK("https://klasma.github.io/Logging_2425/klagomål/A 32331-2026 FSC-klagomål.docx", "A 32331-2026")</f>
        <v/>
      </c>
      <c r="AB51">
        <f>HYPERLINK("https://klasma.github.io/Logging_2425/klagomålsmail/A 32331-2026 FSC-klagomål mail.docx", "A 32331-2026")</f>
        <v/>
      </c>
      <c r="AC51">
        <f>HYPERLINK("https://klasma.github.io/Logging_2425/tillsyn/A 32331-2026 tillsynsbegäran.docx", "A 32331-2026")</f>
        <v/>
      </c>
      <c r="AD51">
        <f>HYPERLINK("https://klasma.github.io/Logging_2425/tillsynsmail/A 32331-2026 tillsynsbegäran mail.docx", "A 32331-2026")</f>
        <v/>
      </c>
    </row>
    <row r="52" ht="15" customHeight="1">
      <c r="A52" t="inlineStr">
        <is>
          <t>A 30357-2026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46209</v>
      </c>
      <c r="E52" s="1" t="n">
        <v>46253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Tajgahumla</t>
        </is>
      </c>
      <c r="W52">
        <f>HYPERLINK("https://klasma.github.io/Logging_2425/artfynd/A 30357-2026 artfynd.xlsx", "A 30357-2026")</f>
        <v/>
      </c>
      <c r="X52">
        <f>HYPERLINK("https://klasma.github.io/Logging_2425/kartor/A 30357-2026 karta.png", "A 30357-2026")</f>
        <v/>
      </c>
      <c r="Y52">
        <f>HYPERLINK("https://klasma.github.io/Logging_2425/kartor_geotiff/A 30357-2026 georefererad karta.tif", "A 30357-2026")</f>
        <v/>
      </c>
      <c r="AA52">
        <f>HYPERLINK("https://klasma.github.io/Logging_2425/klagomål/A 30357-2026 FSC-klagomål.docx", "A 30357-2026")</f>
        <v/>
      </c>
      <c r="AB52">
        <f>HYPERLINK("https://klasma.github.io/Logging_2425/klagomålsmail/A 30357-2026 FSC-klagomål mail.docx", "A 30357-2026")</f>
        <v/>
      </c>
      <c r="AC52">
        <f>HYPERLINK("https://klasma.github.io/Logging_2425/tillsyn/A 30357-2026 tillsynsbegäran.docx", "A 30357-2026")</f>
        <v/>
      </c>
      <c r="AD52">
        <f>HYPERLINK("https://klasma.github.io/Logging_2425/tillsynsmail/A 30357-2026 tillsynsbegäran mail.docx", "A 30357-2026")</f>
        <v/>
      </c>
    </row>
    <row r="53" ht="15" customHeight="1">
      <c r="A53" t="inlineStr">
        <is>
          <t>A 57060-2024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45629</v>
      </c>
      <c r="E53" s="1" t="n">
        <v>46253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Garnlav</t>
        </is>
      </c>
      <c r="W53">
        <f>HYPERLINK("https://klasma.github.io/Logging_2425/artfynd/A 57060-2024 artfynd.xlsx", "A 57060-2024")</f>
        <v/>
      </c>
      <c r="X53">
        <f>HYPERLINK("https://klasma.github.io/Logging_2425/kartor/A 57060-2024 karta.png", "A 57060-2024")</f>
        <v/>
      </c>
      <c r="Y53">
        <f>HYPERLINK("https://klasma.github.io/Logging_2425/kartor_geotiff/A 57060-2024 georefererad karta.tif", "A 57060-2024")</f>
        <v/>
      </c>
      <c r="AA53">
        <f>HYPERLINK("https://klasma.github.io/Logging_2425/klagomål/A 57060-2024 FSC-klagomål.docx", "A 57060-2024")</f>
        <v/>
      </c>
      <c r="AB53">
        <f>HYPERLINK("https://klasma.github.io/Logging_2425/klagomålsmail/A 57060-2024 FSC-klagomål mail.docx", "A 57060-2024")</f>
        <v/>
      </c>
      <c r="AC53">
        <f>HYPERLINK("https://klasma.github.io/Logging_2425/tillsyn/A 57060-2024 tillsynsbegäran.docx", "A 57060-2024")</f>
        <v/>
      </c>
      <c r="AD53">
        <f>HYPERLINK("https://klasma.github.io/Logging_2425/tillsynsmail/A 57060-2024 tillsynsbegäran mail.docx", "A 57060-2024")</f>
        <v/>
      </c>
    </row>
    <row r="54" ht="15" customHeight="1">
      <c r="A54" t="inlineStr">
        <is>
          <t>S 877-2022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44606</v>
      </c>
      <c r="E54" s="1" t="n">
        <v>46253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598.1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Gammelgransskål</t>
        </is>
      </c>
      <c r="W54">
        <f>HYPERLINK("https://klasma.github.io/Logging_2425/artfynd/S 877-2022 artfynd.xlsx", "S 877-2022")</f>
        <v/>
      </c>
      <c r="X54">
        <f>HYPERLINK("https://klasma.github.io/Logging_2425/kartor/S 877-2022 karta.png", "S 877-2022")</f>
        <v/>
      </c>
      <c r="Y54">
        <f>HYPERLINK("https://klasma.github.io/Logging_2425/kartor_geotiff/S 877-2022 georefererad karta.tif", "S 877-2022")</f>
        <v/>
      </c>
      <c r="AA54">
        <f>HYPERLINK("https://klasma.github.io/Logging_2425/klagomål/S 877-2022 FSC-klagomål.docx", "S 877-2022")</f>
        <v/>
      </c>
      <c r="AB54">
        <f>HYPERLINK("https://klasma.github.io/Logging_2425/klagomålsmail/S 877-2022 FSC-klagomål mail.docx", "S 877-2022")</f>
        <v/>
      </c>
      <c r="AC54">
        <f>HYPERLINK("https://klasma.github.io/Logging_2425/tillsyn/S 877-2022 tillsynsbegäran.docx", "S 877-2022")</f>
        <v/>
      </c>
      <c r="AD54">
        <f>HYPERLINK("https://klasma.github.io/Logging_2425/tillsynsmail/S 877-2022 tillsynsbegäran mail.docx", "S 877-2022")</f>
        <v/>
      </c>
    </row>
    <row r="55" ht="15" customHeight="1">
      <c r="A55" t="inlineStr">
        <is>
          <t>S 1194-2025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45756</v>
      </c>
      <c r="E55" s="1" t="n">
        <v>46253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13.9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Stjärntagging</t>
        </is>
      </c>
      <c r="W55">
        <f>HYPERLINK("https://klasma.github.io/Logging_2425/artfynd/S 1194-2025 artfynd.xlsx", "S 1194-2025")</f>
        <v/>
      </c>
      <c r="X55">
        <f>HYPERLINK("https://klasma.github.io/Logging_2425/kartor/S 1194-2025 karta.png", "S 1194-2025")</f>
        <v/>
      </c>
      <c r="Y55">
        <f>HYPERLINK("https://klasma.github.io/Logging_2425/kartor_geotiff/S 1194-2025 georefererad karta.tif", "S 1194-2025")</f>
        <v/>
      </c>
      <c r="AA55">
        <f>HYPERLINK("https://klasma.github.io/Logging_2425/klagomål/S 1194-2025 FSC-klagomål.docx", "S 1194-2025")</f>
        <v/>
      </c>
      <c r="AB55">
        <f>HYPERLINK("https://klasma.github.io/Logging_2425/klagomålsmail/S 1194-2025 FSC-klagomål mail.docx", "S 1194-2025")</f>
        <v/>
      </c>
      <c r="AC55">
        <f>HYPERLINK("https://klasma.github.io/Logging_2425/tillsyn/S 1194-2025 tillsynsbegäran.docx", "S 1194-2025")</f>
        <v/>
      </c>
      <c r="AD55">
        <f>HYPERLINK("https://klasma.github.io/Logging_2425/tillsynsmail/S 1194-2025 tillsynsbegäran mail.docx", "S 1194-2025")</f>
        <v/>
      </c>
    </row>
    <row r="56" ht="15" customHeight="1">
      <c r="A56" t="inlineStr">
        <is>
          <t>A 64063-2021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46253</v>
      </c>
      <c r="F56" t="inlineStr">
        <is>
          <t>VÄSTERBOTTENS LÄN</t>
        </is>
      </c>
      <c r="G56" t="inlineStr">
        <is>
          <t>DOROTEA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46253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46253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43403-2022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46253</v>
      </c>
      <c r="F59" t="inlineStr">
        <is>
          <t>VÄSTERBOTTENS LÄN</t>
        </is>
      </c>
      <c r="G59" t="inlineStr">
        <is>
          <t>DOROTEA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46253</v>
      </c>
      <c r="F60" t="inlineStr">
        <is>
          <t>VÄSTERBOTTENS LÄN</t>
        </is>
      </c>
      <c r="G60" t="inlineStr">
        <is>
          <t>DOROTEA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46253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46253</v>
      </c>
      <c r="F62" t="inlineStr">
        <is>
          <t>VÄSTERBOTTENS LÄN</t>
        </is>
      </c>
      <c r="G62" t="inlineStr">
        <is>
          <t>DOROTEA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44851</v>
      </c>
      <c r="E63" s="1" t="n">
        <v>46253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44587</v>
      </c>
      <c r="E64" s="1" t="n">
        <v>46253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52362-2021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44465</v>
      </c>
      <c r="E65" s="1" t="n">
        <v>46253</v>
      </c>
      <c r="F65" t="inlineStr">
        <is>
          <t>VÄSTERBOTTENS LÄN</t>
        </is>
      </c>
      <c r="G65" t="inlineStr">
        <is>
          <t>DOROTEA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27199-2024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45471</v>
      </c>
      <c r="E66" s="1" t="n">
        <v>46253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53117-2023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45228</v>
      </c>
      <c r="E67" s="1" t="n">
        <v>46253</v>
      </c>
      <c r="F67" t="inlineStr">
        <is>
          <t>VÄSTERBOTTENS LÄN</t>
        </is>
      </c>
      <c r="G67" t="inlineStr">
        <is>
          <t>DOROTEA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53118-2023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45228</v>
      </c>
      <c r="E68" s="1" t="n">
        <v>46253</v>
      </c>
      <c r="F68" t="inlineStr">
        <is>
          <t>VÄSTERBOTTENS LÄN</t>
        </is>
      </c>
      <c r="G68" t="inlineStr">
        <is>
          <t>DOROTEA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13023-2025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45734</v>
      </c>
      <c r="E69" s="1" t="n">
        <v>46253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30456-2022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44761</v>
      </c>
      <c r="E70" s="1" t="n">
        <v>46253</v>
      </c>
      <c r="F70" t="inlineStr">
        <is>
          <t>VÄSTERBOTTENS LÄN</t>
        </is>
      </c>
      <c r="G70" t="inlineStr">
        <is>
          <t>DOROTEA</t>
        </is>
      </c>
      <c r="I70" t="n">
        <v>10.6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48006-2023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45198</v>
      </c>
      <c r="E71" s="1" t="n">
        <v>46253</v>
      </c>
      <c r="F71" t="inlineStr">
        <is>
          <t>VÄSTERBOTTENS LÄN</t>
        </is>
      </c>
      <c r="G71" t="inlineStr">
        <is>
          <t>DOROTEA</t>
        </is>
      </c>
      <c r="H71" t="inlineStr">
        <is>
          <t>Övriga statliga verk och myndigheter</t>
        </is>
      </c>
      <c r="I71" t="n">
        <v>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45330</v>
      </c>
      <c r="E72" s="1" t="n">
        <v>46253</v>
      </c>
      <c r="F72" t="inlineStr">
        <is>
          <t>VÄSTERBOTTENS LÄN</t>
        </is>
      </c>
      <c r="G72" t="inlineStr">
        <is>
          <t>DOROTEA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15057-2024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45399</v>
      </c>
      <c r="E73" s="1" t="n">
        <v>46253</v>
      </c>
      <c r="F73" t="inlineStr">
        <is>
          <t>VÄSTERBOTTENS LÄN</t>
        </is>
      </c>
      <c r="G73" t="inlineStr">
        <is>
          <t>DOROTEA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46253</v>
      </c>
      <c r="F74" t="inlineStr">
        <is>
          <t>VÄSTERBOTTENS LÄN</t>
        </is>
      </c>
      <c r="G74" t="inlineStr">
        <is>
          <t>DOROTEA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45393</v>
      </c>
      <c r="E75" s="1" t="n">
        <v>46253</v>
      </c>
      <c r="F75" t="inlineStr">
        <is>
          <t>VÄSTERBOTTENS LÄN</t>
        </is>
      </c>
      <c r="G75" t="inlineStr">
        <is>
          <t>DOROTEA</t>
        </is>
      </c>
      <c r="I75" t="n">
        <v>10.2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45224</v>
      </c>
      <c r="E76" s="1" t="n">
        <v>46253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60304-2022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46253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4.9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44824</v>
      </c>
      <c r="E78" s="1" t="n">
        <v>46253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46253</v>
      </c>
      <c r="F79" t="inlineStr">
        <is>
          <t>VÄSTERBOTTENS LÄN</t>
        </is>
      </c>
      <c r="G79" t="inlineStr">
        <is>
          <t>DOROTEA</t>
        </is>
      </c>
      <c r="I79" t="n">
        <v>14.8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39471-2024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45551</v>
      </c>
      <c r="E80" s="1" t="n">
        <v>46253</v>
      </c>
      <c r="F80" t="inlineStr">
        <is>
          <t>VÄSTERBOTTENS LÄN</t>
        </is>
      </c>
      <c r="G80" t="inlineStr">
        <is>
          <t>DOROTEA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4958-2023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44956</v>
      </c>
      <c r="E81" s="1" t="n">
        <v>46253</v>
      </c>
      <c r="F81" t="inlineStr">
        <is>
          <t>VÄSTERBOTTENS LÄN</t>
        </is>
      </c>
      <c r="G81" t="inlineStr">
        <is>
          <t>DOROTEA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22946-2024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45448</v>
      </c>
      <c r="E82" s="1" t="n">
        <v>46253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49077-2022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44860</v>
      </c>
      <c r="E83" s="1" t="n">
        <v>46253</v>
      </c>
      <c r="F83" t="inlineStr">
        <is>
          <t>VÄSTERBOTTENS LÄN</t>
        </is>
      </c>
      <c r="G83" t="inlineStr">
        <is>
          <t>DOROTEA</t>
        </is>
      </c>
      <c r="H83" t="inlineStr">
        <is>
          <t>Sveaskog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57070-2023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45244</v>
      </c>
      <c r="E84" s="1" t="n">
        <v>46253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44582</v>
      </c>
      <c r="E85" s="1" t="n">
        <v>46253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34700-2023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46253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34702-2023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45140</v>
      </c>
      <c r="E87" s="1" t="n">
        <v>46253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59418-2023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45253</v>
      </c>
      <c r="E88" s="1" t="n">
        <v>46253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30059-2024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45488</v>
      </c>
      <c r="E89" s="1" t="n">
        <v>46253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45483</v>
      </c>
      <c r="E90" s="1" t="n">
        <v>46253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40435-2023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45169</v>
      </c>
      <c r="E91" s="1" t="n">
        <v>46253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44484</v>
      </c>
      <c r="E92" s="1" t="n">
        <v>46253</v>
      </c>
      <c r="F92" t="inlineStr">
        <is>
          <t>VÄSTERBOTTENS LÄN</t>
        </is>
      </c>
      <c r="G92" t="inlineStr">
        <is>
          <t>DOROTEA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46253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44889</v>
      </c>
      <c r="E94" s="1" t="n">
        <v>46253</v>
      </c>
      <c r="F94" t="inlineStr">
        <is>
          <t>VÄSTERBOTTENS LÄN</t>
        </is>
      </c>
      <c r="G94" t="inlineStr">
        <is>
          <t>DOROTEA</t>
        </is>
      </c>
      <c r="I94" t="n">
        <v>15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26315-2025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45805</v>
      </c>
      <c r="E95" s="1" t="n">
        <v>46253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74013-2021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46253</v>
      </c>
      <c r="F96" t="inlineStr">
        <is>
          <t>VÄSTERBOTTENS LÄN</t>
        </is>
      </c>
      <c r="G96" t="inlineStr">
        <is>
          <t>DOROTEA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26481-2025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45807</v>
      </c>
      <c r="E97" s="1" t="n">
        <v>46253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26480-2025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45807</v>
      </c>
      <c r="E98" s="1" t="n">
        <v>46253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46253</v>
      </c>
      <c r="F99" t="inlineStr">
        <is>
          <t>VÄSTERBOTTENS LÄN</t>
        </is>
      </c>
      <c r="G99" t="inlineStr">
        <is>
          <t>DOROTEA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62657-2022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44925</v>
      </c>
      <c r="E100" s="1" t="n">
        <v>46253</v>
      </c>
      <c r="F100" t="inlineStr">
        <is>
          <t>VÄSTERBOTTENS LÄN</t>
        </is>
      </c>
      <c r="G100" t="inlineStr">
        <is>
          <t>DOROTEA</t>
        </is>
      </c>
      <c r="I100" t="n">
        <v>22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14759-2025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45742</v>
      </c>
      <c r="E101" s="1" t="n">
        <v>46253</v>
      </c>
      <c r="F101" t="inlineStr">
        <is>
          <t>VÄSTERBOTTENS LÄN</t>
        </is>
      </c>
      <c r="G101" t="inlineStr">
        <is>
          <t>DOROTEA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14631-2025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45742</v>
      </c>
      <c r="E102" s="1" t="n">
        <v>46253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45811</v>
      </c>
      <c r="E103" s="1" t="n">
        <v>46253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30373-2024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45491</v>
      </c>
      <c r="E104" s="1" t="n">
        <v>46253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Sveaskog</t>
        </is>
      </c>
      <c r="I104" t="n">
        <v>13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46253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46253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3559-2026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46253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46042</v>
      </c>
      <c r="E108" s="1" t="n">
        <v>46253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8092-2023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46253</v>
      </c>
      <c r="F109" t="inlineStr">
        <is>
          <t>VÄSTERBOTTENS LÄN</t>
        </is>
      </c>
      <c r="G109" t="inlineStr">
        <is>
          <t>DOROTEA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46042</v>
      </c>
      <c r="E110" s="1" t="n">
        <v>46253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995-2026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46029</v>
      </c>
      <c r="E111" s="1" t="n">
        <v>46253</v>
      </c>
      <c r="F111" t="inlineStr">
        <is>
          <t>VÄSTERBOTTENS LÄN</t>
        </is>
      </c>
      <c r="G111" t="inlineStr">
        <is>
          <t>DOROTEA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3845-2026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46043</v>
      </c>
      <c r="E112" s="1" t="n">
        <v>46253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42484-2024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45565</v>
      </c>
      <c r="E113" s="1" t="n">
        <v>46253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46253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29258-2025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46253</v>
      </c>
      <c r="F115" t="inlineStr">
        <is>
          <t>VÄSTERBOTTENS LÄN</t>
        </is>
      </c>
      <c r="G115" t="inlineStr">
        <is>
          <t>DOROTEA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7429-2023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44971</v>
      </c>
      <c r="E116" s="1" t="n">
        <v>46253</v>
      </c>
      <c r="F116" t="inlineStr">
        <is>
          <t>VÄSTERBOTTENS LÄN</t>
        </is>
      </c>
      <c r="G116" t="inlineStr">
        <is>
          <t>DOROTEA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63885-2025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46253</v>
      </c>
      <c r="F117" t="inlineStr">
        <is>
          <t>VÄSTERBOTTENS LÄN</t>
        </is>
      </c>
      <c r="G117" t="inlineStr">
        <is>
          <t>DOROTEA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46253</v>
      </c>
      <c r="F118" t="inlineStr">
        <is>
          <t>VÄSTERBOTTENS LÄN</t>
        </is>
      </c>
      <c r="G118" t="inlineStr">
        <is>
          <t>DOROTEA</t>
        </is>
      </c>
      <c r="I118" t="n">
        <v>11.8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38239-2025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45883</v>
      </c>
      <c r="E119" s="1" t="n">
        <v>46253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46091</v>
      </c>
      <c r="E120" s="1" t="n">
        <v>46253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45883</v>
      </c>
      <c r="E121" s="1" t="n">
        <v>46253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10.6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46051</v>
      </c>
      <c r="E122" s="1" t="n">
        <v>46253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46051</v>
      </c>
      <c r="E123" s="1" t="n">
        <v>46253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44956</v>
      </c>
      <c r="E124" s="1" t="n">
        <v>46253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6381-2026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46055</v>
      </c>
      <c r="E125" s="1" t="n">
        <v>46253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23213-2022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44719</v>
      </c>
      <c r="E126" s="1" t="n">
        <v>46253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46054</v>
      </c>
      <c r="E127" s="1" t="n">
        <v>46253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22733-2023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45071</v>
      </c>
      <c r="E128" s="1" t="n">
        <v>46253</v>
      </c>
      <c r="F128" t="inlineStr">
        <is>
          <t>VÄSTERBOTTENS LÄN</t>
        </is>
      </c>
      <c r="G128" t="inlineStr">
        <is>
          <t>DOROTEA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22942-2024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46253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39778-2025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46253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45893</v>
      </c>
      <c r="E131" s="1" t="n">
        <v>46253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5834-2023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44958</v>
      </c>
      <c r="E132" s="1" t="n">
        <v>46253</v>
      </c>
      <c r="F132" t="inlineStr">
        <is>
          <t>VÄSTERBOTTENS LÄN</t>
        </is>
      </c>
      <c r="G132" t="inlineStr">
        <is>
          <t>DOROTEA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7713-2026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46253</v>
      </c>
      <c r="F133" t="inlineStr">
        <is>
          <t>VÄSTERBOTTENS LÄN</t>
        </is>
      </c>
      <c r="G133" t="inlineStr">
        <is>
          <t>DOROTEA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46059</v>
      </c>
      <c r="E134" s="1" t="n">
        <v>46253</v>
      </c>
      <c r="F134" t="inlineStr">
        <is>
          <t>VÄSTERBOTTENS LÄN</t>
        </is>
      </c>
      <c r="G134" t="inlineStr">
        <is>
          <t>DOROTEA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46063</v>
      </c>
      <c r="E135" s="1" t="n">
        <v>46253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41055-2025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45898</v>
      </c>
      <c r="E136" s="1" t="n">
        <v>46253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45833</v>
      </c>
      <c r="E137" s="1" t="n">
        <v>46253</v>
      </c>
      <c r="F137" t="inlineStr">
        <is>
          <t>VÄSTERBOTTENS LÄN</t>
        </is>
      </c>
      <c r="G137" t="inlineStr">
        <is>
          <t>DOROTEA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31510-2025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45833</v>
      </c>
      <c r="E138" s="1" t="n">
        <v>46253</v>
      </c>
      <c r="F138" t="inlineStr">
        <is>
          <t>VÄSTERBOTTENS LÄN</t>
        </is>
      </c>
      <c r="G138" t="inlineStr">
        <is>
          <t>DOROTEA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42125-2025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45904</v>
      </c>
      <c r="E139" s="1" t="n">
        <v>46253</v>
      </c>
      <c r="F139" t="inlineStr">
        <is>
          <t>VÄSTERBOTTENS LÄN</t>
        </is>
      </c>
      <c r="G139" t="inlineStr">
        <is>
          <t>DOROTEA</t>
        </is>
      </c>
      <c r="H139" t="inlineStr">
        <is>
          <t>Övriga Aktiebolag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45903</v>
      </c>
      <c r="E140" s="1" t="n">
        <v>46253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25028-2024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45461</v>
      </c>
      <c r="E141" s="1" t="n">
        <v>46253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42553-2025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45905</v>
      </c>
      <c r="E142" s="1" t="n">
        <v>46253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7.3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9796-2026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46253</v>
      </c>
      <c r="F143" t="inlineStr">
        <is>
          <t>VÄSTERBOTTENS LÄN</t>
        </is>
      </c>
      <c r="G143" t="inlineStr">
        <is>
          <t>DOROTEA</t>
        </is>
      </c>
      <c r="I143" t="n">
        <v>20.1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33267-2025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45840</v>
      </c>
      <c r="E144" s="1" t="n">
        <v>46253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43720-2025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46253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46253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43866-2025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45912</v>
      </c>
      <c r="E147" s="1" t="n">
        <v>46253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4617-2023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44956</v>
      </c>
      <c r="E148" s="1" t="n">
        <v>46253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44282-2025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45916</v>
      </c>
      <c r="E149" s="1" t="n">
        <v>46253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44357-2025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45916</v>
      </c>
      <c r="E150" s="1" t="n">
        <v>46253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45915</v>
      </c>
      <c r="E151" s="1" t="n">
        <v>46253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45915</v>
      </c>
      <c r="E152" s="1" t="n">
        <v>46253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44395-2025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45916</v>
      </c>
      <c r="E153" s="1" t="n">
        <v>46253</v>
      </c>
      <c r="F153" t="inlineStr">
        <is>
          <t>VÄSTERBOTTENS LÄN</t>
        </is>
      </c>
      <c r="G153" t="inlineStr">
        <is>
          <t>DOROTEA</t>
        </is>
      </c>
      <c r="H153" t="inlineStr">
        <is>
          <t>Övriga statliga verk och myndigheter</t>
        </is>
      </c>
      <c r="I153" t="n">
        <v>15.2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11817-2026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46253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12082-2026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46086</v>
      </c>
      <c r="E155" s="1" t="n">
        <v>46253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46253</v>
      </c>
      <c r="F156" t="inlineStr">
        <is>
          <t>VÄSTERBOTTENS LÄN</t>
        </is>
      </c>
      <c r="G156" t="inlineStr">
        <is>
          <t>DOROTEA</t>
        </is>
      </c>
      <c r="I156" t="n">
        <v>8.9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60162-2024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45642</v>
      </c>
      <c r="E157" s="1" t="n">
        <v>46253</v>
      </c>
      <c r="F157" t="inlineStr">
        <is>
          <t>VÄSTERBOTTENS LÄN</t>
        </is>
      </c>
      <c r="G157" t="inlineStr">
        <is>
          <t>DOROTEA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45917</v>
      </c>
      <c r="E158" s="1" t="n">
        <v>46253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46253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45917</v>
      </c>
      <c r="E160" s="1" t="n">
        <v>46253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24003-2025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46253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6.1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17133-2025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45755</v>
      </c>
      <c r="E162" s="1" t="n">
        <v>46253</v>
      </c>
      <c r="F162" t="inlineStr">
        <is>
          <t>VÄSTERBOTTENS LÄN</t>
        </is>
      </c>
      <c r="G162" t="inlineStr">
        <is>
          <t>DOROTEA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45852</v>
      </c>
      <c r="E163" s="1" t="n">
        <v>46253</v>
      </c>
      <c r="F163" t="inlineStr">
        <is>
          <t>VÄSTERBOTTENS LÄN</t>
        </is>
      </c>
      <c r="G163" t="inlineStr">
        <is>
          <t>DOROTEA</t>
        </is>
      </c>
      <c r="H163" t="inlineStr">
        <is>
          <t>Allmännings- och besparingsskogar</t>
        </is>
      </c>
      <c r="I163" t="n">
        <v>22.1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35203-2025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45852</v>
      </c>
      <c r="E164" s="1" t="n">
        <v>46253</v>
      </c>
      <c r="F164" t="inlineStr">
        <is>
          <t>VÄSTERBOTTENS LÄN</t>
        </is>
      </c>
      <c r="G164" t="inlineStr">
        <is>
          <t>DOROTEA</t>
        </is>
      </c>
      <c r="H164" t="inlineStr">
        <is>
          <t>Allmännings- och besparingsskogar</t>
        </is>
      </c>
      <c r="I164" t="n">
        <v>20.3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34406-2025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45845</v>
      </c>
      <c r="E165" s="1" t="n">
        <v>46253</v>
      </c>
      <c r="F165" t="inlineStr">
        <is>
          <t>VÄSTERBOTTENS LÄN</t>
        </is>
      </c>
      <c r="G165" t="inlineStr">
        <is>
          <t>DOROTEA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46253</v>
      </c>
      <c r="F166" t="inlineStr">
        <is>
          <t>VÄSTERBOTTENS LÄN</t>
        </is>
      </c>
      <c r="G166" t="inlineStr">
        <is>
          <t>DOROTEA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34408-2025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45845</v>
      </c>
      <c r="E167" s="1" t="n">
        <v>46253</v>
      </c>
      <c r="F167" t="inlineStr">
        <is>
          <t>VÄSTERBOTTENS LÄN</t>
        </is>
      </c>
      <c r="G167" t="inlineStr">
        <is>
          <t>DOROTEA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60163-2024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46253</v>
      </c>
      <c r="F168" t="inlineStr">
        <is>
          <t>VÄSTERBOTTENS LÄN</t>
        </is>
      </c>
      <c r="G168" t="inlineStr">
        <is>
          <t>DOROTEA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34101-2023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45125</v>
      </c>
      <c r="E169" s="1" t="n">
        <v>46253</v>
      </c>
      <c r="F169" t="inlineStr">
        <is>
          <t>VÄSTERBOTTENS LÄN</t>
        </is>
      </c>
      <c r="G169" t="inlineStr">
        <is>
          <t>DOROTEA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14249-2026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46099</v>
      </c>
      <c r="E170" s="1" t="n">
        <v>46253</v>
      </c>
      <c r="F170" t="inlineStr">
        <is>
          <t>VÄSTERBOTTENS LÄN</t>
        </is>
      </c>
      <c r="G170" t="inlineStr">
        <is>
          <t>DOROTEA</t>
        </is>
      </c>
      <c r="I170" t="n">
        <v>4.9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45182</v>
      </c>
      <c r="E171" s="1" t="n">
        <v>46253</v>
      </c>
      <c r="F171" t="inlineStr">
        <is>
          <t>VÄSTERBOTTENS LÄN</t>
        </is>
      </c>
      <c r="G171" t="inlineStr">
        <is>
          <t>DOROTEA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45848</v>
      </c>
      <c r="E172" s="1" t="n">
        <v>46253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15020-2026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46253</v>
      </c>
      <c r="F173" t="inlineStr">
        <is>
          <t>VÄSTERBOTTENS LÄN</t>
        </is>
      </c>
      <c r="G173" t="inlineStr">
        <is>
          <t>DOROTEA</t>
        </is>
      </c>
      <c r="I173" t="n">
        <v>7.8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46253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34488-2025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46253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45149</v>
      </c>
      <c r="E176" s="1" t="n">
        <v>46253</v>
      </c>
      <c r="F176" t="inlineStr">
        <is>
          <t>VÄSTERBOTTENS LÄN</t>
        </is>
      </c>
      <c r="G176" t="inlineStr">
        <is>
          <t>DOROTEA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48510-2025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46253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48531-2025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46253</v>
      </c>
      <c r="F178" t="inlineStr">
        <is>
          <t>VÄSTERBOTTENS LÄN</t>
        </is>
      </c>
      <c r="G178" t="inlineStr">
        <is>
          <t>DOROTEA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40434-2023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45169</v>
      </c>
      <c r="E179" s="1" t="n">
        <v>46253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48530-2025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45936</v>
      </c>
      <c r="E180" s="1" t="n">
        <v>46253</v>
      </c>
      <c r="F180" t="inlineStr">
        <is>
          <t>VÄSTERBOTTENS LÄN</t>
        </is>
      </c>
      <c r="G180" t="inlineStr">
        <is>
          <t>DOROTEA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46253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46253</v>
      </c>
      <c r="F182" t="inlineStr">
        <is>
          <t>VÄSTERBOTTENS LÄN</t>
        </is>
      </c>
      <c r="G182" t="inlineStr">
        <is>
          <t>DOROTEA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60145-2021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44494</v>
      </c>
      <c r="E183" s="1" t="n">
        <v>46253</v>
      </c>
      <c r="F183" t="inlineStr">
        <is>
          <t>VÄSTERBOTTENS LÄN</t>
        </is>
      </c>
      <c r="G183" t="inlineStr">
        <is>
          <t>DOROTEA</t>
        </is>
      </c>
      <c r="I183" t="n">
        <v>13.3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15901-2026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46107</v>
      </c>
      <c r="E184" s="1" t="n">
        <v>46253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45849</v>
      </c>
      <c r="E185" s="1" t="n">
        <v>46253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45852</v>
      </c>
      <c r="E186" s="1" t="n">
        <v>46253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46253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49054-2025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45937</v>
      </c>
      <c r="E188" s="1" t="n">
        <v>46253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9.800000000000001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59007-2024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46253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16251-2026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46111</v>
      </c>
      <c r="E190" s="1" t="n">
        <v>46253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16352-2026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46111</v>
      </c>
      <c r="E191" s="1" t="n">
        <v>46253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33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46111</v>
      </c>
      <c r="E192" s="1" t="n">
        <v>46253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45720</v>
      </c>
      <c r="E193" s="1" t="n">
        <v>46253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45855</v>
      </c>
      <c r="E194" s="1" t="n">
        <v>46253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27909-2024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45475</v>
      </c>
      <c r="E195" s="1" t="n">
        <v>46253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45855</v>
      </c>
      <c r="E196" s="1" t="n">
        <v>46253</v>
      </c>
      <c r="F196" t="inlineStr">
        <is>
          <t>VÄSTERBOTTENS LÄN</t>
        </is>
      </c>
      <c r="G196" t="inlineStr">
        <is>
          <t>DOROTEA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44820-2024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45574</v>
      </c>
      <c r="E197" s="1" t="n">
        <v>46253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45855</v>
      </c>
      <c r="E198" s="1" t="n">
        <v>46253</v>
      </c>
      <c r="F198" t="inlineStr">
        <is>
          <t>VÄSTERBOTTENS LÄN</t>
        </is>
      </c>
      <c r="G198" t="inlineStr">
        <is>
          <t>DOROTEA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45855</v>
      </c>
      <c r="E199" s="1" t="n">
        <v>46253</v>
      </c>
      <c r="F199" t="inlineStr">
        <is>
          <t>VÄSTERBOTTENS LÄN</t>
        </is>
      </c>
      <c r="G199" t="inlineStr">
        <is>
          <t>DOROTEA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16896-2026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46113</v>
      </c>
      <c r="E200" s="1" t="n">
        <v>46253</v>
      </c>
      <c r="F200" t="inlineStr">
        <is>
          <t>VÄSTERBOTTENS LÄN</t>
        </is>
      </c>
      <c r="G200" t="inlineStr">
        <is>
          <t>DOROTEA</t>
        </is>
      </c>
      <c r="H200" t="inlineStr">
        <is>
          <t>Kommuner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45463</v>
      </c>
      <c r="E201" s="1" t="n">
        <v>46253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16.2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45539</v>
      </c>
      <c r="E202" s="1" t="n">
        <v>46253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16985-2026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46114</v>
      </c>
      <c r="E203" s="1" t="n">
        <v>46253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46121</v>
      </c>
      <c r="E204" s="1" t="n">
        <v>46253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20.3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46120</v>
      </c>
      <c r="E205" s="1" t="n">
        <v>46253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8.6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45013</v>
      </c>
      <c r="E206" s="1" t="n">
        <v>46253</v>
      </c>
      <c r="F206" t="inlineStr">
        <is>
          <t>VÄSTERBOTTENS LÄN</t>
        </is>
      </c>
      <c r="G206" t="inlineStr">
        <is>
          <t>DOROTEA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18143-2026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46125</v>
      </c>
      <c r="E207" s="1" t="n">
        <v>46253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10.1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17971-2026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46123</v>
      </c>
      <c r="E208" s="1" t="n">
        <v>46253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46253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18.3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18157-2026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46125</v>
      </c>
      <c r="E210" s="1" t="n">
        <v>46253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46253</v>
      </c>
      <c r="F211" t="inlineStr">
        <is>
          <t>VÄSTERBOTTENS LÄN</t>
        </is>
      </c>
      <c r="G211" t="inlineStr">
        <is>
          <t>DOROTEA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18254-2026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46126</v>
      </c>
      <c r="E212" s="1" t="n">
        <v>46253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52412-2025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45954</v>
      </c>
      <c r="E213" s="1" t="n">
        <v>46253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18310-2026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46126</v>
      </c>
      <c r="E214" s="1" t="n">
        <v>46253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45866</v>
      </c>
      <c r="E215" s="1" t="n">
        <v>46253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46253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36111-2025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45866</v>
      </c>
      <c r="E217" s="1" t="n">
        <v>46253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46253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30570-2023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46253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43211-2021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44431</v>
      </c>
      <c r="E220" s="1" t="n">
        <v>46253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19445-2026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46133</v>
      </c>
      <c r="E221" s="1" t="n">
        <v>46253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45714</v>
      </c>
      <c r="E222" s="1" t="n">
        <v>46253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46133</v>
      </c>
      <c r="E223" s="1" t="n">
        <v>46253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46253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20316-2026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46136</v>
      </c>
      <c r="E225" s="1" t="n">
        <v>46253</v>
      </c>
      <c r="F225" t="inlineStr">
        <is>
          <t>VÄSTERBOTTENS LÄN</t>
        </is>
      </c>
      <c r="G225" t="inlineStr">
        <is>
          <t>DOROTEA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54489-2025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46253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45874</v>
      </c>
      <c r="E227" s="1" t="n">
        <v>46253</v>
      </c>
      <c r="F227" t="inlineStr">
        <is>
          <t>VÄSTERBOTTENS LÄN</t>
        </is>
      </c>
      <c r="G227" t="inlineStr">
        <is>
          <t>DOROTEA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54623-2025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45966</v>
      </c>
      <c r="E228" s="1" t="n">
        <v>46253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46253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44568</v>
      </c>
      <c r="E230" s="1" t="n">
        <v>46253</v>
      </c>
      <c r="F230" t="inlineStr">
        <is>
          <t>VÄSTERBOTTENS LÄN</t>
        </is>
      </c>
      <c r="G230" t="inlineStr">
        <is>
          <t>DOROTEA</t>
        </is>
      </c>
      <c r="I230" t="n">
        <v>5.4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45846</v>
      </c>
      <c r="E231" s="1" t="n">
        <v>46253</v>
      </c>
      <c r="F231" t="inlineStr">
        <is>
          <t>VÄSTERBOTTENS LÄN</t>
        </is>
      </c>
      <c r="G231" t="inlineStr">
        <is>
          <t>DOROTEA</t>
        </is>
      </c>
      <c r="I231" t="n">
        <v>14.7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46140</v>
      </c>
      <c r="E232" s="1" t="n">
        <v>46253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46253</v>
      </c>
      <c r="F233" t="inlineStr">
        <is>
          <t>VÄSTERBOTTENS LÄN</t>
        </is>
      </c>
      <c r="G233" t="inlineStr">
        <is>
          <t>DOROTEA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45855</v>
      </c>
      <c r="E234" s="1" t="n">
        <v>46253</v>
      </c>
      <c r="F234" t="inlineStr">
        <is>
          <t>VÄSTERBOTTENS LÄN</t>
        </is>
      </c>
      <c r="G234" t="inlineStr">
        <is>
          <t>DOROTEA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36096-2025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46253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45975</v>
      </c>
      <c r="E236" s="1" t="n">
        <v>46253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46253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45876</v>
      </c>
      <c r="E238" s="1" t="n">
        <v>46253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56556-2025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45975</v>
      </c>
      <c r="E239" s="1" t="n">
        <v>46253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45036</v>
      </c>
      <c r="E240" s="1" t="n">
        <v>46253</v>
      </c>
      <c r="F240" t="inlineStr">
        <is>
          <t>VÄSTERBOTTENS LÄN</t>
        </is>
      </c>
      <c r="G240" t="inlineStr">
        <is>
          <t>DOROTEA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45978</v>
      </c>
      <c r="E241" s="1" t="n">
        <v>46253</v>
      </c>
      <c r="F241" t="inlineStr">
        <is>
          <t>VÄSTERBOTTENS LÄN</t>
        </is>
      </c>
      <c r="G241" t="inlineStr">
        <is>
          <t>DOROTEA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57250-2025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46253</v>
      </c>
      <c r="F242" t="inlineStr">
        <is>
          <t>VÄSTERBOTTENS LÄN</t>
        </is>
      </c>
      <c r="G242" t="inlineStr">
        <is>
          <t>DOROTEA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45875</v>
      </c>
      <c r="E243" s="1" t="n">
        <v>46253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56707-2025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45977</v>
      </c>
      <c r="E244" s="1" t="n">
        <v>46253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37276-2025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45876</v>
      </c>
      <c r="E245" s="1" t="n">
        <v>46253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45295</v>
      </c>
      <c r="E246" s="1" t="n">
        <v>46253</v>
      </c>
      <c r="F246" t="inlineStr">
        <is>
          <t>VÄSTERBOTTENS LÄN</t>
        </is>
      </c>
      <c r="G246" t="inlineStr">
        <is>
          <t>DOROTEA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57480-2025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45980</v>
      </c>
      <c r="E247" s="1" t="n">
        <v>46253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45980</v>
      </c>
      <c r="E248" s="1" t="n">
        <v>46253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41771-2024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45561</v>
      </c>
      <c r="E249" s="1" t="n">
        <v>46253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55919-2023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45239</v>
      </c>
      <c r="E250" s="1" t="n">
        <v>46253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46010</v>
      </c>
      <c r="E251" s="1" t="n">
        <v>46253</v>
      </c>
      <c r="F251" t="inlineStr">
        <is>
          <t>VÄSTERBOTTENS LÄN</t>
        </is>
      </c>
      <c r="G251" t="inlineStr">
        <is>
          <t>DOROTEA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45980</v>
      </c>
      <c r="E252" s="1" t="n">
        <v>46253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10.2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22580-2023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45069</v>
      </c>
      <c r="E253" s="1" t="n">
        <v>46253</v>
      </c>
      <c r="F253" t="inlineStr">
        <is>
          <t>VÄSTERBOTTENS LÄN</t>
        </is>
      </c>
      <c r="G253" t="inlineStr">
        <is>
          <t>DOROTEA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45978</v>
      </c>
      <c r="E254" s="1" t="n">
        <v>46253</v>
      </c>
      <c r="F254" t="inlineStr">
        <is>
          <t>VÄSTERBOTTENS LÄN</t>
        </is>
      </c>
      <c r="G254" t="inlineStr">
        <is>
          <t>DOROTEA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45982</v>
      </c>
      <c r="E255" s="1" t="n">
        <v>46253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18.2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57722-2025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45981</v>
      </c>
      <c r="E256" s="1" t="n">
        <v>46253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20321-2026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46136</v>
      </c>
      <c r="E257" s="1" t="n">
        <v>46253</v>
      </c>
      <c r="F257" t="inlineStr">
        <is>
          <t>VÄSTERBOTTENS LÄN</t>
        </is>
      </c>
      <c r="G257" t="inlineStr">
        <is>
          <t>DOROTEA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20327-2026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46253</v>
      </c>
      <c r="F258" t="inlineStr">
        <is>
          <t>VÄSTERBOTTENS LÄN</t>
        </is>
      </c>
      <c r="G258" t="inlineStr">
        <is>
          <t>DOROTEA</t>
        </is>
      </c>
      <c r="I258" t="n">
        <v>6.1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46253</v>
      </c>
      <c r="F259" t="inlineStr">
        <is>
          <t>VÄSTERBOTTENS LÄN</t>
        </is>
      </c>
      <c r="G259" t="inlineStr">
        <is>
          <t>DOROTEA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46253</v>
      </c>
      <c r="F260" t="inlineStr">
        <is>
          <t>VÄSTERBOTTENS LÄN</t>
        </is>
      </c>
      <c r="G260" t="inlineStr">
        <is>
          <t>DOROTEA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57947-2025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45982</v>
      </c>
      <c r="E261" s="1" t="n">
        <v>46253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37476-2025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45877</v>
      </c>
      <c r="E262" s="1" t="n">
        <v>46253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45614</v>
      </c>
      <c r="E263" s="1" t="n">
        <v>46253</v>
      </c>
      <c r="F263" t="inlineStr">
        <is>
          <t>VÄSTERBOTTENS LÄN</t>
        </is>
      </c>
      <c r="G263" t="inlineStr">
        <is>
          <t>DOROTEA</t>
        </is>
      </c>
      <c r="I263" t="n">
        <v>31.7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45712</v>
      </c>
      <c r="E264" s="1" t="n">
        <v>46253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46253</v>
      </c>
      <c r="F265" t="inlineStr">
        <is>
          <t>VÄSTERBOTTENS LÄN</t>
        </is>
      </c>
      <c r="G265" t="inlineStr">
        <is>
          <t>DOROTEA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55889-2022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44888</v>
      </c>
      <c r="E266" s="1" t="n">
        <v>46253</v>
      </c>
      <c r="F266" t="inlineStr">
        <is>
          <t>VÄSTERBOTTENS LÄN</t>
        </is>
      </c>
      <c r="G266" t="inlineStr">
        <is>
          <t>DOROTEA</t>
        </is>
      </c>
      <c r="I266" t="n">
        <v>15.8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58600-2025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45986</v>
      </c>
      <c r="E267" s="1" t="n">
        <v>46253</v>
      </c>
      <c r="F267" t="inlineStr">
        <is>
          <t>VÄSTERBOTTENS LÄN</t>
        </is>
      </c>
      <c r="G267" t="inlineStr">
        <is>
          <t>DOROTEA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46253</v>
      </c>
      <c r="F268" t="inlineStr">
        <is>
          <t>VÄSTERBOTTENS LÄN</t>
        </is>
      </c>
      <c r="G268" t="inlineStr">
        <is>
          <t>DOROTEA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38101-2025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46253</v>
      </c>
      <c r="F269" t="inlineStr">
        <is>
          <t>VÄSTERBOTTENS LÄN</t>
        </is>
      </c>
      <c r="G269" t="inlineStr">
        <is>
          <t>DOROTEA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46253</v>
      </c>
      <c r="F270" t="inlineStr">
        <is>
          <t>VÄSTERBOTTENS LÄN</t>
        </is>
      </c>
      <c r="G270" t="inlineStr">
        <is>
          <t>DOROTEA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38099-2025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45882</v>
      </c>
      <c r="E271" s="1" t="n">
        <v>46253</v>
      </c>
      <c r="F271" t="inlineStr">
        <is>
          <t>VÄSTERBOTTENS LÄN</t>
        </is>
      </c>
      <c r="G271" t="inlineStr">
        <is>
          <t>DOROTEA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45988</v>
      </c>
      <c r="E272" s="1" t="n">
        <v>46253</v>
      </c>
      <c r="F272" t="inlineStr">
        <is>
          <t>VÄSTERBOTTENS LÄN</t>
        </is>
      </c>
      <c r="G272" t="inlineStr">
        <is>
          <t>DOROTEA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45988</v>
      </c>
      <c r="E273" s="1" t="n">
        <v>46253</v>
      </c>
      <c r="F273" t="inlineStr">
        <is>
          <t>VÄSTERBOTTENS LÄN</t>
        </is>
      </c>
      <c r="G273" t="inlineStr">
        <is>
          <t>DOROTEA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38097-2025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45882</v>
      </c>
      <c r="E274" s="1" t="n">
        <v>46253</v>
      </c>
      <c r="F274" t="inlineStr">
        <is>
          <t>VÄSTERBOTTENS LÄN</t>
        </is>
      </c>
      <c r="G274" t="inlineStr">
        <is>
          <t>DOROTEA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45882</v>
      </c>
      <c r="E275" s="1" t="n">
        <v>46253</v>
      </c>
      <c r="F275" t="inlineStr">
        <is>
          <t>VÄSTERBOTTENS LÄN</t>
        </is>
      </c>
      <c r="G275" t="inlineStr">
        <is>
          <t>DOROTEA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53092-2024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45611</v>
      </c>
      <c r="E276" s="1" t="n">
        <v>46253</v>
      </c>
      <c r="F276" t="inlineStr">
        <is>
          <t>VÄSTERBOTTENS LÄN</t>
        </is>
      </c>
      <c r="G276" t="inlineStr">
        <is>
          <t>DOROTEA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59329-2025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45988</v>
      </c>
      <c r="E277" s="1" t="n">
        <v>46253</v>
      </c>
      <c r="F277" t="inlineStr">
        <is>
          <t>VÄSTERBOTTENS LÄN</t>
        </is>
      </c>
      <c r="G277" t="inlineStr">
        <is>
          <t>DOROTEA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35937-2025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45862</v>
      </c>
      <c r="E278" s="1" t="n">
        <v>46253</v>
      </c>
      <c r="F278" t="inlineStr">
        <is>
          <t>VÄSTERBOTTENS LÄN</t>
        </is>
      </c>
      <c r="G278" t="inlineStr">
        <is>
          <t>DOROTEA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7397-2025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45705</v>
      </c>
      <c r="E279" s="1" t="n">
        <v>46253</v>
      </c>
      <c r="F279" t="inlineStr">
        <is>
          <t>VÄSTERBOTTENS LÄN</t>
        </is>
      </c>
      <c r="G279" t="inlineStr">
        <is>
          <t>DOROTEA</t>
        </is>
      </c>
      <c r="I279" t="n">
        <v>13.3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9102-2023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44979</v>
      </c>
      <c r="E280" s="1" t="n">
        <v>46253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37282-2025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45876</v>
      </c>
      <c r="E281" s="1" t="n">
        <v>46253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8247-2024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45351</v>
      </c>
      <c r="E282" s="1" t="n">
        <v>46253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60724-2025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45996</v>
      </c>
      <c r="E283" s="1" t="n">
        <v>46253</v>
      </c>
      <c r="F283" t="inlineStr">
        <is>
          <t>VÄSTERBOTTENS LÄN</t>
        </is>
      </c>
      <c r="G283" t="inlineStr">
        <is>
          <t>DOROTEA</t>
        </is>
      </c>
      <c r="I283" t="n">
        <v>23.9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46253</v>
      </c>
      <c r="F284" t="inlineStr">
        <is>
          <t>VÄSTERBOTTENS LÄN</t>
        </is>
      </c>
      <c r="G284" t="inlineStr">
        <is>
          <t>DOROTEA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20390-2026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46139</v>
      </c>
      <c r="E285" s="1" t="n">
        <v>46253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20286-2026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46253</v>
      </c>
      <c r="F286" t="inlineStr">
        <is>
          <t>VÄSTERBOTTENS LÄN</t>
        </is>
      </c>
      <c r="G286" t="inlineStr">
        <is>
          <t>DOROTEA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45678</v>
      </c>
      <c r="E287" s="1" t="n">
        <v>46253</v>
      </c>
      <c r="F287" t="inlineStr">
        <is>
          <t>VÄSTERBOTTENS LÄN</t>
        </is>
      </c>
      <c r="G287" t="inlineStr">
        <is>
          <t>DOROTEA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46141</v>
      </c>
      <c r="E288" s="1" t="n">
        <v>46253</v>
      </c>
      <c r="F288" t="inlineStr">
        <is>
          <t>VÄSTERBOTTENS LÄN</t>
        </is>
      </c>
      <c r="G288" t="inlineStr">
        <is>
          <t>DOROTEA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62193-2025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46003</v>
      </c>
      <c r="E289" s="1" t="n">
        <v>46253</v>
      </c>
      <c r="F289" t="inlineStr">
        <is>
          <t>VÄSTERBOTTENS LÄN</t>
        </is>
      </c>
      <c r="G289" t="inlineStr">
        <is>
          <t>DOROTEA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20754-2026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46141</v>
      </c>
      <c r="E290" s="1" t="n">
        <v>46253</v>
      </c>
      <c r="F290" t="inlineStr">
        <is>
          <t>VÄSTERBOTTENS LÄN</t>
        </is>
      </c>
      <c r="G290" t="inlineStr">
        <is>
          <t>DOROTEA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61831-2025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46003</v>
      </c>
      <c r="E291" s="1" t="n">
        <v>46253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37072-2024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45539</v>
      </c>
      <c r="E292" s="1" t="n">
        <v>46253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8.199999999999999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20231-2026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46136</v>
      </c>
      <c r="E293" s="1" t="n">
        <v>46253</v>
      </c>
      <c r="F293" t="inlineStr">
        <is>
          <t>VÄSTERBOTTENS LÄN</t>
        </is>
      </c>
      <c r="G293" t="inlineStr">
        <is>
          <t>DOROTEA</t>
        </is>
      </c>
      <c r="I293" t="n">
        <v>21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62399-2025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46007</v>
      </c>
      <c r="E294" s="1" t="n">
        <v>46253</v>
      </c>
      <c r="F294" t="inlineStr">
        <is>
          <t>VÄSTERBOTTENS LÄN</t>
        </is>
      </c>
      <c r="G294" t="inlineStr">
        <is>
          <t>DOROTEA</t>
        </is>
      </c>
      <c r="I294" t="n">
        <v>16.7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62422-2025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46007</v>
      </c>
      <c r="E295" s="1" t="n">
        <v>46253</v>
      </c>
      <c r="F295" t="inlineStr">
        <is>
          <t>VÄSTERBOTTENS LÄN</t>
        </is>
      </c>
      <c r="G295" t="inlineStr">
        <is>
          <t>DOROTEA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46007</v>
      </c>
      <c r="E296" s="1" t="n">
        <v>46253</v>
      </c>
      <c r="F296" t="inlineStr">
        <is>
          <t>VÄSTERBOTTENS LÄN</t>
        </is>
      </c>
      <c r="G296" t="inlineStr">
        <is>
          <t>DOROTEA</t>
        </is>
      </c>
      <c r="I296" t="n">
        <v>13.2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45755</v>
      </c>
      <c r="E297" s="1" t="n">
        <v>46253</v>
      </c>
      <c r="F297" t="inlineStr">
        <is>
          <t>VÄSTERBOTTENS LÄN</t>
        </is>
      </c>
      <c r="G297" t="inlineStr">
        <is>
          <t>DOROTEA</t>
        </is>
      </c>
      <c r="I297" t="n">
        <v>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17776-2023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45036</v>
      </c>
      <c r="E298" s="1" t="n">
        <v>46253</v>
      </c>
      <c r="F298" t="inlineStr">
        <is>
          <t>VÄSTERBOTTENS LÄN</t>
        </is>
      </c>
      <c r="G298" t="inlineStr">
        <is>
          <t>DOROTEA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20680-2026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46141</v>
      </c>
      <c r="E299" s="1" t="n">
        <v>46253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20290-2026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46253</v>
      </c>
      <c r="F300" t="inlineStr">
        <is>
          <t>VÄSTERBOTTENS LÄN</t>
        </is>
      </c>
      <c r="G300" t="inlineStr">
        <is>
          <t>DOROTEA</t>
        </is>
      </c>
      <c r="I300" t="n">
        <v>17.8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62424-2025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46253</v>
      </c>
      <c r="F301" t="inlineStr">
        <is>
          <t>VÄSTERBOTTENS LÄN</t>
        </is>
      </c>
      <c r="G301" t="inlineStr">
        <is>
          <t>DOROTEA</t>
        </is>
      </c>
      <c r="I301" t="n">
        <v>12.3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62974-2025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46009</v>
      </c>
      <c r="E302" s="1" t="n">
        <v>46253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9.4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63939-2025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46010</v>
      </c>
      <c r="E303" s="1" t="n">
        <v>46253</v>
      </c>
      <c r="F303" t="inlineStr">
        <is>
          <t>VÄSTERBOTTENS LÄN</t>
        </is>
      </c>
      <c r="G303" t="inlineStr">
        <is>
          <t>DOROTEA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21199-2026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46146</v>
      </c>
      <c r="E304" s="1" t="n">
        <v>46253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29645-2023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45098</v>
      </c>
      <c r="E305" s="1" t="n">
        <v>46253</v>
      </c>
      <c r="F305" t="inlineStr">
        <is>
          <t>VÄSTERBOTTENS LÄN</t>
        </is>
      </c>
      <c r="G305" t="inlineStr">
        <is>
          <t>DOROTEA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21152-2026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46146</v>
      </c>
      <c r="E306" s="1" t="n">
        <v>46253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40599-2024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45556</v>
      </c>
      <c r="E307" s="1" t="n">
        <v>46253</v>
      </c>
      <c r="F307" t="inlineStr">
        <is>
          <t>VÄSTERBOTTENS LÄN</t>
        </is>
      </c>
      <c r="G307" t="inlineStr">
        <is>
          <t>DOROTEA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46147</v>
      </c>
      <c r="E308" s="1" t="n">
        <v>46253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46147</v>
      </c>
      <c r="E309" s="1" t="n">
        <v>46253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46149</v>
      </c>
      <c r="E310" s="1" t="n">
        <v>46253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21812-2026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46253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63745-2025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46017</v>
      </c>
      <c r="E312" s="1" t="n">
        <v>46253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8.699999999999999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46253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12.8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46189</v>
      </c>
      <c r="E314" s="1" t="n">
        <v>46253</v>
      </c>
      <c r="F314" t="inlineStr">
        <is>
          <t>VÄSTERBOTTENS LÄN</t>
        </is>
      </c>
      <c r="G314" t="inlineStr">
        <is>
          <t>DOROTEA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27777-2026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46189</v>
      </c>
      <c r="E315" s="1" t="n">
        <v>46253</v>
      </c>
      <c r="F315" t="inlineStr">
        <is>
          <t>VÄSTERBOTTENS LÄN</t>
        </is>
      </c>
      <c r="G315" t="inlineStr">
        <is>
          <t>DOROTEA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27780-2026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46189</v>
      </c>
      <c r="E316" s="1" t="n">
        <v>46253</v>
      </c>
      <c r="F316" t="inlineStr">
        <is>
          <t>VÄSTERBOTTENS LÄN</t>
        </is>
      </c>
      <c r="G316" t="inlineStr">
        <is>
          <t>DOROTEA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46966-2024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45586</v>
      </c>
      <c r="E317" s="1" t="n">
        <v>46253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Sveaskog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45520</v>
      </c>
      <c r="E318" s="1" t="n">
        <v>46253</v>
      </c>
      <c r="F318" t="inlineStr">
        <is>
          <t>VÄSTERBOTTENS LÄN</t>
        </is>
      </c>
      <c r="G318" t="inlineStr">
        <is>
          <t>DOROTEA</t>
        </is>
      </c>
      <c r="I318" t="n">
        <v>11.1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22128-2026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46253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55888-2022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44888</v>
      </c>
      <c r="E320" s="1" t="n">
        <v>46253</v>
      </c>
      <c r="F320" t="inlineStr">
        <is>
          <t>VÄSTERBOTTENS LÄN</t>
        </is>
      </c>
      <c r="G320" t="inlineStr">
        <is>
          <t>DOROTEA</t>
        </is>
      </c>
      <c r="I320" t="n">
        <v>7.6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22214-2026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46253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16.4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46030</v>
      </c>
      <c r="E322" s="1" t="n">
        <v>46253</v>
      </c>
      <c r="F322" t="inlineStr">
        <is>
          <t>VÄSTERBOTTENS LÄN</t>
        </is>
      </c>
      <c r="G322" t="inlineStr">
        <is>
          <t>DOROTEA</t>
        </is>
      </c>
      <c r="I322" t="n">
        <v>18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42515-2023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45180</v>
      </c>
      <c r="E323" s="1" t="n">
        <v>46253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27.7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6621-2023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44960</v>
      </c>
      <c r="E324" s="1" t="n">
        <v>46253</v>
      </c>
      <c r="F324" t="inlineStr">
        <is>
          <t>VÄSTERBOTTENS LÄN</t>
        </is>
      </c>
      <c r="G324" t="inlineStr">
        <is>
          <t>DOROTEA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46253</v>
      </c>
      <c r="F325" t="inlineStr">
        <is>
          <t>VÄSTERBOTTENS LÄN</t>
        </is>
      </c>
      <c r="G325" t="inlineStr">
        <is>
          <t>DOROTEA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10649-2025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45721</v>
      </c>
      <c r="E326" s="1" t="n">
        <v>46253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46253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46155</v>
      </c>
      <c r="E328" s="1" t="n">
        <v>46253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45331</v>
      </c>
      <c r="E329" s="1" t="n">
        <v>46253</v>
      </c>
      <c r="F329" t="inlineStr">
        <is>
          <t>VÄSTERBOTTENS LÄN</t>
        </is>
      </c>
      <c r="G329" t="inlineStr">
        <is>
          <t>DOROTEA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15735-2026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46253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23001-2026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46160</v>
      </c>
      <c r="E331" s="1" t="n">
        <v>46253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38377-2023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45161</v>
      </c>
      <c r="E332" s="1" t="n">
        <v>46253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45075</v>
      </c>
      <c r="E333" s="1" t="n">
        <v>46253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17658-2023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45036</v>
      </c>
      <c r="E334" s="1" t="n">
        <v>46253</v>
      </c>
      <c r="F334" t="inlineStr">
        <is>
          <t>VÄSTERBOTTENS LÄN</t>
        </is>
      </c>
      <c r="G334" t="inlineStr">
        <is>
          <t>DOROTEA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38096-2025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45882</v>
      </c>
      <c r="E335" s="1" t="n">
        <v>46253</v>
      </c>
      <c r="F335" t="inlineStr">
        <is>
          <t>VÄSTERBOTTENS LÄN</t>
        </is>
      </c>
      <c r="G335" t="inlineStr">
        <is>
          <t>DOROTEA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31497-2024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45505</v>
      </c>
      <c r="E336" s="1" t="n">
        <v>46253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4.6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46253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35990-2023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45148</v>
      </c>
      <c r="E338" s="1" t="n">
        <v>46253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23324-2026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46253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53357-2024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45614</v>
      </c>
      <c r="E340" s="1" t="n">
        <v>46253</v>
      </c>
      <c r="F340" t="inlineStr">
        <is>
          <t>VÄSTERBOTTENS LÄN</t>
        </is>
      </c>
      <c r="G340" t="inlineStr">
        <is>
          <t>DOROTEA</t>
        </is>
      </c>
      <c r="I340" t="n">
        <v>26.5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30461-2024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45491</v>
      </c>
      <c r="E341" s="1" t="n">
        <v>46253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7.1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54031-2025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45962</v>
      </c>
      <c r="E342" s="1" t="n">
        <v>46253</v>
      </c>
      <c r="F342" t="inlineStr">
        <is>
          <t>VÄSTERBOTTENS LÄN</t>
        </is>
      </c>
      <c r="G342" t="inlineStr">
        <is>
          <t>DOROTEA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23214-2026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46253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23408-2026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46253</v>
      </c>
      <c r="F344" t="inlineStr">
        <is>
          <t>VÄSTERBOTTENS LÄN</t>
        </is>
      </c>
      <c r="G344" t="inlineStr">
        <is>
          <t>DOROTEA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45672</v>
      </c>
      <c r="E345" s="1" t="n">
        <v>46253</v>
      </c>
      <c r="F345" t="inlineStr">
        <is>
          <t>VÄSTERBOTTENS LÄN</t>
        </is>
      </c>
      <c r="G345" t="inlineStr">
        <is>
          <t>DOROTEA</t>
        </is>
      </c>
      <c r="H345" t="inlineStr">
        <is>
          <t>Kommuner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50582-2024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45600</v>
      </c>
      <c r="E346" s="1" t="n">
        <v>46253</v>
      </c>
      <c r="F346" t="inlineStr">
        <is>
          <t>VÄSTERBOTTENS LÄN</t>
        </is>
      </c>
      <c r="G346" t="inlineStr">
        <is>
          <t>DOROTEA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12118-2025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45729</v>
      </c>
      <c r="E347" s="1" t="n">
        <v>46253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30740-2026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46211</v>
      </c>
      <c r="E348" s="1" t="n">
        <v>46253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30645-2026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46211</v>
      </c>
      <c r="E349" s="1" t="n">
        <v>46253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30821-2026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46212</v>
      </c>
      <c r="E350" s="1" t="n">
        <v>46253</v>
      </c>
      <c r="F350" t="inlineStr">
        <is>
          <t>VÄSTERBOTTENS LÄN</t>
        </is>
      </c>
      <c r="G350" t="inlineStr">
        <is>
          <t>DOROTEA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30823-2026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46212</v>
      </c>
      <c r="E351" s="1" t="n">
        <v>46253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25373-2026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46174</v>
      </c>
      <c r="E352" s="1" t="n">
        <v>46253</v>
      </c>
      <c r="F352" t="inlineStr">
        <is>
          <t>VÄSTERBOTTENS LÄN</t>
        </is>
      </c>
      <c r="G352" t="inlineStr">
        <is>
          <t>DOROTEA</t>
        </is>
      </c>
      <c r="I352" t="n">
        <v>7.9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31016-2026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46213</v>
      </c>
      <c r="E353" s="1" t="n">
        <v>46253</v>
      </c>
      <c r="F353" t="inlineStr">
        <is>
          <t>VÄSTERBOTTENS LÄN</t>
        </is>
      </c>
      <c r="G353" t="inlineStr">
        <is>
          <t>DOROTEA</t>
        </is>
      </c>
      <c r="I353" t="n">
        <v>7.8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46213</v>
      </c>
      <c r="E354" s="1" t="n">
        <v>46253</v>
      </c>
      <c r="F354" t="inlineStr">
        <is>
          <t>VÄSTERBOTTENS LÄN</t>
        </is>
      </c>
      <c r="G354" t="inlineStr">
        <is>
          <t>DOROTEA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31179-2026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46217</v>
      </c>
      <c r="E355" s="1" t="n">
        <v>46253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9103-2023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44979</v>
      </c>
      <c r="E356" s="1" t="n">
        <v>46253</v>
      </c>
      <c r="F356" t="inlineStr">
        <is>
          <t>VÄSTERBOTTENS LÄN</t>
        </is>
      </c>
      <c r="G356" t="inlineStr">
        <is>
          <t>DOROTEA</t>
        </is>
      </c>
      <c r="H356" t="inlineStr">
        <is>
          <t>SCA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25361-2026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46176</v>
      </c>
      <c r="E357" s="1" t="n">
        <v>46253</v>
      </c>
      <c r="F357" t="inlineStr">
        <is>
          <t>VÄSTERBOTTENS LÄN</t>
        </is>
      </c>
      <c r="G357" t="inlineStr">
        <is>
          <t>DOROTEA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46217</v>
      </c>
      <c r="E358" s="1" t="n">
        <v>46253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15.6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31302-2026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46218</v>
      </c>
      <c r="E359" s="1" t="n">
        <v>46253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31260-2026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46218</v>
      </c>
      <c r="E360" s="1" t="n">
        <v>46253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24839-2026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46253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11.8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24852-2026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46253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31259-2026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46218</v>
      </c>
      <c r="E363" s="1" t="n">
        <v>46253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46220</v>
      </c>
      <c r="E364" s="1" t="n">
        <v>46253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10.1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14255-2026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46253</v>
      </c>
      <c r="F365" t="inlineStr">
        <is>
          <t>VÄSTERBOTTENS LÄN</t>
        </is>
      </c>
      <c r="G365" t="inlineStr">
        <is>
          <t>DOROTEA</t>
        </is>
      </c>
      <c r="I365" t="n">
        <v>26.2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31573-2026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46224</v>
      </c>
      <c r="E366" s="1" t="n">
        <v>46253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46224</v>
      </c>
      <c r="E367" s="1" t="n">
        <v>46253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27558-2022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44742</v>
      </c>
      <c r="E368" s="1" t="n">
        <v>46253</v>
      </c>
      <c r="F368" t="inlineStr">
        <is>
          <t>VÄSTERBOTTENS LÄN</t>
        </is>
      </c>
      <c r="G368" t="inlineStr">
        <is>
          <t>DOROTEA</t>
        </is>
      </c>
      <c r="I368" t="n">
        <v>7.4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26124-2026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46181</v>
      </c>
      <c r="E369" s="1" t="n">
        <v>46253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52148-2023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45223</v>
      </c>
      <c r="E370" s="1" t="n">
        <v>46253</v>
      </c>
      <c r="F370" t="inlineStr">
        <is>
          <t>VÄSTERBOTTENS LÄN</t>
        </is>
      </c>
      <c r="G370" t="inlineStr">
        <is>
          <t>DOROTEA</t>
        </is>
      </c>
      <c r="H370" t="inlineStr">
        <is>
          <t>SCA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25682-2026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46178</v>
      </c>
      <c r="E371" s="1" t="n">
        <v>46253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31575-2026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46224</v>
      </c>
      <c r="E372" s="1" t="n">
        <v>46253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46253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26255-2026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46253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40438-2023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45169</v>
      </c>
      <c r="E375" s="1" t="n">
        <v>46253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26926-2026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46185</v>
      </c>
      <c r="E376" s="1" t="n">
        <v>46253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7.4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13364-2025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45735</v>
      </c>
      <c r="E377" s="1" t="n">
        <v>46253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7.3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19726-2025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45771</v>
      </c>
      <c r="E378" s="1" t="n">
        <v>46253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27738-2026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46191</v>
      </c>
      <c r="E379" s="1" t="n">
        <v>46253</v>
      </c>
      <c r="F379" t="inlineStr">
        <is>
          <t>VÄSTERBOTTENS LÄN</t>
        </is>
      </c>
      <c r="G379" t="inlineStr">
        <is>
          <t>DOROTEA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28717-2022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44748</v>
      </c>
      <c r="E380" s="1" t="n">
        <v>46253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47494-2023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45202</v>
      </c>
      <c r="E381" s="1" t="n">
        <v>46253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28176-2026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46253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28180-2026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46195</v>
      </c>
      <c r="E383" s="1" t="n">
        <v>46253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8095-2023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44974</v>
      </c>
      <c r="E384" s="1" t="n">
        <v>46253</v>
      </c>
      <c r="F384" t="inlineStr">
        <is>
          <t>VÄSTERBOTTENS LÄN</t>
        </is>
      </c>
      <c r="G384" t="inlineStr">
        <is>
          <t>DOROTEA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28360-2026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46196</v>
      </c>
      <c r="E385" s="1" t="n">
        <v>46253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49.5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28782-2026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46198</v>
      </c>
      <c r="E386" s="1" t="n">
        <v>46253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7.3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28741-2026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46198</v>
      </c>
      <c r="E387" s="1" t="n">
        <v>46253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28783-2026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46198</v>
      </c>
      <c r="E388" s="1" t="n">
        <v>46253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57794-2023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45246</v>
      </c>
      <c r="E389" s="1" t="n">
        <v>46253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56807-2021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44481</v>
      </c>
      <c r="E390" s="1" t="n">
        <v>46253</v>
      </c>
      <c r="F390" t="inlineStr">
        <is>
          <t>VÄSTERBOTTENS LÄN</t>
        </is>
      </c>
      <c r="G390" t="inlineStr">
        <is>
          <t>DOROTEA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30885-2026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46212</v>
      </c>
      <c r="E391" s="1" t="n">
        <v>46253</v>
      </c>
      <c r="F391" t="inlineStr">
        <is>
          <t>VÄSTERBOTTENS LÄN</t>
        </is>
      </c>
      <c r="G391" t="inlineStr">
        <is>
          <t>DOROTEA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45642</v>
      </c>
      <c r="E392" s="1" t="n">
        <v>46253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14163-2024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45392</v>
      </c>
      <c r="E393" s="1" t="n">
        <v>46253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29757-2026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46204</v>
      </c>
      <c r="E394" s="1" t="n">
        <v>46253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9.300000000000001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45547</v>
      </c>
      <c r="E395" s="1" t="n">
        <v>46253</v>
      </c>
      <c r="F395" t="inlineStr">
        <is>
          <t>VÄSTERBOTTENS LÄN</t>
        </is>
      </c>
      <c r="G395" t="inlineStr">
        <is>
          <t>DOROTEA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33514-2026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46248</v>
      </c>
      <c r="E396" s="1" t="n">
        <v>46253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33364-2026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46247</v>
      </c>
      <c r="E397" s="1" t="n">
        <v>46253</v>
      </c>
      <c r="F397" t="inlineStr">
        <is>
          <t>VÄSTERBOTTENS LÄN</t>
        </is>
      </c>
      <c r="G397" t="inlineStr">
        <is>
          <t>DOROTEA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46817-2022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44848</v>
      </c>
      <c r="E398" s="1" t="n">
        <v>46253</v>
      </c>
      <c r="F398" t="inlineStr">
        <is>
          <t>VÄSTERBOTTENS LÄN</t>
        </is>
      </c>
      <c r="G398" t="inlineStr">
        <is>
          <t>DOROTEA</t>
        </is>
      </c>
      <c r="I398" t="n">
        <v>29.8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46253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42473-2024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45565</v>
      </c>
      <c r="E400" s="1" t="n">
        <v>46253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31093-2026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46209</v>
      </c>
      <c r="E401" s="1" t="n">
        <v>46253</v>
      </c>
      <c r="F401" t="inlineStr">
        <is>
          <t>VÄSTERBOTTENS LÄN</t>
        </is>
      </c>
      <c r="G401" t="inlineStr">
        <is>
          <t>DOROTEA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30190-2026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46206</v>
      </c>
      <c r="E402" s="1" t="n">
        <v>46253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7.8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46965-2024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45586</v>
      </c>
      <c r="E403" s="1" t="n">
        <v>46253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10360-2023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44980</v>
      </c>
      <c r="E404" s="1" t="n">
        <v>46253</v>
      </c>
      <c r="F404" t="inlineStr">
        <is>
          <t>VÄSTERBOTTENS LÄN</t>
        </is>
      </c>
      <c r="G404" t="inlineStr">
        <is>
          <t>DOROTEA</t>
        </is>
      </c>
      <c r="I404" t="n">
        <v>18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42228-2024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45562</v>
      </c>
      <c r="E405" s="1" t="n">
        <v>46253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7.7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27477-2023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45097</v>
      </c>
      <c r="E406" s="1" t="n">
        <v>46253</v>
      </c>
      <c r="F406" t="inlineStr">
        <is>
          <t>VÄSTERBOTTENS LÄN</t>
        </is>
      </c>
      <c r="G406" t="inlineStr">
        <is>
          <t>DOROTEA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44942</v>
      </c>
      <c r="E407" s="1" t="n">
        <v>46253</v>
      </c>
      <c r="F407" t="inlineStr">
        <is>
          <t>VÄSTERBOTTENS LÄN</t>
        </is>
      </c>
      <c r="G407" t="inlineStr">
        <is>
          <t>DOROTEA</t>
        </is>
      </c>
      <c r="I407" t="n">
        <v>22.7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42889-2024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45566</v>
      </c>
      <c r="E408" s="1" t="n">
        <v>46253</v>
      </c>
      <c r="F408" t="inlineStr">
        <is>
          <t>VÄSTERBOTTENS LÄN</t>
        </is>
      </c>
      <c r="G408" t="inlineStr">
        <is>
          <t>DOROTEA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59653-2024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45639</v>
      </c>
      <c r="E409" s="1" t="n">
        <v>46253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17783-2023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45036</v>
      </c>
      <c r="E410" s="1" t="n">
        <v>46253</v>
      </c>
      <c r="F410" t="inlineStr">
        <is>
          <t>VÄSTERBOTTENS LÄN</t>
        </is>
      </c>
      <c r="G410" t="inlineStr">
        <is>
          <t>DOROTEA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45448</v>
      </c>
      <c r="E411" s="1" t="n">
        <v>46253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8852-2024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45356</v>
      </c>
      <c r="E412" s="1" t="n">
        <v>46253</v>
      </c>
      <c r="F412" t="inlineStr">
        <is>
          <t>VÄSTERBOTTENS LÄN</t>
        </is>
      </c>
      <c r="G412" t="inlineStr">
        <is>
          <t>DOROTEA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19657-2025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45770</v>
      </c>
      <c r="E413" s="1" t="n">
        <v>46253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45351</v>
      </c>
      <c r="E414" s="1" t="n">
        <v>46253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59395-2023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45253</v>
      </c>
      <c r="E415" s="1" t="n">
        <v>46253</v>
      </c>
      <c r="F415" t="inlineStr">
        <is>
          <t>VÄSTERBOTTENS LÄN</t>
        </is>
      </c>
      <c r="G415" t="inlineStr">
        <is>
          <t>DOROTEA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59397-2023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45253</v>
      </c>
      <c r="E416" s="1" t="n">
        <v>46253</v>
      </c>
      <c r="F416" t="inlineStr">
        <is>
          <t>VÄSTERBOTTENS LÄN</t>
        </is>
      </c>
      <c r="G416" t="inlineStr">
        <is>
          <t>DOROTEA</t>
        </is>
      </c>
      <c r="I416" t="n">
        <v>8.5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20759-2023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45055</v>
      </c>
      <c r="E417" s="1" t="n">
        <v>46253</v>
      </c>
      <c r="F417" t="inlineStr">
        <is>
          <t>VÄSTERBOTTENS LÄN</t>
        </is>
      </c>
      <c r="G417" t="inlineStr">
        <is>
          <t>DOROTEA</t>
        </is>
      </c>
      <c r="H417" t="inlineStr">
        <is>
          <t>Övriga statliga verk och myndigheter</t>
        </is>
      </c>
      <c r="I417" t="n">
        <v>13.9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67686-2021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44524</v>
      </c>
      <c r="E418" s="1" t="n">
        <v>46253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32821-2024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45516</v>
      </c>
      <c r="E419" s="1" t="n">
        <v>46253</v>
      </c>
      <c r="F419" t="inlineStr">
        <is>
          <t>VÄSTERBOTTENS LÄN</t>
        </is>
      </c>
      <c r="G419" t="inlineStr">
        <is>
          <t>DOROTEA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57376-2022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44889</v>
      </c>
      <c r="E420" s="1" t="n">
        <v>46253</v>
      </c>
      <c r="F420" t="inlineStr">
        <is>
          <t>VÄSTERBOTTENS LÄN</t>
        </is>
      </c>
      <c r="G420" t="inlineStr">
        <is>
          <t>DOROTEA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45125</v>
      </c>
      <c r="E421" s="1" t="n">
        <v>46253</v>
      </c>
      <c r="F421" t="inlineStr">
        <is>
          <t>VÄSTERBOTTENS LÄN</t>
        </is>
      </c>
      <c r="G421" t="inlineStr">
        <is>
          <t>DOROTEA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35000-2023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45142</v>
      </c>
      <c r="E422" s="1" t="n">
        <v>46253</v>
      </c>
      <c r="F422" t="inlineStr">
        <is>
          <t>VÄSTERBOTTENS LÄN</t>
        </is>
      </c>
      <c r="G422" t="inlineStr">
        <is>
          <t>DOROTEA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52276-2023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45217</v>
      </c>
      <c r="E423" s="1" t="n">
        <v>46253</v>
      </c>
      <c r="F423" t="inlineStr">
        <is>
          <t>VÄSTERBOTTENS LÄN</t>
        </is>
      </c>
      <c r="G423" t="inlineStr">
        <is>
          <t>DOROTEA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53795-2022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44876</v>
      </c>
      <c r="E424" s="1" t="n">
        <v>46253</v>
      </c>
      <c r="F424" t="inlineStr">
        <is>
          <t>VÄSTERBOTTENS LÄN</t>
        </is>
      </c>
      <c r="G424" t="inlineStr">
        <is>
          <t>DOROTEA</t>
        </is>
      </c>
      <c r="I424" t="n">
        <v>12.3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45735</v>
      </c>
      <c r="E425" s="1" t="n">
        <v>46253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52144-2023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45223</v>
      </c>
      <c r="E426" s="1" t="n">
        <v>46253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22450-2024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45446</v>
      </c>
      <c r="E427" s="1" t="n">
        <v>46253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60153-2024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45642</v>
      </c>
      <c r="E428" s="1" t="n">
        <v>46253</v>
      </c>
      <c r="F428" t="inlineStr">
        <is>
          <t>VÄSTERBOTTENS LÄN</t>
        </is>
      </c>
      <c r="G428" t="inlineStr">
        <is>
          <t>DOROTEA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45713</v>
      </c>
      <c r="E429" s="1" t="n">
        <v>46253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60015-2023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45257</v>
      </c>
      <c r="E430" s="1" t="n">
        <v>46253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45315</v>
      </c>
      <c r="E431" s="1" t="n">
        <v>46253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10402-2025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45720</v>
      </c>
      <c r="E432" s="1" t="n">
        <v>46253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59394-2023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45253</v>
      </c>
      <c r="E433" s="1" t="n">
        <v>46253</v>
      </c>
      <c r="F433" t="inlineStr">
        <is>
          <t>VÄSTERBOTTENS LÄN</t>
        </is>
      </c>
      <c r="G433" t="inlineStr">
        <is>
          <t>DOROTEA</t>
        </is>
      </c>
      <c r="I433" t="n">
        <v>28.8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27305-2024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45471</v>
      </c>
      <c r="E434" s="1" t="n">
        <v>46253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4.6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28549-2023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45103</v>
      </c>
      <c r="E435" s="1" t="n">
        <v>46253</v>
      </c>
      <c r="F435" t="inlineStr">
        <is>
          <t>VÄSTERBOTTENS LÄN</t>
        </is>
      </c>
      <c r="G435" t="inlineStr">
        <is>
          <t>DOROTEA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43944-2024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45572</v>
      </c>
      <c r="E436" s="1" t="n">
        <v>46253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28856-2024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45478</v>
      </c>
      <c r="E437" s="1" t="n">
        <v>46253</v>
      </c>
      <c r="F437" t="inlineStr">
        <is>
          <t>VÄSTERBOTTENS LÄN</t>
        </is>
      </c>
      <c r="G437" t="inlineStr">
        <is>
          <t>DOROTEA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53382-2024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45614</v>
      </c>
      <c r="E438" s="1" t="n">
        <v>46253</v>
      </c>
      <c r="F438" t="inlineStr">
        <is>
          <t>VÄSTERBOTTENS LÄN</t>
        </is>
      </c>
      <c r="G438" t="inlineStr">
        <is>
          <t>DOROTEA</t>
        </is>
      </c>
      <c r="I438" t="n">
        <v>11.2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42104-2024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45562</v>
      </c>
      <c r="E439" s="1" t="n">
        <v>46253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22774-2025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45789</v>
      </c>
      <c r="E440" s="1" t="n">
        <v>46253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19889-2025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45771</v>
      </c>
      <c r="E441" s="1" t="n">
        <v>46253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23457-2025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45792</v>
      </c>
      <c r="E442" s="1" t="n">
        <v>46253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29737-2024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45485</v>
      </c>
      <c r="E443" s="1" t="n">
        <v>46253</v>
      </c>
      <c r="F443" t="inlineStr">
        <is>
          <t>VÄSTERBOTTENS LÄN</t>
        </is>
      </c>
      <c r="G443" t="inlineStr">
        <is>
          <t>DOROTEA</t>
        </is>
      </c>
      <c r="I443" t="n">
        <v>10.2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13451-2022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44645</v>
      </c>
      <c r="E444" s="1" t="n">
        <v>46253</v>
      </c>
      <c r="F444" t="inlineStr">
        <is>
          <t>VÄSTERBOTTENS LÄN</t>
        </is>
      </c>
      <c r="G444" t="inlineStr">
        <is>
          <t>DOROTEA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34820-2023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45140</v>
      </c>
      <c r="E445" s="1" t="n">
        <v>46253</v>
      </c>
      <c r="F445" t="inlineStr">
        <is>
          <t>VÄSTERBOTTENS LÄN</t>
        </is>
      </c>
      <c r="G445" t="inlineStr">
        <is>
          <t>DOROTEA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45551</v>
      </c>
      <c r="E446" s="1" t="n">
        <v>46253</v>
      </c>
      <c r="F446" t="inlineStr">
        <is>
          <t>VÄSTERBOTTENS LÄN</t>
        </is>
      </c>
      <c r="G446" t="inlineStr">
        <is>
          <t>DOROTEA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33113-2024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45517</v>
      </c>
      <c r="E447" s="1" t="n">
        <v>46253</v>
      </c>
      <c r="F447" t="inlineStr">
        <is>
          <t>VÄSTERBOTTENS LÄN</t>
        </is>
      </c>
      <c r="G447" t="inlineStr">
        <is>
          <t>DOROTEA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53380-2024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46253</v>
      </c>
      <c r="F448" t="inlineStr">
        <is>
          <t>VÄSTERBOTTENS LÄN</t>
        </is>
      </c>
      <c r="G448" t="inlineStr">
        <is>
          <t>DOROTEA</t>
        </is>
      </c>
      <c r="I448" t="n">
        <v>12.8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25356-2025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45800</v>
      </c>
      <c r="E449" s="1" t="n">
        <v>46253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25606-2025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45803</v>
      </c>
      <c r="E450" s="1" t="n">
        <v>46253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2945-2024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45506</v>
      </c>
      <c r="E451" s="1" t="n">
        <v>46253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1058-2025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45749</v>
      </c>
      <c r="E452" s="1" t="n">
        <v>46253</v>
      </c>
      <c r="F452" t="inlineStr">
        <is>
          <t>VÄSTERBOTTENS LÄN</t>
        </is>
      </c>
      <c r="G452" t="inlineStr">
        <is>
          <t>DOROTEA</t>
        </is>
      </c>
      <c r="I452" t="n">
        <v>10.9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844-2025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45733</v>
      </c>
      <c r="E453" s="1" t="n">
        <v>46253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1293.5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2195-2025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45858</v>
      </c>
      <c r="E454" s="1" t="n">
        <v>46253</v>
      </c>
      <c r="F454" t="inlineStr">
        <is>
          <t>VÄSTERBOTTENS LÄN</t>
        </is>
      </c>
      <c r="G454" t="inlineStr">
        <is>
          <t>DOROTEA</t>
        </is>
      </c>
      <c r="I454" t="n">
        <v>27.4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2283-2025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45876</v>
      </c>
      <c r="E455" s="1" t="n">
        <v>46253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2360-2025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45889</v>
      </c>
      <c r="E456" s="1" t="n">
        <v>46253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1763-2026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46189</v>
      </c>
      <c r="E457" s="1" t="n">
        <v>46253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2026-08-19T01:49:52Z</dcterms:created>
  <dcterms:modified xmlns:dcterms="http://purl.org/dc/terms/" xmlns:xsi="http://www.w3.org/2001/XMLSchema-instance" xsi:type="dcterms:W3CDTF">2026-08-19T01:49:52Z</dcterms:modified>
</cp:coreProperties>
</file>