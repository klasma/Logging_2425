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46263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46263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46263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46263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46263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46263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46263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46263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46263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46263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46263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46263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46263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46263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46263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46263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46263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46263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46263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46263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57783-2025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46263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8.5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Aspgelélav
Gammelgransskål
Tretåig hackspett</t>
        </is>
      </c>
      <c r="W22">
        <f>HYPERLINK("https://klasma.github.io/Logging_2425/artfynd/A 57783-2025 artfynd.xlsx", "A 57783-2025")</f>
        <v/>
      </c>
      <c r="X22">
        <f>HYPERLINK("https://klasma.github.io/Logging_2425/kartor/A 57783-2025 karta.png", "A 57783-2025")</f>
        <v/>
      </c>
      <c r="Y22">
        <f>HYPERLINK("https://klasma.github.io/Logging_2425/kartor_geotiff/A 57783-2025 georefererad karta.tif", "A 57783-2025")</f>
        <v/>
      </c>
      <c r="AA22">
        <f>HYPERLINK("https://klasma.github.io/Logging_2425/klagomål/A 57783-2025 FSC-klagomål.docx", "A 57783-2025")</f>
        <v/>
      </c>
      <c r="AB22">
        <f>HYPERLINK("https://klasma.github.io/Logging_2425/klagomålsmail/A 57783-2025 FSC-klagomål mail.docx", "A 57783-2025")</f>
        <v/>
      </c>
      <c r="AC22">
        <f>HYPERLINK("https://klasma.github.io/Logging_2425/tillsyn/A 57783-2025 tillsynsbegäran.docx", "A 57783-2025")</f>
        <v/>
      </c>
      <c r="AD22">
        <f>HYPERLINK("https://klasma.github.io/Logging_2425/tillsynsmail/A 57783-2025 tillsynsbegäran mail.docx", "A 57783-2025")</f>
        <v/>
      </c>
      <c r="AE22">
        <f>HYPERLINK("https://klasma.github.io/Logging_2425/fåglar/A 57783-2025 prioriterade fågelarter.docx", "A 57783-2025")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46263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46263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46263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46263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46263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46263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46263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46263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46263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46263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46263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46263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46263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46263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46263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46263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46263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26440-2025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46263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HYPERLINK("https://klasma.github.io/Logging_2425/artfynd/A 26440-2025 artfynd.xlsx", "A 26440-2025")</f>
        <v/>
      </c>
      <c r="X40">
        <f>HYPERLINK("https://klasma.github.io/Logging_2425/kartor/A 26440-2025 karta.png", "A 26440-2025")</f>
        <v/>
      </c>
      <c r="Y40">
        <f>HYPERLINK("https://klasma.github.io/Logging_2425/kartor_geotiff/A 26440-2025 georefererad karta.tif", "A 26440-2025")</f>
        <v/>
      </c>
      <c r="AA40">
        <f>HYPERLINK("https://klasma.github.io/Logging_2425/klagomål/A 26440-2025 FSC-klagomål.docx", "A 26440-2025")</f>
        <v/>
      </c>
      <c r="AB40">
        <f>HYPERLINK("https://klasma.github.io/Logging_2425/klagomålsmail/A 26440-2025 FSC-klagomål mail.docx", "A 26440-2025")</f>
        <v/>
      </c>
      <c r="AC40">
        <f>HYPERLINK("https://klasma.github.io/Logging_2425/tillsyn/A 26440-2025 tillsynsbegäran.docx", "A 26440-2025")</f>
        <v/>
      </c>
      <c r="AD40">
        <f>HYPERLINK("https://klasma.github.io/Logging_2425/tillsynsmail/A 26440-2025 tillsynsbegäran mail.docx", "A 26440-2025")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46263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20600-2023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45057</v>
      </c>
      <c r="E42" s="1" t="n">
        <v>46263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HYPERLINK("https://klasma.github.io/Logging_2425/artfynd/A 20600-2023 artfynd.xlsx", "A 20600-2023")</f>
        <v/>
      </c>
      <c r="X42">
        <f>HYPERLINK("https://klasma.github.io/Logging_2425/kartor/A 20600-2023 karta.png", "A 20600-2023")</f>
        <v/>
      </c>
      <c r="Y42">
        <f>HYPERLINK("https://klasma.github.io/Logging_2425/kartor_geotiff/A 20600-2023 georefererad karta.tif", "A 20600-2023")</f>
        <v/>
      </c>
      <c r="AA42">
        <f>HYPERLINK("https://klasma.github.io/Logging_2425/klagomål/A 20600-2023 FSC-klagomål.docx", "A 20600-2023")</f>
        <v/>
      </c>
      <c r="AB42">
        <f>HYPERLINK("https://klasma.github.io/Logging_2425/klagomålsmail/A 20600-2023 FSC-klagomål mail.docx", "A 20600-2023")</f>
        <v/>
      </c>
      <c r="AC42">
        <f>HYPERLINK("https://klasma.github.io/Logging_2425/tillsyn/A 20600-2023 tillsynsbegäran.docx", "A 20600-2023")</f>
        <v/>
      </c>
      <c r="AD42">
        <f>HYPERLINK("https://klasma.github.io/Logging_2425/tillsynsmail/A 20600-2023 tillsynsbegäran mail.docx", "A 20600-2023")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46263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46263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12005-2023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44994</v>
      </c>
      <c r="E45" s="1" t="n">
        <v>46263</v>
      </c>
      <c r="F45" t="inlineStr">
        <is>
          <t>VÄSTERBOTTENS LÄN</t>
        </is>
      </c>
      <c r="G45" t="inlineStr">
        <is>
          <t>DOROTEA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HYPERLINK("https://klasma.github.io/Logging_2425/artfynd/A 12005-2023 artfynd.xlsx", "A 12005-2023")</f>
        <v/>
      </c>
      <c r="X45">
        <f>HYPERLINK("https://klasma.github.io/Logging_2425/kartor/A 12005-2023 karta.png", "A 12005-2023")</f>
        <v/>
      </c>
      <c r="Y45">
        <f>HYPERLINK("https://klasma.github.io/Logging_2425/kartor_geotiff/A 12005-2023 georefererad karta.tif", "A 12005-2023")</f>
        <v/>
      </c>
      <c r="AA45">
        <f>HYPERLINK("https://klasma.github.io/Logging_2425/klagomål/A 12005-2023 FSC-klagomål.docx", "A 12005-2023")</f>
        <v/>
      </c>
      <c r="AB45">
        <f>HYPERLINK("https://klasma.github.io/Logging_2425/klagomålsmail/A 12005-2023 FSC-klagomål mail.docx", "A 12005-2023")</f>
        <v/>
      </c>
      <c r="AC45">
        <f>HYPERLINK("https://klasma.github.io/Logging_2425/tillsyn/A 12005-2023 tillsynsbegäran.docx", "A 12005-2023")</f>
        <v/>
      </c>
      <c r="AD45">
        <f>HYPERLINK("https://klasma.github.io/Logging_2425/tillsynsmail/A 12005-2023 tillsynsbegäran mail.docx", "A 12005-2023")</f>
        <v/>
      </c>
    </row>
    <row r="46" ht="15" customHeight="1">
      <c r="A46" t="inlineStr">
        <is>
          <t>A 57058-2024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46263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HYPERLINK("https://klasma.github.io/Logging_2425/artfynd/A 57058-2024 artfynd.xlsx", "A 57058-2024")</f>
        <v/>
      </c>
      <c r="X46">
        <f>HYPERLINK("https://klasma.github.io/Logging_2425/kartor/A 57058-2024 karta.png", "A 57058-2024")</f>
        <v/>
      </c>
      <c r="Y46">
        <f>HYPERLINK("https://klasma.github.io/Logging_2425/kartor_geotiff/A 57058-2024 georefererad karta.tif", "A 57058-2024")</f>
        <v/>
      </c>
      <c r="AA46">
        <f>HYPERLINK("https://klasma.github.io/Logging_2425/klagomål/A 57058-2024 FSC-klagomål.docx", "A 57058-2024")</f>
        <v/>
      </c>
      <c r="AB46">
        <f>HYPERLINK("https://klasma.github.io/Logging_2425/klagomålsmail/A 57058-2024 FSC-klagomål mail.docx", "A 57058-2024")</f>
        <v/>
      </c>
      <c r="AC46">
        <f>HYPERLINK("https://klasma.github.io/Logging_2425/tillsyn/A 57058-2024 tillsynsbegäran.docx", "A 57058-2024")</f>
        <v/>
      </c>
      <c r="AD46">
        <f>HYPERLINK("https://klasma.github.io/Logging_2425/tillsynsmail/A 57058-2024 tillsynsbegäran mail.docx", "A 57058-2024")</f>
        <v/>
      </c>
    </row>
    <row r="47" ht="15" customHeight="1">
      <c r="A47" t="inlineStr">
        <is>
          <t>A 53309-2022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44878</v>
      </c>
      <c r="E47" s="1" t="n">
        <v>46263</v>
      </c>
      <c r="F47" t="inlineStr">
        <is>
          <t>VÄSTERBOTTENS LÄN</t>
        </is>
      </c>
      <c r="G47" t="inlineStr">
        <is>
          <t>DOROTEA</t>
        </is>
      </c>
      <c r="I47" t="n">
        <v>6.6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Göktyta</t>
        </is>
      </c>
      <c r="W47">
        <f>HYPERLINK("https://klasma.github.io/Logging_2425/artfynd/A 53309-2022 artfynd.xlsx", "A 53309-2022")</f>
        <v/>
      </c>
      <c r="X47">
        <f>HYPERLINK("https://klasma.github.io/Logging_2425/kartor/A 53309-2022 karta.png", "A 53309-2022")</f>
        <v/>
      </c>
      <c r="Y47">
        <f>HYPERLINK("https://klasma.github.io/Logging_2425/kartor_geotiff/A 53309-2022 georefererad karta.tif", "A 53309-2022")</f>
        <v/>
      </c>
      <c r="AA47">
        <f>HYPERLINK("https://klasma.github.io/Logging_2425/klagomål/A 53309-2022 FSC-klagomål.docx", "A 53309-2022")</f>
        <v/>
      </c>
      <c r="AB47">
        <f>HYPERLINK("https://klasma.github.io/Logging_2425/klagomålsmail/A 53309-2022 FSC-klagomål mail.docx", "A 53309-2022")</f>
        <v/>
      </c>
      <c r="AC47">
        <f>HYPERLINK("https://klasma.github.io/Logging_2425/tillsyn/A 53309-2022 tillsynsbegäran.docx", "A 53309-2022")</f>
        <v/>
      </c>
      <c r="AD47">
        <f>HYPERLINK("https://klasma.github.io/Logging_2425/tillsynsmail/A 53309-2022 tillsynsbegäran mail.docx", "A 53309-2022")</f>
        <v/>
      </c>
      <c r="AE47">
        <f>HYPERLINK("https://klasma.github.io/Logging_2425/fåglar/A 53309-2022 prioriterade fågelarter.docx", "A 53309-2022")</f>
        <v/>
      </c>
    </row>
    <row r="48" ht="15" customHeight="1">
      <c r="A48" t="inlineStr">
        <is>
          <t>A 46815-2023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45198</v>
      </c>
      <c r="E48" s="1" t="n">
        <v>46263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3.7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46815-2023 artfynd.xlsx", "A 46815-2023")</f>
        <v/>
      </c>
      <c r="X48">
        <f>HYPERLINK("https://klasma.github.io/Logging_2425/kartor/A 46815-2023 karta.png", "A 46815-2023")</f>
        <v/>
      </c>
      <c r="Y48">
        <f>HYPERLINK("https://klasma.github.io/Logging_2425/kartor_geotiff/A 46815-2023 georefererad karta.tif", "A 46815-2023")</f>
        <v/>
      </c>
      <c r="AA48">
        <f>HYPERLINK("https://klasma.github.io/Logging_2425/klagomål/A 46815-2023 FSC-klagomål.docx", "A 46815-2023")</f>
        <v/>
      </c>
      <c r="AB48">
        <f>HYPERLINK("https://klasma.github.io/Logging_2425/klagomålsmail/A 46815-2023 FSC-klagomål mail.docx", "A 46815-2023")</f>
        <v/>
      </c>
      <c r="AC48">
        <f>HYPERLINK("https://klasma.github.io/Logging_2425/tillsyn/A 46815-2023 tillsynsbegäran.docx", "A 46815-2023")</f>
        <v/>
      </c>
      <c r="AD48">
        <f>HYPERLINK("https://klasma.github.io/Logging_2425/tillsynsmail/A 46815-2023 tillsynsbegäran mail.docx", "A 46815-2023")</f>
        <v/>
      </c>
    </row>
    <row r="49" ht="15" customHeight="1">
      <c r="A49" t="inlineStr">
        <is>
          <t>A 1278-2024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45302</v>
      </c>
      <c r="E49" s="1" t="n">
        <v>46263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Gräddticka</t>
        </is>
      </c>
      <c r="W49">
        <f>HYPERLINK("https://klasma.github.io/Logging_2425/artfynd/A 1278-2024 artfynd.xlsx", "A 1278-2024")</f>
        <v/>
      </c>
      <c r="X49">
        <f>HYPERLINK("https://klasma.github.io/Logging_2425/kartor/A 1278-2024 karta.png", "A 1278-2024")</f>
        <v/>
      </c>
      <c r="Y49">
        <f>HYPERLINK("https://klasma.github.io/Logging_2425/kartor_geotiff/A 1278-2024 georefererad karta.tif", "A 1278-2024")</f>
        <v/>
      </c>
      <c r="AA49">
        <f>HYPERLINK("https://klasma.github.io/Logging_2425/klagomål/A 1278-2024 FSC-klagomål.docx", "A 1278-2024")</f>
        <v/>
      </c>
      <c r="AB49">
        <f>HYPERLINK("https://klasma.github.io/Logging_2425/klagomålsmail/A 1278-2024 FSC-klagomål mail.docx", "A 1278-2024")</f>
        <v/>
      </c>
      <c r="AC49">
        <f>HYPERLINK("https://klasma.github.io/Logging_2425/tillsyn/A 1278-2024 tillsynsbegäran.docx", "A 1278-2024")</f>
        <v/>
      </c>
      <c r="AD49">
        <f>HYPERLINK("https://klasma.github.io/Logging_2425/tillsynsmail/A 1278-2024 tillsynsbegäran mail.docx", "A 1278-2024")</f>
        <v/>
      </c>
    </row>
    <row r="50" ht="15" customHeight="1">
      <c r="A50" t="inlineStr">
        <is>
          <t>A 57060-2024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46263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57060-2024 artfynd.xlsx", "A 57060-2024")</f>
        <v/>
      </c>
      <c r="X50">
        <f>HYPERLINK("https://klasma.github.io/Logging_2425/kartor/A 57060-2024 karta.png", "A 57060-2024")</f>
        <v/>
      </c>
      <c r="Y50">
        <f>HYPERLINK("https://klasma.github.io/Logging_2425/kartor_geotiff/A 57060-2024 georefererad karta.tif", "A 57060-2024")</f>
        <v/>
      </c>
      <c r="AA50">
        <f>HYPERLINK("https://klasma.github.io/Logging_2425/klagomål/A 57060-2024 FSC-klagomål.docx", "A 57060-2024")</f>
        <v/>
      </c>
      <c r="AB50">
        <f>HYPERLINK("https://klasma.github.io/Logging_2425/klagomålsmail/A 57060-2024 FSC-klagomål mail.docx", "A 57060-2024")</f>
        <v/>
      </c>
      <c r="AC50">
        <f>HYPERLINK("https://klasma.github.io/Logging_2425/tillsyn/A 57060-2024 tillsynsbegäran.docx", "A 57060-2024")</f>
        <v/>
      </c>
      <c r="AD50">
        <f>HYPERLINK("https://klasma.github.io/Logging_2425/tillsynsmail/A 57060-2024 tillsynsbegäran mail.docx", "A 57060-2024")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46263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25980-2026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46263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40.2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25980-2026 artfynd.xlsx", "A 25980-2026")</f>
        <v/>
      </c>
      <c r="X52">
        <f>HYPERLINK("https://klasma.github.io/Logging_2425/kartor/A 25980-2026 karta.png", "A 25980-2026")</f>
        <v/>
      </c>
      <c r="Y52">
        <f>HYPERLINK("https://klasma.github.io/Logging_2425/kartor_geotiff/A 25980-2026 georefererad karta.tif", "A 25980-2026")</f>
        <v/>
      </c>
      <c r="AA52">
        <f>HYPERLINK("https://klasma.github.io/Logging_2425/klagomål/A 25980-2026 FSC-klagomål.docx", "A 25980-2026")</f>
        <v/>
      </c>
      <c r="AB52">
        <f>HYPERLINK("https://klasma.github.io/Logging_2425/klagomålsmail/A 25980-2026 FSC-klagomål mail.docx", "A 25980-2026")</f>
        <v/>
      </c>
      <c r="AC52">
        <f>HYPERLINK("https://klasma.github.io/Logging_2425/tillsyn/A 25980-2026 tillsynsbegäran.docx", "A 25980-2026")</f>
        <v/>
      </c>
      <c r="AD52">
        <f>HYPERLINK("https://klasma.github.io/Logging_2425/tillsynsmail/A 25980-2026 tillsynsbegäran mail.docx", "A 25980-2026")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46263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46263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46263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46263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46263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46263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46263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46263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46263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46263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46263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46263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46263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46263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46263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46263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46263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46263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27199-2024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45471</v>
      </c>
      <c r="E71" s="1" t="n">
        <v>46263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46263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46263</v>
      </c>
      <c r="F73" t="inlineStr">
        <is>
          <t>VÄSTERBOTTENS LÄN</t>
        </is>
      </c>
      <c r="G73" t="inlineStr">
        <is>
          <t>DOROTEA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45228</v>
      </c>
      <c r="E74" s="1" t="n">
        <v>46263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44761</v>
      </c>
      <c r="E75" s="1" t="n">
        <v>46263</v>
      </c>
      <c r="F75" t="inlineStr">
        <is>
          <t>VÄSTERBOTTENS LÄN</t>
        </is>
      </c>
      <c r="G75" t="inlineStr">
        <is>
          <t>DOROTEA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46263</v>
      </c>
      <c r="F76" t="inlineStr">
        <is>
          <t>VÄSTERBOTTENS LÄN</t>
        </is>
      </c>
      <c r="G76" t="inlineStr">
        <is>
          <t>DOROTEA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48006-2023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45198</v>
      </c>
      <c r="E77" s="1" t="n">
        <v>46263</v>
      </c>
      <c r="F77" t="inlineStr">
        <is>
          <t>VÄSTERBOTTENS LÄN</t>
        </is>
      </c>
      <c r="G77" t="inlineStr">
        <is>
          <t>DOROTEA</t>
        </is>
      </c>
      <c r="H77" t="inlineStr">
        <is>
          <t>Övriga statliga verk och myndigheter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15057-2024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45399</v>
      </c>
      <c r="E78" s="1" t="n">
        <v>46263</v>
      </c>
      <c r="F78" t="inlineStr">
        <is>
          <t>VÄSTERBOTTENS LÄN</t>
        </is>
      </c>
      <c r="G78" t="inlineStr">
        <is>
          <t>DOROTEA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45572</v>
      </c>
      <c r="E79" s="1" t="n">
        <v>46263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28856-2024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45478</v>
      </c>
      <c r="E80" s="1" t="n">
        <v>46263</v>
      </c>
      <c r="F80" t="inlineStr">
        <is>
          <t>VÄSTERBOTTENS LÄN</t>
        </is>
      </c>
      <c r="G80" t="inlineStr">
        <is>
          <t>DOROTEA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46263</v>
      </c>
      <c r="F81" t="inlineStr">
        <is>
          <t>VÄSTERBOTTENS LÄN</t>
        </is>
      </c>
      <c r="G81" t="inlineStr">
        <is>
          <t>DOROTEA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45614</v>
      </c>
      <c r="E82" s="1" t="n">
        <v>46263</v>
      </c>
      <c r="F82" t="inlineStr">
        <is>
          <t>VÄSTERBOTTENS LÄN</t>
        </is>
      </c>
      <c r="G82" t="inlineStr">
        <is>
          <t>DOROTEA</t>
        </is>
      </c>
      <c r="I82" t="n">
        <v>11.2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52412-2025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46263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45959</v>
      </c>
      <c r="E84" s="1" t="n">
        <v>46263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60304-2022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46263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45224</v>
      </c>
      <c r="E86" s="1" t="n">
        <v>46263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42104-2024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45562</v>
      </c>
      <c r="E87" s="1" t="n">
        <v>46263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38239-2025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45883</v>
      </c>
      <c r="E88" s="1" t="n">
        <v>46263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54489-2025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46263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45883</v>
      </c>
      <c r="E90" s="1" t="n">
        <v>46263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41353-2022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44824</v>
      </c>
      <c r="E91" s="1" t="n">
        <v>46263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45966</v>
      </c>
      <c r="E92" s="1" t="n">
        <v>46263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45966</v>
      </c>
      <c r="E93" s="1" t="n">
        <v>46263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45789</v>
      </c>
      <c r="E94" s="1" t="n">
        <v>46263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19889-2025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46263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46263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46263</v>
      </c>
      <c r="F97" t="inlineStr">
        <is>
          <t>VÄSTERBOTTENS LÄN</t>
        </is>
      </c>
      <c r="G97" t="inlineStr">
        <is>
          <t>DOROTEA</t>
        </is>
      </c>
      <c r="I97" t="n">
        <v>14.8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39778-2025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46263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45893</v>
      </c>
      <c r="E99" s="1" t="n">
        <v>46263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10.3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29737-2024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45485</v>
      </c>
      <c r="E100" s="1" t="n">
        <v>46263</v>
      </c>
      <c r="F100" t="inlineStr">
        <is>
          <t>VÄSTERBOTTENS LÄN</t>
        </is>
      </c>
      <c r="G100" t="inlineStr">
        <is>
          <t>DOROTEA</t>
        </is>
      </c>
      <c r="I100" t="n">
        <v>10.2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39471-2024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45551</v>
      </c>
      <c r="E101" s="1" t="n">
        <v>46263</v>
      </c>
      <c r="F101" t="inlineStr">
        <is>
          <t>VÄSTERBOTTENS LÄN</t>
        </is>
      </c>
      <c r="G101" t="inlineStr">
        <is>
          <t>DOROTEA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46263</v>
      </c>
      <c r="F102" t="inlineStr">
        <is>
          <t>VÄSTERBOTTENS LÄN</t>
        </is>
      </c>
      <c r="G102" t="inlineStr">
        <is>
          <t>DOROTEA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44956</v>
      </c>
      <c r="E103" s="1" t="n">
        <v>46263</v>
      </c>
      <c r="F103" t="inlineStr">
        <is>
          <t>VÄSTERBOTTENS LÄN</t>
        </is>
      </c>
      <c r="G103" t="inlineStr">
        <is>
          <t>DOROTEA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46263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22946-2024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45448</v>
      </c>
      <c r="E105" s="1" t="n">
        <v>46263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44582</v>
      </c>
      <c r="E106" s="1" t="n">
        <v>46263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46263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34702-2023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45140</v>
      </c>
      <c r="E108" s="1" t="n">
        <v>46263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34820-2023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45140</v>
      </c>
      <c r="E109" s="1" t="n">
        <v>46263</v>
      </c>
      <c r="F109" t="inlineStr">
        <is>
          <t>VÄSTERBOTTENS LÄN</t>
        </is>
      </c>
      <c r="G109" t="inlineStr">
        <is>
          <t>DOROTEA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57070-2023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45244</v>
      </c>
      <c r="E110" s="1" t="n">
        <v>46263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42125-2025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45904</v>
      </c>
      <c r="E111" s="1" t="n">
        <v>46263</v>
      </c>
      <c r="F111" t="inlineStr">
        <is>
          <t>VÄSTERBOTTENS LÄN</t>
        </is>
      </c>
      <c r="G111" t="inlineStr">
        <is>
          <t>DOROTEA</t>
        </is>
      </c>
      <c r="H111" t="inlineStr">
        <is>
          <t>Övriga Aktiebolag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46263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59418-2023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45253</v>
      </c>
      <c r="E113" s="1" t="n">
        <v>46263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44860</v>
      </c>
      <c r="E114" s="1" t="n">
        <v>46263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Sveaskog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46263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45551</v>
      </c>
      <c r="E116" s="1" t="n">
        <v>46263</v>
      </c>
      <c r="F116" t="inlineStr">
        <is>
          <t>VÄSTERBOTTENS LÄN</t>
        </is>
      </c>
      <c r="G116" t="inlineStr">
        <is>
          <t>DOROTEA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33113-2024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45517</v>
      </c>
      <c r="E117" s="1" t="n">
        <v>46263</v>
      </c>
      <c r="F117" t="inlineStr">
        <is>
          <t>VÄSTERBOTTENS LÄN</t>
        </is>
      </c>
      <c r="G117" t="inlineStr">
        <is>
          <t>DOROTEA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46263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45483</v>
      </c>
      <c r="E119" s="1" t="n">
        <v>46263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45614</v>
      </c>
      <c r="E120" s="1" t="n">
        <v>46263</v>
      </c>
      <c r="F120" t="inlineStr">
        <is>
          <t>VÄSTERBOTTENS LÄN</t>
        </is>
      </c>
      <c r="G120" t="inlineStr">
        <is>
          <t>DOROTEA</t>
        </is>
      </c>
      <c r="I120" t="n">
        <v>12.8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43720-2025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45912</v>
      </c>
      <c r="E121" s="1" t="n">
        <v>46263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46263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46263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44282-2025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45916</v>
      </c>
      <c r="E124" s="1" t="n">
        <v>46263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40435-2023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45169</v>
      </c>
      <c r="E125" s="1" t="n">
        <v>46263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56428-2025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45975</v>
      </c>
      <c r="E126" s="1" t="n">
        <v>46263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45915</v>
      </c>
      <c r="E127" s="1" t="n">
        <v>46263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56556-2025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46263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44190-2025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46263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46263</v>
      </c>
      <c r="F130" t="inlineStr">
        <is>
          <t>VÄSTERBOTTENS LÄN</t>
        </is>
      </c>
      <c r="G130" t="inlineStr">
        <is>
          <t>DOROTEA</t>
        </is>
      </c>
      <c r="H130" t="inlineStr">
        <is>
          <t>Övriga statliga verk och myndigheter</t>
        </is>
      </c>
      <c r="I130" t="n">
        <v>15.2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57245-2025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46263</v>
      </c>
      <c r="F131" t="inlineStr">
        <is>
          <t>VÄSTERBOTTENS LÄN</t>
        </is>
      </c>
      <c r="G131" t="inlineStr">
        <is>
          <t>DOROTEA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45978</v>
      </c>
      <c r="E132" s="1" t="n">
        <v>46263</v>
      </c>
      <c r="F132" t="inlineStr">
        <is>
          <t>VÄSTERBOTTENS LÄN</t>
        </is>
      </c>
      <c r="G132" t="inlineStr">
        <is>
          <t>DOROTEA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56707-2025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45977</v>
      </c>
      <c r="E133" s="1" t="n">
        <v>46263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46263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44593-2025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46263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46263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7.7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45980</v>
      </c>
      <c r="E137" s="1" t="n">
        <v>46263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57481-2025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46263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44484</v>
      </c>
      <c r="E139" s="1" t="n">
        <v>46263</v>
      </c>
      <c r="F139" t="inlineStr">
        <is>
          <t>VÄSTERBOTTENS LÄN</t>
        </is>
      </c>
      <c r="G139" t="inlineStr">
        <is>
          <t>DOROTEA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46263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45845</v>
      </c>
      <c r="E141" s="1" t="n">
        <v>46263</v>
      </c>
      <c r="F141" t="inlineStr">
        <is>
          <t>VÄSTERBOTTENS LÄN</t>
        </is>
      </c>
      <c r="G141" t="inlineStr">
        <is>
          <t>DOROTEA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46263</v>
      </c>
      <c r="F142" t="inlineStr">
        <is>
          <t>VÄSTERBOTTENS LÄN</t>
        </is>
      </c>
      <c r="G142" t="inlineStr">
        <is>
          <t>DOROTEA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46263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10.2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46263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45805</v>
      </c>
      <c r="E145" s="1" t="n">
        <v>46263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45982</v>
      </c>
      <c r="E146" s="1" t="n">
        <v>46263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18.2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45981</v>
      </c>
      <c r="E147" s="1" t="n">
        <v>46263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45981</v>
      </c>
      <c r="E148" s="1" t="n">
        <v>46263</v>
      </c>
      <c r="F148" t="inlineStr">
        <is>
          <t>VÄSTERBOTTENS LÄN</t>
        </is>
      </c>
      <c r="G148" t="inlineStr">
        <is>
          <t>DOROTEA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26481-2025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45807</v>
      </c>
      <c r="E149" s="1" t="n">
        <v>46263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55549-2024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46263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46263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26480-2025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45807</v>
      </c>
      <c r="E152" s="1" t="n">
        <v>46263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46263</v>
      </c>
      <c r="F153" t="inlineStr">
        <is>
          <t>VÄSTERBOTTENS LÄN</t>
        </is>
      </c>
      <c r="G153" t="inlineStr">
        <is>
          <t>DOROTEA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46263</v>
      </c>
      <c r="F154" t="inlineStr">
        <is>
          <t>VÄSTERBOTTENS LÄN</t>
        </is>
      </c>
      <c r="G154" t="inlineStr">
        <is>
          <t>DOROTEA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45988</v>
      </c>
      <c r="E155" s="1" t="n">
        <v>46263</v>
      </c>
      <c r="F155" t="inlineStr">
        <is>
          <t>VÄSTERBOTTENS LÄN</t>
        </is>
      </c>
      <c r="G155" t="inlineStr">
        <is>
          <t>DOROTEA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59066-2025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45988</v>
      </c>
      <c r="E156" s="1" t="n">
        <v>46263</v>
      </c>
      <c r="F156" t="inlineStr">
        <is>
          <t>VÄSTERBOTTENS LÄN</t>
        </is>
      </c>
      <c r="G156" t="inlineStr">
        <is>
          <t>DOROTEA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46263</v>
      </c>
      <c r="F157" t="inlineStr">
        <is>
          <t>VÄSTERBOTTENS LÄN</t>
        </is>
      </c>
      <c r="G157" t="inlineStr">
        <is>
          <t>DOROTEA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45988</v>
      </c>
      <c r="E158" s="1" t="n">
        <v>46263</v>
      </c>
      <c r="F158" t="inlineStr">
        <is>
          <t>VÄSTERBOTTENS LÄN</t>
        </is>
      </c>
      <c r="G158" t="inlineStr">
        <is>
          <t>DOROTEA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57431-2022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44889</v>
      </c>
      <c r="E159" s="1" t="n">
        <v>46263</v>
      </c>
      <c r="F159" t="inlineStr">
        <is>
          <t>VÄSTERBOTTENS LÄN</t>
        </is>
      </c>
      <c r="G159" t="inlineStr">
        <is>
          <t>DOROTEA</t>
        </is>
      </c>
      <c r="I159" t="n">
        <v>15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46263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48510-2025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46263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46263</v>
      </c>
      <c r="F162" t="inlineStr">
        <is>
          <t>VÄSTERBOTTENS LÄN</t>
        </is>
      </c>
      <c r="G162" t="inlineStr">
        <is>
          <t>DOROTEA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46263</v>
      </c>
      <c r="F163" t="inlineStr">
        <is>
          <t>VÄSTERBOTTENS LÄN</t>
        </is>
      </c>
      <c r="G163" t="inlineStr">
        <is>
          <t>DOROTEA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74013-2021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44557</v>
      </c>
      <c r="E164" s="1" t="n">
        <v>46263</v>
      </c>
      <c r="F164" t="inlineStr">
        <is>
          <t>VÄSTERBOTTENS LÄN</t>
        </is>
      </c>
      <c r="G164" t="inlineStr">
        <is>
          <t>DOROTEA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44925</v>
      </c>
      <c r="E165" s="1" t="n">
        <v>46263</v>
      </c>
      <c r="F165" t="inlineStr">
        <is>
          <t>VÄSTERBOTTENS LÄN</t>
        </is>
      </c>
      <c r="G165" t="inlineStr">
        <is>
          <t>DOROTEA</t>
        </is>
      </c>
      <c r="I165" t="n">
        <v>22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46263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45742</v>
      </c>
      <c r="E167" s="1" t="n">
        <v>46263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49408-2025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46263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30373-2024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45491</v>
      </c>
      <c r="E169" s="1" t="n">
        <v>46263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Sveaskog</t>
        </is>
      </c>
      <c r="I169" t="n">
        <v>13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46263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9.800000000000001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35937-2025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45862</v>
      </c>
      <c r="E171" s="1" t="n">
        <v>46263</v>
      </c>
      <c r="F171" t="inlineStr">
        <is>
          <t>VÄSTERBOTTENS LÄN</t>
        </is>
      </c>
      <c r="G171" t="inlineStr">
        <is>
          <t>DOROTEA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44820-2024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45574</v>
      </c>
      <c r="E172" s="1" t="n">
        <v>46263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46263</v>
      </c>
      <c r="F173" t="inlineStr">
        <is>
          <t>VÄSTERBOTTENS LÄN</t>
        </is>
      </c>
      <c r="G173" t="inlineStr">
        <is>
          <t>DOROTEA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46263</v>
      </c>
      <c r="F174" t="inlineStr">
        <is>
          <t>VÄSTERBOTTENS LÄN</t>
        </is>
      </c>
      <c r="G174" t="inlineStr">
        <is>
          <t>DOROTEA</t>
        </is>
      </c>
      <c r="I174" t="n">
        <v>23.9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45463</v>
      </c>
      <c r="E175" s="1" t="n">
        <v>46263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45539</v>
      </c>
      <c r="E176" s="1" t="n">
        <v>46263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29258-2025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46263</v>
      </c>
      <c r="F177" t="inlineStr">
        <is>
          <t>VÄSTERBOTTENS LÄN</t>
        </is>
      </c>
      <c r="G177" t="inlineStr">
        <is>
          <t>DOROTEA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42484-2024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45565</v>
      </c>
      <c r="E178" s="1" t="n">
        <v>46263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46263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7429-2023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44971</v>
      </c>
      <c r="E180" s="1" t="n">
        <v>46263</v>
      </c>
      <c r="F180" t="inlineStr">
        <is>
          <t>VÄSTERBOTTENS LÄN</t>
        </is>
      </c>
      <c r="G180" t="inlineStr">
        <is>
          <t>DOROTEA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44956</v>
      </c>
      <c r="E181" s="1" t="n">
        <v>46263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46263</v>
      </c>
      <c r="F182" t="inlineStr">
        <is>
          <t>VÄSTERBOTTENS LÄN</t>
        </is>
      </c>
      <c r="G182" t="inlineStr">
        <is>
          <t>DOROTEA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31510-2025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46263</v>
      </c>
      <c r="F183" t="inlineStr">
        <is>
          <t>VÄSTERBOTTENS LÄN</t>
        </is>
      </c>
      <c r="G183" t="inlineStr">
        <is>
          <t>DOROTEA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62193-2025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46003</v>
      </c>
      <c r="E184" s="1" t="n">
        <v>46263</v>
      </c>
      <c r="F184" t="inlineStr">
        <is>
          <t>VÄSTERBOTTENS LÄN</t>
        </is>
      </c>
      <c r="G184" t="inlineStr">
        <is>
          <t>DOROTEA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46263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46263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45071</v>
      </c>
      <c r="E187" s="1" t="n">
        <v>46263</v>
      </c>
      <c r="F187" t="inlineStr">
        <is>
          <t>VÄSTERBOTTENS LÄN</t>
        </is>
      </c>
      <c r="G187" t="inlineStr">
        <is>
          <t>DOROTEA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22942-2024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46263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46263</v>
      </c>
      <c r="F189" t="inlineStr">
        <is>
          <t>VÄSTERBOTTENS LÄN</t>
        </is>
      </c>
      <c r="G189" t="inlineStr">
        <is>
          <t>DOROTEA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34279-2025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45846</v>
      </c>
      <c r="E190" s="1" t="n">
        <v>46263</v>
      </c>
      <c r="F190" t="inlineStr">
        <is>
          <t>VÄSTERBOTTENS LÄN</t>
        </is>
      </c>
      <c r="G190" t="inlineStr">
        <is>
          <t>DOROTEA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34681-2025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45848</v>
      </c>
      <c r="E191" s="1" t="n">
        <v>46263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45847</v>
      </c>
      <c r="E192" s="1" t="n">
        <v>46263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25028-2024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45461</v>
      </c>
      <c r="E193" s="1" t="n">
        <v>46263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45849</v>
      </c>
      <c r="E194" s="1" t="n">
        <v>46263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35093-2025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45852</v>
      </c>
      <c r="E195" s="1" t="n">
        <v>46263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46263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45855</v>
      </c>
      <c r="E197" s="1" t="n">
        <v>46263</v>
      </c>
      <c r="F197" t="inlineStr">
        <is>
          <t>VÄSTERBOTTENS LÄN</t>
        </is>
      </c>
      <c r="G197" t="inlineStr">
        <is>
          <t>DOROTEA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46263</v>
      </c>
      <c r="F198" t="inlineStr">
        <is>
          <t>VÄSTERBOTTENS LÄN</t>
        </is>
      </c>
      <c r="G198" t="inlineStr">
        <is>
          <t>DOROTEA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46263</v>
      </c>
      <c r="F199" t="inlineStr">
        <is>
          <t>VÄSTERBOTTENS LÄN</t>
        </is>
      </c>
      <c r="G199" t="inlineStr">
        <is>
          <t>DOROTEA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4617-2023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44956</v>
      </c>
      <c r="E200" s="1" t="n">
        <v>46263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36125-2025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45866</v>
      </c>
      <c r="E201" s="1" t="n">
        <v>46263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36111-2025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45866</v>
      </c>
      <c r="E202" s="1" t="n">
        <v>46263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46263</v>
      </c>
      <c r="F203" t="inlineStr">
        <is>
          <t>VÄSTERBOTTENS LÄN</t>
        </is>
      </c>
      <c r="G203" t="inlineStr">
        <is>
          <t>DOROTEA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45539</v>
      </c>
      <c r="E204" s="1" t="n">
        <v>46263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46263</v>
      </c>
      <c r="F205" t="inlineStr">
        <is>
          <t>VÄSTERBOTTENS LÄN</t>
        </is>
      </c>
      <c r="G205" t="inlineStr">
        <is>
          <t>DOROTEA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37259-2025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45876</v>
      </c>
      <c r="E206" s="1" t="n">
        <v>46263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37135-2025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45875</v>
      </c>
      <c r="E207" s="1" t="n">
        <v>46263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45876</v>
      </c>
      <c r="E208" s="1" t="n">
        <v>46263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45519</v>
      </c>
      <c r="E209" s="1" t="n">
        <v>46263</v>
      </c>
      <c r="F209" t="inlineStr">
        <is>
          <t>VÄSTERBOTTENS LÄN</t>
        </is>
      </c>
      <c r="G209" t="inlineStr">
        <is>
          <t>DOROTEA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45642</v>
      </c>
      <c r="E210" s="1" t="n">
        <v>46263</v>
      </c>
      <c r="F210" t="inlineStr">
        <is>
          <t>VÄSTERBOTTENS LÄN</t>
        </is>
      </c>
      <c r="G210" t="inlineStr">
        <is>
          <t>DOROTEA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46263</v>
      </c>
      <c r="F211" t="inlineStr">
        <is>
          <t>VÄSTERBOTTENS LÄN</t>
        </is>
      </c>
      <c r="G211" t="inlineStr">
        <is>
          <t>DOROTEA</t>
        </is>
      </c>
      <c r="I211" t="n">
        <v>16.7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46263</v>
      </c>
      <c r="F212" t="inlineStr">
        <is>
          <t>VÄSTERBOTTENS LÄN</t>
        </is>
      </c>
      <c r="G212" t="inlineStr">
        <is>
          <t>DOROTEA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37476-2025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45877</v>
      </c>
      <c r="E213" s="1" t="n">
        <v>46263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45712</v>
      </c>
      <c r="E214" s="1" t="n">
        <v>46263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45882</v>
      </c>
      <c r="E215" s="1" t="n">
        <v>46263</v>
      </c>
      <c r="F215" t="inlineStr">
        <is>
          <t>VÄSTERBOTTENS LÄN</t>
        </is>
      </c>
      <c r="G215" t="inlineStr">
        <is>
          <t>DOROTEA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45882</v>
      </c>
      <c r="E216" s="1" t="n">
        <v>46263</v>
      </c>
      <c r="F216" t="inlineStr">
        <is>
          <t>VÄSTERBOTTENS LÄN</t>
        </is>
      </c>
      <c r="G216" t="inlineStr">
        <is>
          <t>DOROTEA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45882</v>
      </c>
      <c r="E217" s="1" t="n">
        <v>46263</v>
      </c>
      <c r="F217" t="inlineStr">
        <is>
          <t>VÄSTERBOTTENS LÄN</t>
        </is>
      </c>
      <c r="G217" t="inlineStr">
        <is>
          <t>DOROTEA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46263</v>
      </c>
      <c r="F218" t="inlineStr">
        <is>
          <t>VÄSTERBOTTENS LÄN</t>
        </is>
      </c>
      <c r="G218" t="inlineStr">
        <is>
          <t>DOROTEA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45882</v>
      </c>
      <c r="E219" s="1" t="n">
        <v>46263</v>
      </c>
      <c r="F219" t="inlineStr">
        <is>
          <t>VÄSTERBOTTENS LÄN</t>
        </is>
      </c>
      <c r="G219" t="inlineStr">
        <is>
          <t>DOROTEA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46263</v>
      </c>
      <c r="F220" t="inlineStr">
        <is>
          <t>VÄSTERBOTTENS LÄN</t>
        </is>
      </c>
      <c r="G220" t="inlineStr">
        <is>
          <t>DOROTEA</t>
        </is>
      </c>
      <c r="I220" t="n">
        <v>13.2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17132-2025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45755</v>
      </c>
      <c r="E221" s="1" t="n">
        <v>46263</v>
      </c>
      <c r="F221" t="inlineStr">
        <is>
          <t>VÄSTERBOTTENS LÄN</t>
        </is>
      </c>
      <c r="G221" t="inlineStr">
        <is>
          <t>DOROTEA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45642</v>
      </c>
      <c r="E222" s="1" t="n">
        <v>46263</v>
      </c>
      <c r="F222" t="inlineStr">
        <is>
          <t>VÄSTERBOTTENS LÄN</t>
        </is>
      </c>
      <c r="G222" t="inlineStr">
        <is>
          <t>DOROTEA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45125</v>
      </c>
      <c r="E223" s="1" t="n">
        <v>46263</v>
      </c>
      <c r="F223" t="inlineStr">
        <is>
          <t>VÄSTERBOTTENS LÄN</t>
        </is>
      </c>
      <c r="G223" t="inlineStr">
        <is>
          <t>DOROTEA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45182</v>
      </c>
      <c r="E224" s="1" t="n">
        <v>46263</v>
      </c>
      <c r="F224" t="inlineStr">
        <is>
          <t>VÄSTERBOTTENS LÄN</t>
        </is>
      </c>
      <c r="G224" t="inlineStr">
        <is>
          <t>DOROTEA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46263</v>
      </c>
      <c r="F225" t="inlineStr">
        <is>
          <t>VÄSTERBOTTENS LÄN</t>
        </is>
      </c>
      <c r="G225" t="inlineStr">
        <is>
          <t>DOROTEA</t>
        </is>
      </c>
      <c r="I225" t="n">
        <v>12.3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46263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46263</v>
      </c>
      <c r="F227" t="inlineStr">
        <is>
          <t>VÄSTERBOTTENS LÄN</t>
        </is>
      </c>
      <c r="G227" t="inlineStr">
        <is>
          <t>DOROTEA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58313-2024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45632</v>
      </c>
      <c r="E228" s="1" t="n">
        <v>46263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45149</v>
      </c>
      <c r="E229" s="1" t="n">
        <v>46263</v>
      </c>
      <c r="F229" t="inlineStr">
        <is>
          <t>VÄSTERBOTTENS LÄN</t>
        </is>
      </c>
      <c r="G229" t="inlineStr">
        <is>
          <t>DOROTEA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40434-2023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45169</v>
      </c>
      <c r="E230" s="1" t="n">
        <v>46263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45198</v>
      </c>
      <c r="E231" s="1" t="n">
        <v>46263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45170</v>
      </c>
      <c r="E232" s="1" t="n">
        <v>46263</v>
      </c>
      <c r="F232" t="inlineStr">
        <is>
          <t>VÄSTERBOTTENS LÄN</t>
        </is>
      </c>
      <c r="G232" t="inlineStr">
        <is>
          <t>DOROTEA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60145-2021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44494</v>
      </c>
      <c r="E233" s="1" t="n">
        <v>46263</v>
      </c>
      <c r="F233" t="inlineStr">
        <is>
          <t>VÄSTERBOTTENS LÄN</t>
        </is>
      </c>
      <c r="G233" t="inlineStr">
        <is>
          <t>DOROTEA</t>
        </is>
      </c>
      <c r="I233" t="n">
        <v>13.3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46263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45720</v>
      </c>
      <c r="E235" s="1" t="n">
        <v>46263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45475</v>
      </c>
      <c r="E236" s="1" t="n">
        <v>46263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13.2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46017</v>
      </c>
      <c r="E237" s="1" t="n">
        <v>46263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8.699999999999999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33738-2024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46263</v>
      </c>
      <c r="F238" t="inlineStr">
        <is>
          <t>VÄSTERBOTTENS LÄN</t>
        </is>
      </c>
      <c r="G238" t="inlineStr">
        <is>
          <t>DOROTEA</t>
        </is>
      </c>
      <c r="I238" t="n">
        <v>11.1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14806-2023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45013</v>
      </c>
      <c r="E239" s="1" t="n">
        <v>46263</v>
      </c>
      <c r="F239" t="inlineStr">
        <is>
          <t>VÄSTERBOTTENS LÄN</t>
        </is>
      </c>
      <c r="G239" t="inlineStr">
        <is>
          <t>DOROTEA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44889</v>
      </c>
      <c r="E240" s="1" t="n">
        <v>46263</v>
      </c>
      <c r="F240" t="inlineStr">
        <is>
          <t>VÄSTERBOTTENS LÄN</t>
        </is>
      </c>
      <c r="G240" t="inlineStr">
        <is>
          <t>DOROTEA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57071-2023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46263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30570-2023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45111</v>
      </c>
      <c r="E242" s="1" t="n">
        <v>46263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45714</v>
      </c>
      <c r="E243" s="1" t="n">
        <v>46263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46030</v>
      </c>
      <c r="E244" s="1" t="n">
        <v>46263</v>
      </c>
      <c r="F244" t="inlineStr">
        <is>
          <t>VÄSTERBOTTENS LÄN</t>
        </is>
      </c>
      <c r="G244" t="inlineStr">
        <is>
          <t>DOROTEA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2146-2026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46263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46263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46263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46263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11.9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46263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7.8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46263</v>
      </c>
      <c r="F250" t="inlineStr">
        <is>
          <t>VÄSTERBOTTENS LÄN</t>
        </is>
      </c>
      <c r="G250" t="inlineStr">
        <is>
          <t>DOROTEA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46263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44568</v>
      </c>
      <c r="E252" s="1" t="n">
        <v>46263</v>
      </c>
      <c r="F252" t="inlineStr">
        <is>
          <t>VÄSTERBOTTENS LÄN</t>
        </is>
      </c>
      <c r="G252" t="inlineStr">
        <is>
          <t>DOROTEA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63885-2025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46263</v>
      </c>
      <c r="F253" t="inlineStr">
        <is>
          <t>VÄSTERBOTTENS LÄN</t>
        </is>
      </c>
      <c r="G253" t="inlineStr">
        <is>
          <t>DOROTEA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46263</v>
      </c>
      <c r="F254" t="inlineStr">
        <is>
          <t>VÄSTERBOTTENS LÄN</t>
        </is>
      </c>
      <c r="G254" t="inlineStr">
        <is>
          <t>DOROTEA</t>
        </is>
      </c>
      <c r="I254" t="n">
        <v>11.8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46091</v>
      </c>
      <c r="E255" s="1" t="n">
        <v>46263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46263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46051</v>
      </c>
      <c r="E257" s="1" t="n">
        <v>46263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46263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46054</v>
      </c>
      <c r="E259" s="1" t="n">
        <v>46263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46263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45036</v>
      </c>
      <c r="E261" s="1" t="n">
        <v>46263</v>
      </c>
      <c r="F261" t="inlineStr">
        <is>
          <t>VÄSTERBOTTENS LÄN</t>
        </is>
      </c>
      <c r="G261" t="inlineStr">
        <is>
          <t>DOROTEA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46263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55919-2023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45239</v>
      </c>
      <c r="E263" s="1" t="n">
        <v>46263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22580-2023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46263</v>
      </c>
      <c r="F264" t="inlineStr">
        <is>
          <t>VÄSTERBOTTENS LÄN</t>
        </is>
      </c>
      <c r="G264" t="inlineStr">
        <is>
          <t>DOROTEA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46263</v>
      </c>
      <c r="F265" t="inlineStr">
        <is>
          <t>VÄSTERBOTTENS LÄN</t>
        </is>
      </c>
      <c r="G265" t="inlineStr">
        <is>
          <t>DOROTEA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46059</v>
      </c>
      <c r="E266" s="1" t="n">
        <v>46263</v>
      </c>
      <c r="F266" t="inlineStr">
        <is>
          <t>VÄSTERBOTTENS LÄN</t>
        </is>
      </c>
      <c r="G266" t="inlineStr">
        <is>
          <t>DOROTEA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44979</v>
      </c>
      <c r="E267" s="1" t="n">
        <v>46263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9.4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46263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45036</v>
      </c>
      <c r="E269" s="1" t="n">
        <v>46263</v>
      </c>
      <c r="F269" t="inlineStr">
        <is>
          <t>VÄSTERBOTTENS LÄN</t>
        </is>
      </c>
      <c r="G269" t="inlineStr">
        <is>
          <t>DOROTEA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29645-2023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45098</v>
      </c>
      <c r="E270" s="1" t="n">
        <v>46263</v>
      </c>
      <c r="F270" t="inlineStr">
        <is>
          <t>VÄSTERBOTTENS LÄN</t>
        </is>
      </c>
      <c r="G270" t="inlineStr">
        <is>
          <t>DOROTEA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40599-2024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45556</v>
      </c>
      <c r="E271" s="1" t="n">
        <v>46263</v>
      </c>
      <c r="F271" t="inlineStr">
        <is>
          <t>VÄSTERBOTTENS LÄN</t>
        </is>
      </c>
      <c r="G271" t="inlineStr">
        <is>
          <t>DOROTEA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9796-2026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46263</v>
      </c>
      <c r="F272" t="inlineStr">
        <is>
          <t>VÄSTERBOTTENS LÄN</t>
        </is>
      </c>
      <c r="G272" t="inlineStr">
        <is>
          <t>DOROTEA</t>
        </is>
      </c>
      <c r="I272" t="n">
        <v>20.1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46966-2024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45586</v>
      </c>
      <c r="E273" s="1" t="n">
        <v>46263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Sveaskog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45180</v>
      </c>
      <c r="E274" s="1" t="n">
        <v>46263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27.7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11817-2026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46085</v>
      </c>
      <c r="E275" s="1" t="n">
        <v>46263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12082-2026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46086</v>
      </c>
      <c r="E276" s="1" t="n">
        <v>46263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45721</v>
      </c>
      <c r="E277" s="1" t="n">
        <v>46263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45331</v>
      </c>
      <c r="E278" s="1" t="n">
        <v>46263</v>
      </c>
      <c r="F278" t="inlineStr">
        <is>
          <t>VÄSTERBOTTENS LÄN</t>
        </is>
      </c>
      <c r="G278" t="inlineStr">
        <is>
          <t>DOROTEA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45075</v>
      </c>
      <c r="E279" s="1" t="n">
        <v>46263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45036</v>
      </c>
      <c r="E280" s="1" t="n">
        <v>46263</v>
      </c>
      <c r="F280" t="inlineStr">
        <is>
          <t>VÄSTERBOTTENS LÄN</t>
        </is>
      </c>
      <c r="G280" t="inlineStr">
        <is>
          <t>DOROTEA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35990-2023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45148</v>
      </c>
      <c r="E281" s="1" t="n">
        <v>46263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45614</v>
      </c>
      <c r="E282" s="1" t="n">
        <v>46263</v>
      </c>
      <c r="F282" t="inlineStr">
        <is>
          <t>VÄSTERBOTTENS LÄN</t>
        </is>
      </c>
      <c r="G282" t="inlineStr">
        <is>
          <t>DOROTEA</t>
        </is>
      </c>
      <c r="I282" t="n">
        <v>26.5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24003-2025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45796</v>
      </c>
      <c r="E283" s="1" t="n">
        <v>46263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45755</v>
      </c>
      <c r="E284" s="1" t="n">
        <v>46263</v>
      </c>
      <c r="F284" t="inlineStr">
        <is>
          <t>VÄSTERBOTTENS LÄN</t>
        </is>
      </c>
      <c r="G284" t="inlineStr">
        <is>
          <t>DOROTEA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35202-2025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45852</v>
      </c>
      <c r="E285" s="1" t="n">
        <v>46263</v>
      </c>
      <c r="F285" t="inlineStr">
        <is>
          <t>VÄSTERBOTTENS LÄN</t>
        </is>
      </c>
      <c r="G285" t="inlineStr">
        <is>
          <t>DOROTEA</t>
        </is>
      </c>
      <c r="H285" t="inlineStr">
        <is>
          <t>Allmännings- och besparingsskogar</t>
        </is>
      </c>
      <c r="I285" t="n">
        <v>22.1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35203-2025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45852</v>
      </c>
      <c r="E286" s="1" t="n">
        <v>46263</v>
      </c>
      <c r="F286" t="inlineStr">
        <is>
          <t>VÄSTERBOTTENS LÄN</t>
        </is>
      </c>
      <c r="G286" t="inlineStr">
        <is>
          <t>DOROTEA</t>
        </is>
      </c>
      <c r="H286" t="inlineStr">
        <is>
          <t>Allmännings- och besparingsskogar</t>
        </is>
      </c>
      <c r="I286" t="n">
        <v>20.3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45672</v>
      </c>
      <c r="E287" s="1" t="n">
        <v>46263</v>
      </c>
      <c r="F287" t="inlineStr">
        <is>
          <t>VÄSTERBOTTENS LÄN</t>
        </is>
      </c>
      <c r="G287" t="inlineStr">
        <is>
          <t>DOROTEA</t>
        </is>
      </c>
      <c r="H287" t="inlineStr">
        <is>
          <t>Kommuner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14249-2026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46099</v>
      </c>
      <c r="E288" s="1" t="n">
        <v>46263</v>
      </c>
      <c r="F288" t="inlineStr">
        <is>
          <t>VÄSTERBOTTENS LÄN</t>
        </is>
      </c>
      <c r="G288" t="inlineStr">
        <is>
          <t>DOROTEA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46104</v>
      </c>
      <c r="E289" s="1" t="n">
        <v>46263</v>
      </c>
      <c r="F289" t="inlineStr">
        <is>
          <t>VÄSTERBOTTENS LÄN</t>
        </is>
      </c>
      <c r="G289" t="inlineStr">
        <is>
          <t>DOROTEA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45729</v>
      </c>
      <c r="E290" s="1" t="n">
        <v>46263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13.5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46263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16251-2026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46111</v>
      </c>
      <c r="E292" s="1" t="n">
        <v>46263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46111</v>
      </c>
      <c r="E293" s="1" t="n">
        <v>46263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33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16276-2026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46263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16896-2026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46113</v>
      </c>
      <c r="E295" s="1" t="n">
        <v>46263</v>
      </c>
      <c r="F295" t="inlineStr">
        <is>
          <t>VÄSTERBOTTENS LÄN</t>
        </is>
      </c>
      <c r="G295" t="inlineStr">
        <is>
          <t>DOROTEA</t>
        </is>
      </c>
      <c r="H295" t="inlineStr">
        <is>
          <t>Kommuner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16985-2026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46114</v>
      </c>
      <c r="E296" s="1" t="n">
        <v>46263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17623-2026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46121</v>
      </c>
      <c r="E297" s="1" t="n">
        <v>46263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20.3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46120</v>
      </c>
      <c r="E298" s="1" t="n">
        <v>46263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8.6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18143-2026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46263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46123</v>
      </c>
      <c r="E300" s="1" t="n">
        <v>46263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46125</v>
      </c>
      <c r="E301" s="1" t="n">
        <v>46263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18.3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18157-2026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46125</v>
      </c>
      <c r="E302" s="1" t="n">
        <v>46263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18254-2026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46126</v>
      </c>
      <c r="E303" s="1" t="n">
        <v>46263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46263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19445-2026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46133</v>
      </c>
      <c r="E305" s="1" t="n">
        <v>46263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27558-2022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46263</v>
      </c>
      <c r="F306" t="inlineStr">
        <is>
          <t>VÄSTERBOTTENS LÄN</t>
        </is>
      </c>
      <c r="G306" t="inlineStr">
        <is>
          <t>DOROTEA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19298-2026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46263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19446-2026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46133</v>
      </c>
      <c r="E308" s="1" t="n">
        <v>46263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46263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46136</v>
      </c>
      <c r="E310" s="1" t="n">
        <v>46263</v>
      </c>
      <c r="F310" t="inlineStr">
        <is>
          <t>VÄSTERBOTTENS LÄN</t>
        </is>
      </c>
      <c r="G310" t="inlineStr">
        <is>
          <t>DOROTEA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45846</v>
      </c>
      <c r="E311" s="1" t="n">
        <v>46263</v>
      </c>
      <c r="F311" t="inlineStr">
        <is>
          <t>VÄSTERBOTTENS LÄN</t>
        </is>
      </c>
      <c r="G311" t="inlineStr">
        <is>
          <t>DOROTEA</t>
        </is>
      </c>
      <c r="I311" t="n">
        <v>14.7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20522-2026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46140</v>
      </c>
      <c r="E312" s="1" t="n">
        <v>46263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46263</v>
      </c>
      <c r="F313" t="inlineStr">
        <is>
          <t>VÄSTERBOTTENS LÄN</t>
        </is>
      </c>
      <c r="G313" t="inlineStr">
        <is>
          <t>DOROTEA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40438-2023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46263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45866</v>
      </c>
      <c r="E315" s="1" t="n">
        <v>46263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45735</v>
      </c>
      <c r="E316" s="1" t="n">
        <v>46263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46263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28717-2022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44748</v>
      </c>
      <c r="E318" s="1" t="n">
        <v>46263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47494-2023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45202</v>
      </c>
      <c r="E319" s="1" t="n">
        <v>46263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46263</v>
      </c>
      <c r="F320" t="inlineStr">
        <is>
          <t>VÄSTERBOTTENS LÄN</t>
        </is>
      </c>
      <c r="G320" t="inlineStr">
        <is>
          <t>DOROTEA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45295</v>
      </c>
      <c r="E321" s="1" t="n">
        <v>46263</v>
      </c>
      <c r="F321" t="inlineStr">
        <is>
          <t>VÄSTERBOTTENS LÄN</t>
        </is>
      </c>
      <c r="G321" t="inlineStr">
        <is>
          <t>DOROTEA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63294-2025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46010</v>
      </c>
      <c r="E322" s="1" t="n">
        <v>46263</v>
      </c>
      <c r="F322" t="inlineStr">
        <is>
          <t>VÄSTERBOTTENS LÄN</t>
        </is>
      </c>
      <c r="G322" t="inlineStr">
        <is>
          <t>DOROTEA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46263</v>
      </c>
      <c r="F323" t="inlineStr">
        <is>
          <t>VÄSTERBOTTENS LÄN</t>
        </is>
      </c>
      <c r="G323" t="inlineStr">
        <is>
          <t>DOROTEA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46263</v>
      </c>
      <c r="F324" t="inlineStr">
        <is>
          <t>VÄSTERBOTTENS LÄN</t>
        </is>
      </c>
      <c r="G324" t="inlineStr">
        <is>
          <t>DOROTEA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20327-2026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46263</v>
      </c>
      <c r="F325" t="inlineStr">
        <is>
          <t>VÄSTERBOTTENS LÄN</t>
        </is>
      </c>
      <c r="G325" t="inlineStr">
        <is>
          <t>DOROTEA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63575-2025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46263</v>
      </c>
      <c r="F326" t="inlineStr">
        <is>
          <t>VÄSTERBOTTENS LÄN</t>
        </is>
      </c>
      <c r="G326" t="inlineStr">
        <is>
          <t>DOROTEA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53272-2024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45614</v>
      </c>
      <c r="E327" s="1" t="n">
        <v>46263</v>
      </c>
      <c r="F327" t="inlineStr">
        <is>
          <t>VÄSTERBOTTENS LÄN</t>
        </is>
      </c>
      <c r="G327" t="inlineStr">
        <is>
          <t>DOROTEA</t>
        </is>
      </c>
      <c r="I327" t="n">
        <v>31.7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57794-2023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45246</v>
      </c>
      <c r="E328" s="1" t="n">
        <v>46263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55889-2022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44888</v>
      </c>
      <c r="E329" s="1" t="n">
        <v>46263</v>
      </c>
      <c r="F329" t="inlineStr">
        <is>
          <t>VÄSTERBOTTENS LÄN</t>
        </is>
      </c>
      <c r="G329" t="inlineStr">
        <is>
          <t>DOROTEA</t>
        </is>
      </c>
      <c r="I329" t="n">
        <v>15.8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56807-2021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44481</v>
      </c>
      <c r="E330" s="1" t="n">
        <v>46263</v>
      </c>
      <c r="F330" t="inlineStr">
        <is>
          <t>VÄSTERBOTTENS LÄN</t>
        </is>
      </c>
      <c r="G330" t="inlineStr">
        <is>
          <t>DOROTEA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60169-2024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45642</v>
      </c>
      <c r="E331" s="1" t="n">
        <v>46263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14163-2024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45392</v>
      </c>
      <c r="E332" s="1" t="n">
        <v>46263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45547</v>
      </c>
      <c r="E333" s="1" t="n">
        <v>46263</v>
      </c>
      <c r="F333" t="inlineStr">
        <is>
          <t>VÄSTERBOTTENS LÄN</t>
        </is>
      </c>
      <c r="G333" t="inlineStr">
        <is>
          <t>DOROTEA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46817-2022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44848</v>
      </c>
      <c r="E334" s="1" t="n">
        <v>46263</v>
      </c>
      <c r="F334" t="inlineStr">
        <is>
          <t>VÄSTERBOTTENS LÄN</t>
        </is>
      </c>
      <c r="G334" t="inlineStr">
        <is>
          <t>DOROTEA</t>
        </is>
      </c>
      <c r="I334" t="n">
        <v>29.8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20333-2026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46263</v>
      </c>
      <c r="F335" t="inlineStr">
        <is>
          <t>VÄSTERBOTTENS LÄN</t>
        </is>
      </c>
      <c r="G335" t="inlineStr">
        <is>
          <t>DOROTEA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42473-2024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45565</v>
      </c>
      <c r="E336" s="1" t="n">
        <v>46263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45611</v>
      </c>
      <c r="E337" s="1" t="n">
        <v>46263</v>
      </c>
      <c r="F337" t="inlineStr">
        <is>
          <t>VÄSTERBOTTENS LÄN</t>
        </is>
      </c>
      <c r="G337" t="inlineStr">
        <is>
          <t>DOROTEA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46965-2024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45586</v>
      </c>
      <c r="E338" s="1" t="n">
        <v>46263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46263</v>
      </c>
      <c r="F339" t="inlineStr">
        <is>
          <t>VÄSTERBOTTENS LÄN</t>
        </is>
      </c>
      <c r="G339" t="inlineStr">
        <is>
          <t>DOROTEA</t>
        </is>
      </c>
      <c r="I339" t="n">
        <v>18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42228-2024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45562</v>
      </c>
      <c r="E340" s="1" t="n">
        <v>46263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27477-2023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45097</v>
      </c>
      <c r="E341" s="1" t="n">
        <v>46263</v>
      </c>
      <c r="F341" t="inlineStr">
        <is>
          <t>VÄSTERBOTTENS LÄN</t>
        </is>
      </c>
      <c r="G341" t="inlineStr">
        <is>
          <t>DOROTEA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44942</v>
      </c>
      <c r="E342" s="1" t="n">
        <v>46263</v>
      </c>
      <c r="F342" t="inlineStr">
        <is>
          <t>VÄSTERBOTTENS LÄN</t>
        </is>
      </c>
      <c r="G342" t="inlineStr">
        <is>
          <t>DOROTEA</t>
        </is>
      </c>
      <c r="I342" t="n">
        <v>22.7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46263</v>
      </c>
      <c r="F343" t="inlineStr">
        <is>
          <t>VÄSTERBOTTENS LÄN</t>
        </is>
      </c>
      <c r="G343" t="inlineStr">
        <is>
          <t>DOROTEA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59653-2024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45639</v>
      </c>
      <c r="E344" s="1" t="n">
        <v>46263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45036</v>
      </c>
      <c r="E345" s="1" t="n">
        <v>46263</v>
      </c>
      <c r="F345" t="inlineStr">
        <is>
          <t>VÄSTERBOTTENS LÄN</t>
        </is>
      </c>
      <c r="G345" t="inlineStr">
        <is>
          <t>DOROTEA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22944-2024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45448</v>
      </c>
      <c r="E346" s="1" t="n">
        <v>46263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45356</v>
      </c>
      <c r="E347" s="1" t="n">
        <v>46263</v>
      </c>
      <c r="F347" t="inlineStr">
        <is>
          <t>VÄSTERBOTTENS LÄN</t>
        </is>
      </c>
      <c r="G347" t="inlineStr">
        <is>
          <t>DOROTEA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46263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59329-2025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46263</v>
      </c>
      <c r="F349" t="inlineStr">
        <is>
          <t>VÄSTERBOTTENS LÄN</t>
        </is>
      </c>
      <c r="G349" t="inlineStr">
        <is>
          <t>DOROTEA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8246-2024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45351</v>
      </c>
      <c r="E350" s="1" t="n">
        <v>46263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45705</v>
      </c>
      <c r="E351" s="1" t="n">
        <v>46263</v>
      </c>
      <c r="F351" t="inlineStr">
        <is>
          <t>VÄSTERBOTTENS LÄN</t>
        </is>
      </c>
      <c r="G351" t="inlineStr">
        <is>
          <t>DOROTEA</t>
        </is>
      </c>
      <c r="I351" t="n">
        <v>13.3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37282-2025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45876</v>
      </c>
      <c r="E352" s="1" t="n">
        <v>46263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8247-2024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45351</v>
      </c>
      <c r="E353" s="1" t="n">
        <v>46263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20332-2026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46136</v>
      </c>
      <c r="E354" s="1" t="n">
        <v>46263</v>
      </c>
      <c r="F354" t="inlineStr">
        <is>
          <t>VÄSTERBOTTENS LÄN</t>
        </is>
      </c>
      <c r="G354" t="inlineStr">
        <is>
          <t>DOROTEA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20390-2026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46263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46263</v>
      </c>
      <c r="F356" t="inlineStr">
        <is>
          <t>VÄSTERBOTTENS LÄN</t>
        </is>
      </c>
      <c r="G356" t="inlineStr">
        <is>
          <t>DOROTEA</t>
        </is>
      </c>
      <c r="I356" t="n">
        <v>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59397-2023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45253</v>
      </c>
      <c r="E357" s="1" t="n">
        <v>46263</v>
      </c>
      <c r="F357" t="inlineStr">
        <is>
          <t>VÄSTERBOTTENS LÄN</t>
        </is>
      </c>
      <c r="G357" t="inlineStr">
        <is>
          <t>DOROTEA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45055</v>
      </c>
      <c r="E358" s="1" t="n">
        <v>46263</v>
      </c>
      <c r="F358" t="inlineStr">
        <is>
          <t>VÄSTERBOTTENS LÄN</t>
        </is>
      </c>
      <c r="G358" t="inlineStr">
        <is>
          <t>DOROTEA</t>
        </is>
      </c>
      <c r="H358" t="inlineStr">
        <is>
          <t>Övriga statliga verk och myndigheter</t>
        </is>
      </c>
      <c r="I358" t="n">
        <v>13.9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46263</v>
      </c>
      <c r="F359" t="inlineStr">
        <is>
          <t>VÄSTERBOTTENS LÄN</t>
        </is>
      </c>
      <c r="G359" t="inlineStr">
        <is>
          <t>DOROTEA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67686-2021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44524</v>
      </c>
      <c r="E360" s="1" t="n">
        <v>46263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45678</v>
      </c>
      <c r="E361" s="1" t="n">
        <v>46263</v>
      </c>
      <c r="F361" t="inlineStr">
        <is>
          <t>VÄSTERBOTTENS LÄN</t>
        </is>
      </c>
      <c r="G361" t="inlineStr">
        <is>
          <t>DOROTEA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32821-2024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45516</v>
      </c>
      <c r="E362" s="1" t="n">
        <v>46263</v>
      </c>
      <c r="F362" t="inlineStr">
        <is>
          <t>VÄSTERBOTTENS LÄN</t>
        </is>
      </c>
      <c r="G362" t="inlineStr">
        <is>
          <t>DOROTEA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44889</v>
      </c>
      <c r="E363" s="1" t="n">
        <v>46263</v>
      </c>
      <c r="F363" t="inlineStr">
        <is>
          <t>VÄSTERBOTTENS LÄN</t>
        </is>
      </c>
      <c r="G363" t="inlineStr">
        <is>
          <t>DOROTEA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20755-2026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46263</v>
      </c>
      <c r="F364" t="inlineStr">
        <is>
          <t>VÄSTERBOTTENS LÄN</t>
        </is>
      </c>
      <c r="G364" t="inlineStr">
        <is>
          <t>DOROTEA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34107-2023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45125</v>
      </c>
      <c r="E365" s="1" t="n">
        <v>46263</v>
      </c>
      <c r="F365" t="inlineStr">
        <is>
          <t>VÄSTERBOTTENS LÄN</t>
        </is>
      </c>
      <c r="G365" t="inlineStr">
        <is>
          <t>DOROTEA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35000-2023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45142</v>
      </c>
      <c r="E366" s="1" t="n">
        <v>46263</v>
      </c>
      <c r="F366" t="inlineStr">
        <is>
          <t>VÄSTERBOTTENS LÄN</t>
        </is>
      </c>
      <c r="G366" t="inlineStr">
        <is>
          <t>DOROTEA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52276-2023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46263</v>
      </c>
      <c r="F367" t="inlineStr">
        <is>
          <t>VÄSTERBOTTENS LÄN</t>
        </is>
      </c>
      <c r="G367" t="inlineStr">
        <is>
          <t>DOROTEA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53795-2022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44876</v>
      </c>
      <c r="E368" s="1" t="n">
        <v>46263</v>
      </c>
      <c r="F368" t="inlineStr">
        <is>
          <t>VÄSTERBOTTENS LÄN</t>
        </is>
      </c>
      <c r="G368" t="inlineStr">
        <is>
          <t>DOROTEA</t>
        </is>
      </c>
      <c r="I368" t="n">
        <v>12.3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13170-2025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45735</v>
      </c>
      <c r="E369" s="1" t="n">
        <v>46263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5.1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46263</v>
      </c>
      <c r="F370" t="inlineStr">
        <is>
          <t>VÄSTERBOTTENS LÄN</t>
        </is>
      </c>
      <c r="G370" t="inlineStr">
        <is>
          <t>DOROTEA</t>
        </is>
      </c>
      <c r="I370" t="n">
        <v>5.7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20231-2026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46136</v>
      </c>
      <c r="E371" s="1" t="n">
        <v>46263</v>
      </c>
      <c r="F371" t="inlineStr">
        <is>
          <t>VÄSTERBOTTENS LÄN</t>
        </is>
      </c>
      <c r="G371" t="inlineStr">
        <is>
          <t>DOROTEA</t>
        </is>
      </c>
      <c r="I371" t="n">
        <v>21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46263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20680-2026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46141</v>
      </c>
      <c r="E373" s="1" t="n">
        <v>46263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46136</v>
      </c>
      <c r="E374" s="1" t="n">
        <v>46263</v>
      </c>
      <c r="F374" t="inlineStr">
        <is>
          <t>VÄSTERBOTTENS LÄN</t>
        </is>
      </c>
      <c r="G374" t="inlineStr">
        <is>
          <t>DOROTEA</t>
        </is>
      </c>
      <c r="I374" t="n">
        <v>17.8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46263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21152-2026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46146</v>
      </c>
      <c r="E376" s="1" t="n">
        <v>46263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21338-2026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46147</v>
      </c>
      <c r="E377" s="1" t="n">
        <v>46263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46147</v>
      </c>
      <c r="E378" s="1" t="n">
        <v>46263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21749-2026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46149</v>
      </c>
      <c r="E379" s="1" t="n">
        <v>46263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46263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7.2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22450-2024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45446</v>
      </c>
      <c r="E381" s="1" t="n">
        <v>46263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21902-2026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46263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27762-2026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46263</v>
      </c>
      <c r="F383" t="inlineStr">
        <is>
          <t>VÄSTERBOTTENS LÄN</t>
        </is>
      </c>
      <c r="G383" t="inlineStr">
        <is>
          <t>DOROTEA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27777-2026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46263</v>
      </c>
      <c r="F384" t="inlineStr">
        <is>
          <t>VÄSTERBOTTENS LÄN</t>
        </is>
      </c>
      <c r="G384" t="inlineStr">
        <is>
          <t>DOROTEA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27780-2026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46263</v>
      </c>
      <c r="F385" t="inlineStr">
        <is>
          <t>VÄSTERBOTTENS LÄN</t>
        </is>
      </c>
      <c r="G385" t="inlineStr">
        <is>
          <t>DOROTEA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45642</v>
      </c>
      <c r="E386" s="1" t="n">
        <v>46263</v>
      </c>
      <c r="F386" t="inlineStr">
        <is>
          <t>VÄSTERBOTTENS LÄN</t>
        </is>
      </c>
      <c r="G386" t="inlineStr">
        <is>
          <t>DOROTEA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45713</v>
      </c>
      <c r="E387" s="1" t="n">
        <v>46263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46263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60015-2023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45257</v>
      </c>
      <c r="E389" s="1" t="n">
        <v>46263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55888-2022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44888</v>
      </c>
      <c r="E390" s="1" t="n">
        <v>46263</v>
      </c>
      <c r="F390" t="inlineStr">
        <is>
          <t>VÄSTERBOTTENS LÄN</t>
        </is>
      </c>
      <c r="G390" t="inlineStr">
        <is>
          <t>DOROTEA</t>
        </is>
      </c>
      <c r="I390" t="n">
        <v>7.6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22214-2026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46263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16.4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44960</v>
      </c>
      <c r="E392" s="1" t="n">
        <v>46263</v>
      </c>
      <c r="F392" t="inlineStr">
        <is>
          <t>VÄSTERBOTTENS LÄN</t>
        </is>
      </c>
      <c r="G392" t="inlineStr">
        <is>
          <t>DOROTEA</t>
        </is>
      </c>
      <c r="I392" t="n">
        <v>4.4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15352-2025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45747</v>
      </c>
      <c r="E393" s="1" t="n">
        <v>46263</v>
      </c>
      <c r="F393" t="inlineStr">
        <is>
          <t>VÄSTERBOTTENS LÄN</t>
        </is>
      </c>
      <c r="G393" t="inlineStr">
        <is>
          <t>DOROTEA</t>
        </is>
      </c>
      <c r="I393" t="n">
        <v>10.3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45315</v>
      </c>
      <c r="E394" s="1" t="n">
        <v>46263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10402-2025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45720</v>
      </c>
      <c r="E395" s="1" t="n">
        <v>46263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46155</v>
      </c>
      <c r="E396" s="1" t="n">
        <v>46263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59394-2023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45253</v>
      </c>
      <c r="E397" s="1" t="n">
        <v>46263</v>
      </c>
      <c r="F397" t="inlineStr">
        <is>
          <t>VÄSTERBOTTENS LÄN</t>
        </is>
      </c>
      <c r="G397" t="inlineStr">
        <is>
          <t>DOROTEA</t>
        </is>
      </c>
      <c r="I397" t="n">
        <v>28.8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27305-2024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45471</v>
      </c>
      <c r="E398" s="1" t="n">
        <v>46263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28549-2023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45103</v>
      </c>
      <c r="E399" s="1" t="n">
        <v>46263</v>
      </c>
      <c r="F399" t="inlineStr">
        <is>
          <t>VÄSTERBOTTENS LÄN</t>
        </is>
      </c>
      <c r="G399" t="inlineStr">
        <is>
          <t>DOROTEA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46263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46160</v>
      </c>
      <c r="E401" s="1" t="n">
        <v>46263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46263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45882</v>
      </c>
      <c r="E403" s="1" t="n">
        <v>46263</v>
      </c>
      <c r="F403" t="inlineStr">
        <is>
          <t>VÄSTERBOTTENS LÄN</t>
        </is>
      </c>
      <c r="G403" t="inlineStr">
        <is>
          <t>DOROTEA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31497-2024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45505</v>
      </c>
      <c r="E404" s="1" t="n">
        <v>46263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46263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46162</v>
      </c>
      <c r="E406" s="1" t="n">
        <v>46263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30461-2024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45491</v>
      </c>
      <c r="E407" s="1" t="n">
        <v>46263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45962</v>
      </c>
      <c r="E408" s="1" t="n">
        <v>46263</v>
      </c>
      <c r="F408" t="inlineStr">
        <is>
          <t>VÄSTERBOTTENS LÄN</t>
        </is>
      </c>
      <c r="G408" t="inlineStr">
        <is>
          <t>DOROTEA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46263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46263</v>
      </c>
      <c r="F410" t="inlineStr">
        <is>
          <t>VÄSTERBOTTENS LÄN</t>
        </is>
      </c>
      <c r="G410" t="inlineStr">
        <is>
          <t>DOROTEA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50582-2024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45600</v>
      </c>
      <c r="E411" s="1" t="n">
        <v>46263</v>
      </c>
      <c r="F411" t="inlineStr">
        <is>
          <t>VÄSTERBOTTENS LÄN</t>
        </is>
      </c>
      <c r="G411" t="inlineStr">
        <is>
          <t>DOROTEA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46263</v>
      </c>
      <c r="F412" t="inlineStr">
        <is>
          <t>VÄSTERBOTTENS LÄN</t>
        </is>
      </c>
      <c r="G412" t="inlineStr">
        <is>
          <t>DOROTEA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44979</v>
      </c>
      <c r="E413" s="1" t="n">
        <v>46263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7.7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46176</v>
      </c>
      <c r="E414" s="1" t="n">
        <v>46263</v>
      </c>
      <c r="F414" t="inlineStr">
        <is>
          <t>VÄSTERBOTTENS LÄN</t>
        </is>
      </c>
      <c r="G414" t="inlineStr">
        <is>
          <t>DOROTEA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46263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46263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46263</v>
      </c>
      <c r="F417" t="inlineStr">
        <is>
          <t>VÄSTERBOTTENS LÄN</t>
        </is>
      </c>
      <c r="G417" t="inlineStr">
        <is>
          <t>DOROTEA</t>
        </is>
      </c>
      <c r="I417" t="n">
        <v>26.2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31573-2026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46224</v>
      </c>
      <c r="E418" s="1" t="n">
        <v>46263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46224</v>
      </c>
      <c r="E419" s="1" t="n">
        <v>46263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46263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25682-2026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46263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31575-2026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46224</v>
      </c>
      <c r="E422" s="1" t="n">
        <v>46263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26237-2026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46182</v>
      </c>
      <c r="E423" s="1" t="n">
        <v>46263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46263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46185</v>
      </c>
      <c r="E425" s="1" t="n">
        <v>46263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7.4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27738-2026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46191</v>
      </c>
      <c r="E426" s="1" t="n">
        <v>46263</v>
      </c>
      <c r="F426" t="inlineStr">
        <is>
          <t>VÄSTERBOTTENS LÄN</t>
        </is>
      </c>
      <c r="G426" t="inlineStr">
        <is>
          <t>DOROTEA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28176-2026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46195</v>
      </c>
      <c r="E427" s="1" t="n">
        <v>46263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28180-2026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46195</v>
      </c>
      <c r="E428" s="1" t="n">
        <v>46263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28360-2026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46196</v>
      </c>
      <c r="E429" s="1" t="n">
        <v>46263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49.5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28782-2026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46263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7.3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28741-2026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46263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46263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46204</v>
      </c>
      <c r="E433" s="1" t="n">
        <v>46263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9.300000000000001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46248</v>
      </c>
      <c r="E434" s="1" t="n">
        <v>46263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33364-2026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46247</v>
      </c>
      <c r="E435" s="1" t="n">
        <v>46263</v>
      </c>
      <c r="F435" t="inlineStr">
        <is>
          <t>VÄSTERBOTTENS LÄN</t>
        </is>
      </c>
      <c r="G435" t="inlineStr">
        <is>
          <t>DOROTEA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46206</v>
      </c>
      <c r="E436" s="1" t="n">
        <v>46263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31093-2026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46263</v>
      </c>
      <c r="F437" t="inlineStr">
        <is>
          <t>VÄSTERBOTTENS LÄN</t>
        </is>
      </c>
      <c r="G437" t="inlineStr">
        <is>
          <t>DOROTEA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46206</v>
      </c>
      <c r="E438" s="1" t="n">
        <v>46263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46263</v>
      </c>
      <c r="F439" t="inlineStr">
        <is>
          <t>VÄSTERBOTTENS LÄN</t>
        </is>
      </c>
      <c r="G439" t="inlineStr">
        <is>
          <t>DOROTEA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46263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30645-2026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46211</v>
      </c>
      <c r="E441" s="1" t="n">
        <v>46263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46263</v>
      </c>
      <c r="F442" t="inlineStr">
        <is>
          <t>VÄSTERBOTTENS LÄN</t>
        </is>
      </c>
      <c r="G442" t="inlineStr">
        <is>
          <t>DOROTEA</t>
        </is>
      </c>
      <c r="I442" t="n">
        <v>13.6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46263</v>
      </c>
      <c r="F443" t="inlineStr">
        <is>
          <t>VÄSTERBOTTENS LÄN</t>
        </is>
      </c>
      <c r="G443" t="inlineStr">
        <is>
          <t>DOROTEA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46253</v>
      </c>
      <c r="E444" s="1" t="n">
        <v>46263</v>
      </c>
      <c r="F444" t="inlineStr">
        <is>
          <t>VÄSTERBOTTENS LÄN</t>
        </is>
      </c>
      <c r="G444" t="inlineStr">
        <is>
          <t>DOROTEA</t>
        </is>
      </c>
      <c r="I444" t="n">
        <v>11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46263</v>
      </c>
      <c r="F445" t="inlineStr">
        <is>
          <t>VÄSTERBOTTENS LÄN</t>
        </is>
      </c>
      <c r="G445" t="inlineStr">
        <is>
          <t>DOROTEA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30821-2026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46263</v>
      </c>
      <c r="F446" t="inlineStr">
        <is>
          <t>VÄSTERBOTTENS LÄN</t>
        </is>
      </c>
      <c r="G446" t="inlineStr">
        <is>
          <t>DOROTEA</t>
        </is>
      </c>
      <c r="I446" t="n">
        <v>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30823-2026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46263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31016-2026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46213</v>
      </c>
      <c r="E448" s="1" t="n">
        <v>46263</v>
      </c>
      <c r="F448" t="inlineStr">
        <is>
          <t>VÄSTERBOTTENS LÄN</t>
        </is>
      </c>
      <c r="G448" t="inlineStr">
        <is>
          <t>DOROTEA</t>
        </is>
      </c>
      <c r="I448" t="n">
        <v>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34448-2026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46263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31006-2026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46213</v>
      </c>
      <c r="E450" s="1" t="n">
        <v>46263</v>
      </c>
      <c r="F450" t="inlineStr">
        <is>
          <t>VÄSTERBOTTENS LÄN</t>
        </is>
      </c>
      <c r="G450" t="inlineStr">
        <is>
          <t>DOROTEA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31181-2026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46217</v>
      </c>
      <c r="E451" s="1" t="n">
        <v>46263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15.6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31179-2026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46217</v>
      </c>
      <c r="E452" s="1" t="n">
        <v>46263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31259-2026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46218</v>
      </c>
      <c r="E453" s="1" t="n">
        <v>46263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46218</v>
      </c>
      <c r="E454" s="1" t="n">
        <v>46263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46263</v>
      </c>
      <c r="F455" t="inlineStr">
        <is>
          <t>VÄSTERBOTTENS LÄN</t>
        </is>
      </c>
      <c r="G455" t="inlineStr">
        <is>
          <t>DOROTEA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35353-2026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46261</v>
      </c>
      <c r="E456" s="1" t="n">
        <v>46263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46261</v>
      </c>
      <c r="E457" s="1" t="n">
        <v>46263</v>
      </c>
      <c r="F457" t="inlineStr">
        <is>
          <t>VÄSTERBOTTENS LÄN</t>
        </is>
      </c>
      <c r="G457" t="inlineStr">
        <is>
          <t>DOROTEA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35352-2026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46261</v>
      </c>
      <c r="E458" s="1" t="n">
        <v>46263</v>
      </c>
      <c r="F458" t="inlineStr">
        <is>
          <t>VÄSTERBOTTENS LÄN</t>
        </is>
      </c>
      <c r="G458" t="inlineStr">
        <is>
          <t>DOROTEA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31439-2026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46220</v>
      </c>
      <c r="E459" s="1" t="n">
        <v>46263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35296-2026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46261</v>
      </c>
      <c r="E460" s="1" t="n">
        <v>46263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35500-2026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46262</v>
      </c>
      <c r="E461" s="1" t="n">
        <v>46263</v>
      </c>
      <c r="F461" t="inlineStr">
        <is>
          <t>VÄSTERBOTTENS LÄN</t>
        </is>
      </c>
      <c r="G461" t="inlineStr">
        <is>
          <t>DOROTEA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31260-2026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46218</v>
      </c>
      <c r="E462" s="1" t="n">
        <v>46263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44357-2025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45916</v>
      </c>
      <c r="E463" s="1" t="n">
        <v>46263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33267-2025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45840</v>
      </c>
      <c r="E464" s="1" t="n">
        <v>46263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46263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46263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46263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46263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46263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46263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1763-2026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46189</v>
      </c>
      <c r="E471" s="1" t="n">
        <v>46263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2026-08-29T01:51:45Z</dcterms:created>
  <dcterms:modified xmlns:dcterms="http://purl.org/dc/terms/" xmlns:xsi="http://www.w3.org/2001/XMLSchema-instance" xsi:type="dcterms:W3CDTF">2026-08-29T01:51:46Z</dcterms:modified>
</cp:coreProperties>
</file>