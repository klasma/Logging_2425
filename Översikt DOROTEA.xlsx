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46270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46270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46270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46270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46270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22116-2025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45785</v>
      </c>
      <c r="E7" s="1" t="n">
        <v>46270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10.1</v>
      </c>
      <c r="J7" t="n">
        <v>2</v>
      </c>
      <c r="K7" t="n">
        <v>2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9</v>
      </c>
      <c r="T7" t="n">
        <v>65</v>
      </c>
      <c r="U7" t="n">
        <v>65</v>
      </c>
      <c r="V7" s="2" t="inlineStr">
        <is>
          <t>Grantickeporing
Tajgaskinn
Harticka
Lunglav
Skrovellav
Tretåig hackspett
Bårdlav
Trådticka
Spillkråka</t>
        </is>
      </c>
      <c r="W7">
        <f>HYPERLINK("https://klasma.github.io/Logging_2425/artfynd/A 22116-2025 artfynd.xlsx", "A 22116-2025")</f>
        <v/>
      </c>
      <c r="X7">
        <f>HYPERLINK("https://klasma.github.io/Logging_2425/kartor/A 22116-2025 karta.png", "A 22116-2025")</f>
        <v/>
      </c>
      <c r="Y7">
        <f>HYPERLINK("https://klasma.github.io/Logging_2425/kartor_geotiff/A 22116-2025 georefererad karta.tif", "A 22116-2025")</f>
        <v/>
      </c>
      <c r="AA7">
        <f>HYPERLINK("https://klasma.github.io/Logging_2425/klagomål/A 22116-2025 FSC-klagomål.docx", "A 22116-2025")</f>
        <v/>
      </c>
      <c r="AB7">
        <f>HYPERLINK("https://klasma.github.io/Logging_2425/klagomålsmail/A 22116-2025 FSC-klagomål mail.docx", "A 22116-2025")</f>
        <v/>
      </c>
      <c r="AC7">
        <f>HYPERLINK("https://klasma.github.io/Logging_2425/tillsyn/A 22116-2025 tillsynsbegäran.docx", "A 22116-2025")</f>
        <v/>
      </c>
      <c r="AD7">
        <f>HYPERLINK("https://klasma.github.io/Logging_2425/tillsynsmail/A 22116-2025 tillsynsbegäran mail.docx", "A 22116-2025")</f>
        <v/>
      </c>
      <c r="AE7">
        <f>HYPERLINK("https://klasma.github.io/Logging_2425/fåglar/A 22116-2025 prioriterade fågelarter.docx", "A 22116-2025")</f>
        <v/>
      </c>
    </row>
    <row r="8" ht="15" customHeight="1">
      <c r="A8" t="inlineStr">
        <is>
          <t>A 53274-2024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45614</v>
      </c>
      <c r="E8" s="1" t="n">
        <v>46270</v>
      </c>
      <c r="F8" t="inlineStr">
        <is>
          <t>VÄSTERBOTTENS LÄN</t>
        </is>
      </c>
      <c r="G8" t="inlineStr">
        <is>
          <t>DOROTEA</t>
        </is>
      </c>
      <c r="I8" t="n">
        <v>15</v>
      </c>
      <c r="J8" t="n">
        <v>3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8</v>
      </c>
      <c r="T8" t="n">
        <v>26</v>
      </c>
      <c r="U8" t="n">
        <v>26</v>
      </c>
      <c r="V8" s="2" t="inlineStr">
        <is>
          <t>Garnlav
Harticka
Kolflarnlav
Mörk kolflarnlav
Talltita
Tretåig hackspett
Luddlav
Spillkråka</t>
        </is>
      </c>
      <c r="W8">
        <f>HYPERLINK("https://klasma.github.io/Logging_2425/artfynd/A 53274-2024 artfynd.xlsx", "A 53274-2024")</f>
        <v/>
      </c>
      <c r="X8">
        <f>HYPERLINK("https://klasma.github.io/Logging_2425/kartor/A 53274-2024 karta.png", "A 53274-2024")</f>
        <v/>
      </c>
      <c r="Y8">
        <f>HYPERLINK("https://klasma.github.io/Logging_2425/kartor_geotiff/A 53274-2024 georefererad karta.tif", "A 53274-2024")</f>
        <v/>
      </c>
      <c r="AA8">
        <f>HYPERLINK("https://klasma.github.io/Logging_2425/klagomål/A 53274-2024 FSC-klagomål.docx", "A 53274-2024")</f>
        <v/>
      </c>
      <c r="AB8">
        <f>HYPERLINK("https://klasma.github.io/Logging_2425/klagomålsmail/A 53274-2024 FSC-klagomål mail.docx", "A 53274-2024")</f>
        <v/>
      </c>
      <c r="AC8">
        <f>HYPERLINK("https://klasma.github.io/Logging_2425/tillsyn/A 53274-2024 tillsynsbegäran.docx", "A 53274-2024")</f>
        <v/>
      </c>
      <c r="AD8">
        <f>HYPERLINK("https://klasma.github.io/Logging_2425/tillsynsmail/A 53274-2024 tillsynsbegäran mail.docx", "A 53274-2024")</f>
        <v/>
      </c>
      <c r="AE8">
        <f>HYPERLINK("https://klasma.github.io/Logging_2425/fåglar/A 53274-2024 prioriterade fågelarter.docx", "A 53274-2024")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46270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46270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46270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46270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46270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46270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46270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46270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46270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46270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46270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46270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46270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46270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46270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46270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46270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46270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58736-2022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44902</v>
      </c>
      <c r="E27" s="1" t="n">
        <v>46270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58736-2022 artfynd.xlsx", "A 58736-2022")</f>
        <v/>
      </c>
      <c r="X27">
        <f>HYPERLINK("https://klasma.github.io/Logging_2425/kartor/A 58736-2022 karta.png", "A 58736-2022")</f>
        <v/>
      </c>
      <c r="Y27">
        <f>HYPERLINK("https://klasma.github.io/Logging_2425/kartor_geotiff/A 58736-2022 georefererad karta.tif", "A 58736-2022")</f>
        <v/>
      </c>
      <c r="AA27">
        <f>HYPERLINK("https://klasma.github.io/Logging_2425/klagomål/A 58736-2022 FSC-klagomål.docx", "A 58736-2022")</f>
        <v/>
      </c>
      <c r="AB27">
        <f>HYPERLINK("https://klasma.github.io/Logging_2425/klagomålsmail/A 58736-2022 FSC-klagomål mail.docx", "A 58736-2022")</f>
        <v/>
      </c>
      <c r="AC27">
        <f>HYPERLINK("https://klasma.github.io/Logging_2425/tillsyn/A 58736-2022 tillsynsbegäran.docx", "A 58736-2022")</f>
        <v/>
      </c>
      <c r="AD27">
        <f>HYPERLINK("https://klasma.github.io/Logging_2425/tillsynsmail/A 58736-2022 tillsynsbegäran mail.docx", "A 58736-2022")</f>
        <v/>
      </c>
    </row>
    <row r="28" ht="15" customHeight="1">
      <c r="A28" t="inlineStr">
        <is>
          <t>A 27234-2024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45471</v>
      </c>
      <c r="E28" s="1" t="n">
        <v>46270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2.2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Rynkskinn
Skrovellav</t>
        </is>
      </c>
      <c r="W28">
        <f>HYPERLINK("https://klasma.github.io/Logging_2425/artfynd/A 27234-2024 artfynd.xlsx", "A 27234-2024")</f>
        <v/>
      </c>
      <c r="X28">
        <f>HYPERLINK("https://klasma.github.io/Logging_2425/kartor/A 27234-2024 karta.png", "A 27234-2024")</f>
        <v/>
      </c>
      <c r="Y28">
        <f>HYPERLINK("https://klasma.github.io/Logging_2425/kartor_geotiff/A 27234-2024 georefererad karta.tif", "A 27234-2024")</f>
        <v/>
      </c>
      <c r="AA28">
        <f>HYPERLINK("https://klasma.github.io/Logging_2425/klagomål/A 27234-2024 FSC-klagomål.docx", "A 27234-2024")</f>
        <v/>
      </c>
      <c r="AB28">
        <f>HYPERLINK("https://klasma.github.io/Logging_2425/klagomålsmail/A 27234-2024 FSC-klagomål mail.docx", "A 27234-2024")</f>
        <v/>
      </c>
      <c r="AC28">
        <f>HYPERLINK("https://klasma.github.io/Logging_2425/tillsyn/A 27234-2024 tillsynsbegäran.docx", "A 27234-2024")</f>
        <v/>
      </c>
      <c r="AD28">
        <f>HYPERLINK("https://klasma.github.io/Logging_2425/tillsynsmail/A 27234-2024 tillsynsbegäran mail.docx", "A 27234-2024")</f>
        <v/>
      </c>
    </row>
    <row r="29" ht="15" customHeight="1">
      <c r="A29" t="inlineStr">
        <is>
          <t>A 33263-2025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46270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Vedticka</t>
        </is>
      </c>
      <c r="W29">
        <f>HYPERLINK("https://klasma.github.io/Logging_2425/artfynd/A 33263-2025 artfynd.xlsx", "A 33263-2025")</f>
        <v/>
      </c>
      <c r="X29">
        <f>HYPERLINK("https://klasma.github.io/Logging_2425/kartor/A 33263-2025 karta.png", "A 33263-2025")</f>
        <v/>
      </c>
      <c r="Y29">
        <f>HYPERLINK("https://klasma.github.io/Logging_2425/kartor_geotiff/A 33263-2025 georefererad karta.tif", "A 33263-2025")</f>
        <v/>
      </c>
      <c r="AA29">
        <f>HYPERLINK("https://klasma.github.io/Logging_2425/klagomål/A 33263-2025 FSC-klagomål.docx", "A 33263-2025")</f>
        <v/>
      </c>
      <c r="AB29">
        <f>HYPERLINK("https://klasma.github.io/Logging_2425/klagomålsmail/A 33263-2025 FSC-klagomål mail.docx", "A 33263-2025")</f>
        <v/>
      </c>
      <c r="AC29">
        <f>HYPERLINK("https://klasma.github.io/Logging_2425/tillsyn/A 33263-2025 tillsynsbegäran.docx", "A 33263-2025")</f>
        <v/>
      </c>
      <c r="AD29">
        <f>HYPERLINK("https://klasma.github.io/Logging_2425/tillsynsmail/A 33263-2025 tillsynsbegäran mail.docx", "A 33263-2025")</f>
        <v/>
      </c>
    </row>
    <row r="30" ht="15" customHeight="1">
      <c r="A30" t="inlineStr">
        <is>
          <t>A 49045-2025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46270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4.5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Tretåig hackspett</t>
        </is>
      </c>
      <c r="W30">
        <f>HYPERLINK("https://klasma.github.io/Logging_2425/artfynd/A 49045-2025 artfynd.xlsx", "A 49045-2025")</f>
        <v/>
      </c>
      <c r="X30">
        <f>HYPERLINK("https://klasma.github.io/Logging_2425/kartor/A 49045-2025 karta.png", "A 49045-2025")</f>
        <v/>
      </c>
      <c r="Y30">
        <f>HYPERLINK("https://klasma.github.io/Logging_2425/kartor_geotiff/A 49045-2025 georefererad karta.tif", "A 49045-2025")</f>
        <v/>
      </c>
      <c r="AA30">
        <f>HYPERLINK("https://klasma.github.io/Logging_2425/klagomål/A 49045-2025 FSC-klagomål.docx", "A 49045-2025")</f>
        <v/>
      </c>
      <c r="AB30">
        <f>HYPERLINK("https://klasma.github.io/Logging_2425/klagomålsmail/A 49045-2025 FSC-klagomål mail.docx", "A 49045-2025")</f>
        <v/>
      </c>
      <c r="AC30">
        <f>HYPERLINK("https://klasma.github.io/Logging_2425/tillsyn/A 49045-2025 tillsynsbegäran.docx", "A 49045-2025")</f>
        <v/>
      </c>
      <c r="AD30">
        <f>HYPERLINK("https://klasma.github.io/Logging_2425/tillsynsmail/A 49045-2025 tillsynsbegäran mail.docx", "A 49045-2025")</f>
        <v/>
      </c>
      <c r="AE30">
        <f>HYPERLINK("https://klasma.github.io/Logging_2425/fåglar/A 49045-2025 prioriterade fågelarter.docx", "A 49045-2025")</f>
        <v/>
      </c>
    </row>
    <row r="31" ht="15" customHeight="1">
      <c r="A31" t="inlineStr">
        <is>
          <t>A 40013-2024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45553</v>
      </c>
      <c r="E31" s="1" t="n">
        <v>46270</v>
      </c>
      <c r="F31" t="inlineStr">
        <is>
          <t>VÄSTERBOTTENS LÄN</t>
        </is>
      </c>
      <c r="G31" t="inlineStr">
        <is>
          <t>DOROTEA</t>
        </is>
      </c>
      <c r="H31" t="inlineStr">
        <is>
          <t>Övriga statliga verk och myndigheter</t>
        </is>
      </c>
      <c r="I31" t="n">
        <v>1.5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Tretåig hackspett
Tjäder</t>
        </is>
      </c>
      <c r="W31">
        <f>HYPERLINK("https://klasma.github.io/Logging_2425/artfynd/A 40013-2024 artfynd.xlsx", "A 40013-2024")</f>
        <v/>
      </c>
      <c r="X31">
        <f>HYPERLINK("https://klasma.github.io/Logging_2425/kartor/A 40013-2024 karta.png", "A 40013-2024")</f>
        <v/>
      </c>
      <c r="Y31">
        <f>HYPERLINK("https://klasma.github.io/Logging_2425/kartor_geotiff/A 40013-2024 georefererad karta.tif", "A 40013-2024")</f>
        <v/>
      </c>
      <c r="AA31">
        <f>HYPERLINK("https://klasma.github.io/Logging_2425/klagomål/A 40013-2024 FSC-klagomål.docx", "A 40013-2024")</f>
        <v/>
      </c>
      <c r="AB31">
        <f>HYPERLINK("https://klasma.github.io/Logging_2425/klagomålsmail/A 40013-2024 FSC-klagomål mail.docx", "A 40013-2024")</f>
        <v/>
      </c>
      <c r="AC31">
        <f>HYPERLINK("https://klasma.github.io/Logging_2425/tillsyn/A 40013-2024 tillsynsbegäran.docx", "A 40013-2024")</f>
        <v/>
      </c>
      <c r="AD31">
        <f>HYPERLINK("https://klasma.github.io/Logging_2425/tillsynsmail/A 40013-2024 tillsynsbegäran mail.docx", "A 40013-2024")</f>
        <v/>
      </c>
      <c r="AE31">
        <f>HYPERLINK("https://klasma.github.io/Logging_2425/fåglar/A 40013-2024 prioriterade fågelarter.docx", "A 40013-2024")</f>
        <v/>
      </c>
    </row>
    <row r="32" ht="15" customHeight="1">
      <c r="A32" t="inlineStr">
        <is>
          <t>A 4554-2026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46047</v>
      </c>
      <c r="E32" s="1" t="n">
        <v>46270</v>
      </c>
      <c r="F32" t="inlineStr">
        <is>
          <t>VÄSTERBOTTENS LÄN</t>
        </is>
      </c>
      <c r="G32" t="inlineStr">
        <is>
          <t>DOROTEA</t>
        </is>
      </c>
      <c r="I32" t="n">
        <v>6.1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Violettkantad guldvinge
Kricka</t>
        </is>
      </c>
      <c r="W32">
        <f>HYPERLINK("https://klasma.github.io/Logging_2425/artfynd/A 4554-2026 artfynd.xlsx", "A 4554-2026")</f>
        <v/>
      </c>
      <c r="X32">
        <f>HYPERLINK("https://klasma.github.io/Logging_2425/kartor/A 4554-2026 karta.png", "A 4554-2026")</f>
        <v/>
      </c>
      <c r="Y32">
        <f>HYPERLINK("https://klasma.github.io/Logging_2425/kartor_geotiff/A 4554-2026 georefererad karta.tif", "A 4554-2026")</f>
        <v/>
      </c>
      <c r="AA32">
        <f>HYPERLINK("https://klasma.github.io/Logging_2425/klagomål/A 4554-2026 FSC-klagomål.docx", "A 4554-2026")</f>
        <v/>
      </c>
      <c r="AB32">
        <f>HYPERLINK("https://klasma.github.io/Logging_2425/klagomålsmail/A 4554-2026 FSC-klagomål mail.docx", "A 4554-2026")</f>
        <v/>
      </c>
      <c r="AC32">
        <f>HYPERLINK("https://klasma.github.io/Logging_2425/tillsyn/A 4554-2026 tillsynsbegäran.docx", "A 4554-2026")</f>
        <v/>
      </c>
      <c r="AD32">
        <f>HYPERLINK("https://klasma.github.io/Logging_2425/tillsynsmail/A 4554-2026 tillsynsbegäran mail.docx", "A 4554-2026")</f>
        <v/>
      </c>
      <c r="AE32">
        <f>HYPERLINK("https://klasma.github.io/Logging_2425/fåglar/A 4554-2026 prioriterade fågelarter.docx", "A 4554-2026")</f>
        <v/>
      </c>
    </row>
    <row r="33" ht="15" customHeight="1">
      <c r="A33" t="inlineStr">
        <is>
          <t>A 19589-2024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45429</v>
      </c>
      <c r="E33" s="1" t="n">
        <v>46270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Lunglav
Talltita</t>
        </is>
      </c>
      <c r="W33">
        <f>HYPERLINK("https://klasma.github.io/Logging_2425/artfynd/A 19589-2024 artfynd.xlsx", "A 19589-2024")</f>
        <v/>
      </c>
      <c r="X33">
        <f>HYPERLINK("https://klasma.github.io/Logging_2425/kartor/A 19589-2024 karta.png", "A 19589-2024")</f>
        <v/>
      </c>
      <c r="Y33">
        <f>HYPERLINK("https://klasma.github.io/Logging_2425/kartor_geotiff/A 19589-2024 georefererad karta.tif", "A 19589-2024")</f>
        <v/>
      </c>
      <c r="AA33">
        <f>HYPERLINK("https://klasma.github.io/Logging_2425/klagomål/A 19589-2024 FSC-klagomål.docx", "A 19589-2024")</f>
        <v/>
      </c>
      <c r="AB33">
        <f>HYPERLINK("https://klasma.github.io/Logging_2425/klagomålsmail/A 19589-2024 FSC-klagomål mail.docx", "A 19589-2024")</f>
        <v/>
      </c>
      <c r="AC33">
        <f>HYPERLINK("https://klasma.github.io/Logging_2425/tillsyn/A 19589-2024 tillsynsbegäran.docx", "A 19589-2024")</f>
        <v/>
      </c>
      <c r="AD33">
        <f>HYPERLINK("https://klasma.github.io/Logging_2425/tillsynsmail/A 19589-2024 tillsynsbegäran mail.docx", "A 19589-2024")</f>
        <v/>
      </c>
      <c r="AE33">
        <f>HYPERLINK("https://klasma.github.io/Logging_2425/fåglar/A 19589-2024 prioriterade fågelarter.docx", "A 19589-2024")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46270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46270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46270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46270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46270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46270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46270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48089-2022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44855</v>
      </c>
      <c r="E41" s="1" t="n">
        <v>46270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9.199999999999999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Gammelgransskål</t>
        </is>
      </c>
      <c r="W41">
        <f>HYPERLINK("https://klasma.github.io/Logging_2425/artfynd/A 48089-2022 artfynd.xlsx", "A 48089-2022")</f>
        <v/>
      </c>
      <c r="X41">
        <f>HYPERLINK("https://klasma.github.io/Logging_2425/kartor/A 48089-2022 karta.png", "A 48089-2022")</f>
        <v/>
      </c>
      <c r="Y41">
        <f>HYPERLINK("https://klasma.github.io/Logging_2425/kartor_geotiff/A 48089-2022 georefererad karta.tif", "A 48089-2022")</f>
        <v/>
      </c>
      <c r="AA41">
        <f>HYPERLINK("https://klasma.github.io/Logging_2425/klagomål/A 48089-2022 FSC-klagomål.docx", "A 48089-2022")</f>
        <v/>
      </c>
      <c r="AB41">
        <f>HYPERLINK("https://klasma.github.io/Logging_2425/klagomålsmail/A 48089-2022 FSC-klagomål mail.docx", "A 48089-2022")</f>
        <v/>
      </c>
      <c r="AC41">
        <f>HYPERLINK("https://klasma.github.io/Logging_2425/tillsyn/A 48089-2022 tillsynsbegäran.docx", "A 48089-2022")</f>
        <v/>
      </c>
      <c r="AD41">
        <f>HYPERLINK("https://klasma.github.io/Logging_2425/tillsynsmail/A 48089-2022 tillsynsbegäran mail.docx", "A 48089-2022")</f>
        <v/>
      </c>
    </row>
    <row r="42" ht="15" customHeight="1">
      <c r="A42" t="inlineStr">
        <is>
          <t>A 50530-2025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45945</v>
      </c>
      <c r="E42" s="1" t="n">
        <v>46270</v>
      </c>
      <c r="F42" t="inlineStr">
        <is>
          <t>VÄSTERBOTTENS LÄN</t>
        </is>
      </c>
      <c r="G42" t="inlineStr">
        <is>
          <t>DOROTEA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Ängsnycklar</t>
        </is>
      </c>
      <c r="W42">
        <f>HYPERLINK("https://klasma.github.io/Logging_2425/artfynd/A 50530-2025 artfynd.xlsx", "A 50530-2025")</f>
        <v/>
      </c>
      <c r="X42">
        <f>HYPERLINK("https://klasma.github.io/Logging_2425/kartor/A 50530-2025 karta.png", "A 50530-2025")</f>
        <v/>
      </c>
      <c r="Y42">
        <f>HYPERLINK("https://klasma.github.io/Logging_2425/kartor_geotiff/A 50530-2025 georefererad karta.tif", "A 50530-2025")</f>
        <v/>
      </c>
      <c r="AA42">
        <f>HYPERLINK("https://klasma.github.io/Logging_2425/klagomål/A 50530-2025 FSC-klagomål.docx", "A 50530-2025")</f>
        <v/>
      </c>
      <c r="AB42">
        <f>HYPERLINK("https://klasma.github.io/Logging_2425/klagomålsmail/A 50530-2025 FSC-klagomål mail.docx", "A 50530-2025")</f>
        <v/>
      </c>
      <c r="AC42">
        <f>HYPERLINK("https://klasma.github.io/Logging_2425/tillsyn/A 50530-2025 tillsynsbegäran.docx", "A 50530-2025")</f>
        <v/>
      </c>
      <c r="AD42">
        <f>HYPERLINK("https://klasma.github.io/Logging_2425/tillsynsmail/A 50530-2025 tillsynsbegäran mail.docx", "A 50530-2025")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46270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46270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1278-2024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45302</v>
      </c>
      <c r="E45" s="1" t="n">
        <v>46270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Gräddticka</t>
        </is>
      </c>
      <c r="W45">
        <f>HYPERLINK("https://klasma.github.io/Logging_2425/artfynd/A 1278-2024 artfynd.xlsx", "A 1278-2024")</f>
        <v/>
      </c>
      <c r="X45">
        <f>HYPERLINK("https://klasma.github.io/Logging_2425/kartor/A 1278-2024 karta.png", "A 1278-2024")</f>
        <v/>
      </c>
      <c r="Y45">
        <f>HYPERLINK("https://klasma.github.io/Logging_2425/kartor_geotiff/A 1278-2024 georefererad karta.tif", "A 1278-2024")</f>
        <v/>
      </c>
      <c r="AA45">
        <f>HYPERLINK("https://klasma.github.io/Logging_2425/klagomål/A 1278-2024 FSC-klagomål.docx", "A 1278-2024")</f>
        <v/>
      </c>
      <c r="AB45">
        <f>HYPERLINK("https://klasma.github.io/Logging_2425/klagomålsmail/A 1278-2024 FSC-klagomål mail.docx", "A 1278-2024")</f>
        <v/>
      </c>
      <c r="AC45">
        <f>HYPERLINK("https://klasma.github.io/Logging_2425/tillsyn/A 1278-2024 tillsynsbegäran.docx", "A 1278-2024")</f>
        <v/>
      </c>
      <c r="AD45">
        <f>HYPERLINK("https://klasma.github.io/Logging_2425/tillsynsmail/A 1278-2024 tillsynsbegäran mail.docx", "A 1278-2024")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46270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21926-2026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46270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HYPERLINK("https://klasma.github.io/Logging_2425/artfynd/A 21926-2026 artfynd.xlsx", "A 21926-2026")</f>
        <v/>
      </c>
      <c r="X47">
        <f>HYPERLINK("https://klasma.github.io/Logging_2425/kartor/A 21926-2026 karta.png", "A 21926-2026")</f>
        <v/>
      </c>
      <c r="Y47">
        <f>HYPERLINK("https://klasma.github.io/Logging_2425/kartor_geotiff/A 21926-2026 georefererad karta.tif", "A 21926-2026")</f>
        <v/>
      </c>
      <c r="AA47">
        <f>HYPERLINK("https://klasma.github.io/Logging_2425/klagomål/A 21926-2026 FSC-klagomål.docx", "A 21926-2026")</f>
        <v/>
      </c>
      <c r="AB47">
        <f>HYPERLINK("https://klasma.github.io/Logging_2425/klagomålsmail/A 21926-2026 FSC-klagomål mail.docx", "A 21926-2026")</f>
        <v/>
      </c>
      <c r="AC47">
        <f>HYPERLINK("https://klasma.github.io/Logging_2425/tillsyn/A 21926-2026 tillsynsbegäran.docx", "A 21926-2026")</f>
        <v/>
      </c>
      <c r="AD47">
        <f>HYPERLINK("https://klasma.github.io/Logging_2425/tillsynsmail/A 21926-2026 tillsynsbegäran mail.docx", "A 21926-2026")</f>
        <v/>
      </c>
    </row>
    <row r="48" ht="15" customHeight="1">
      <c r="A48" t="inlineStr">
        <is>
          <t>A 57060-2024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46270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8.9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57060-2024 artfynd.xlsx", "A 57060-2024")</f>
        <v/>
      </c>
      <c r="X48">
        <f>HYPERLINK("https://klasma.github.io/Logging_2425/kartor/A 57060-2024 karta.png", "A 57060-2024")</f>
        <v/>
      </c>
      <c r="Y48">
        <f>HYPERLINK("https://klasma.github.io/Logging_2425/kartor_geotiff/A 57060-2024 georefererad karta.tif", "A 57060-2024")</f>
        <v/>
      </c>
      <c r="AA48">
        <f>HYPERLINK("https://klasma.github.io/Logging_2425/klagomål/A 57060-2024 FSC-klagomål.docx", "A 57060-2024")</f>
        <v/>
      </c>
      <c r="AB48">
        <f>HYPERLINK("https://klasma.github.io/Logging_2425/klagomålsmail/A 57060-2024 FSC-klagomål mail.docx", "A 57060-2024")</f>
        <v/>
      </c>
      <c r="AC48">
        <f>HYPERLINK("https://klasma.github.io/Logging_2425/tillsyn/A 57060-2024 tillsynsbegäran.docx", "A 57060-2024")</f>
        <v/>
      </c>
      <c r="AD48">
        <f>HYPERLINK("https://klasma.github.io/Logging_2425/tillsynsmail/A 57060-2024 tillsynsbegäran mail.docx", "A 57060-2024")</f>
        <v/>
      </c>
    </row>
    <row r="49" ht="15" customHeight="1">
      <c r="A49" t="inlineStr">
        <is>
          <t>A 20600-2023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45057</v>
      </c>
      <c r="E49" s="1" t="n">
        <v>46270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HYPERLINK("https://klasma.github.io/Logging_2425/artfynd/A 20600-2023 artfynd.xlsx", "A 20600-2023")</f>
        <v/>
      </c>
      <c r="X49">
        <f>HYPERLINK("https://klasma.github.io/Logging_2425/kartor/A 20600-2023 karta.png", "A 20600-2023")</f>
        <v/>
      </c>
      <c r="Y49">
        <f>HYPERLINK("https://klasma.github.io/Logging_2425/kartor_geotiff/A 20600-2023 georefererad karta.tif", "A 20600-2023")</f>
        <v/>
      </c>
      <c r="AA49">
        <f>HYPERLINK("https://klasma.github.io/Logging_2425/klagomål/A 20600-2023 FSC-klagomål.docx", "A 20600-2023")</f>
        <v/>
      </c>
      <c r="AB49">
        <f>HYPERLINK("https://klasma.github.io/Logging_2425/klagomålsmail/A 20600-2023 FSC-klagomål mail.docx", "A 20600-2023")</f>
        <v/>
      </c>
      <c r="AC49">
        <f>HYPERLINK("https://klasma.github.io/Logging_2425/tillsyn/A 20600-2023 tillsynsbegäran.docx", "A 20600-2023")</f>
        <v/>
      </c>
      <c r="AD49">
        <f>HYPERLINK("https://klasma.github.io/Logging_2425/tillsynsmail/A 20600-2023 tillsynsbegäran mail.docx", "A 20600-2023")</f>
        <v/>
      </c>
    </row>
    <row r="50" ht="15" customHeight="1">
      <c r="A50" t="inlineStr">
        <is>
          <t>A 25980-2026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46270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40.2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HYPERLINK("https://klasma.github.io/Logging_2425/artfynd/A 25980-2026 artfynd.xlsx", "A 25980-2026")</f>
        <v/>
      </c>
      <c r="X50">
        <f>HYPERLINK("https://klasma.github.io/Logging_2425/kartor/A 25980-2026 karta.png", "A 25980-2026")</f>
        <v/>
      </c>
      <c r="Y50">
        <f>HYPERLINK("https://klasma.github.io/Logging_2425/kartor_geotiff/A 25980-2026 georefererad karta.tif", "A 25980-2026")</f>
        <v/>
      </c>
      <c r="AA50">
        <f>HYPERLINK("https://klasma.github.io/Logging_2425/klagomål/A 25980-2026 FSC-klagomål.docx", "A 25980-2026")</f>
        <v/>
      </c>
      <c r="AB50">
        <f>HYPERLINK("https://klasma.github.io/Logging_2425/klagomålsmail/A 25980-2026 FSC-klagomål mail.docx", "A 25980-2026")</f>
        <v/>
      </c>
      <c r="AC50">
        <f>HYPERLINK("https://klasma.github.io/Logging_2425/tillsyn/A 25980-2026 tillsynsbegäran.docx", "A 25980-2026")</f>
        <v/>
      </c>
      <c r="AD50">
        <f>HYPERLINK("https://klasma.github.io/Logging_2425/tillsynsmail/A 25980-2026 tillsynsbegäran mail.docx", "A 25980-2026")</f>
        <v/>
      </c>
    </row>
    <row r="51" ht="15" customHeight="1">
      <c r="A51" t="inlineStr">
        <is>
          <t>A 57058-2024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46270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57058-2024 artfynd.xlsx", "A 57058-2024")</f>
        <v/>
      </c>
      <c r="X51">
        <f>HYPERLINK("https://klasma.github.io/Logging_2425/kartor/A 57058-2024 karta.png", "A 57058-2024")</f>
        <v/>
      </c>
      <c r="Y51">
        <f>HYPERLINK("https://klasma.github.io/Logging_2425/kartor_geotiff/A 57058-2024 georefererad karta.tif", "A 57058-2024")</f>
        <v/>
      </c>
      <c r="AA51">
        <f>HYPERLINK("https://klasma.github.io/Logging_2425/klagomål/A 57058-2024 FSC-klagomål.docx", "A 57058-2024")</f>
        <v/>
      </c>
      <c r="AB51">
        <f>HYPERLINK("https://klasma.github.io/Logging_2425/klagomålsmail/A 57058-2024 FSC-klagomål mail.docx", "A 57058-2024")</f>
        <v/>
      </c>
      <c r="AC51">
        <f>HYPERLINK("https://klasma.github.io/Logging_2425/tillsyn/A 57058-2024 tillsynsbegäran.docx", "A 57058-2024")</f>
        <v/>
      </c>
      <c r="AD51">
        <f>HYPERLINK("https://klasma.github.io/Logging_2425/tillsynsmail/A 57058-2024 tillsynsbegäran mail.docx", "A 57058-2024")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46270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A 46815-2023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45198</v>
      </c>
      <c r="E53" s="1" t="n">
        <v>46270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3.7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46815-2023 artfynd.xlsx", "A 46815-2023")</f>
        <v/>
      </c>
      <c r="X53">
        <f>HYPERLINK("https://klasma.github.io/Logging_2425/kartor/A 46815-2023 karta.png", "A 46815-2023")</f>
        <v/>
      </c>
      <c r="Y53">
        <f>HYPERLINK("https://klasma.github.io/Logging_2425/kartor_geotiff/A 46815-2023 georefererad karta.tif", "A 46815-2023")</f>
        <v/>
      </c>
      <c r="AA53">
        <f>HYPERLINK("https://klasma.github.io/Logging_2425/klagomål/A 46815-2023 FSC-klagomål.docx", "A 46815-2023")</f>
        <v/>
      </c>
      <c r="AB53">
        <f>HYPERLINK("https://klasma.github.io/Logging_2425/klagomålsmail/A 46815-2023 FSC-klagomål mail.docx", "A 46815-2023")</f>
        <v/>
      </c>
      <c r="AC53">
        <f>HYPERLINK("https://klasma.github.io/Logging_2425/tillsyn/A 46815-2023 tillsynsbegäran.docx", "A 46815-2023")</f>
        <v/>
      </c>
      <c r="AD53">
        <f>HYPERLINK("https://klasma.github.io/Logging_2425/tillsynsmail/A 46815-2023 tillsynsbegäran mail.docx", "A 46815-2023")</f>
        <v/>
      </c>
    </row>
    <row r="54" ht="15" customHeight="1">
      <c r="A54" t="inlineStr">
        <is>
          <t>A 30357-2026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46209</v>
      </c>
      <c r="E54" s="1" t="n">
        <v>46270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Tajgahumla</t>
        </is>
      </c>
      <c r="W54">
        <f>HYPERLINK("https://klasma.github.io/Logging_2425/artfynd/A 30357-2026 artfynd.xlsx", "A 30357-2026")</f>
        <v/>
      </c>
      <c r="X54">
        <f>HYPERLINK("https://klasma.github.io/Logging_2425/kartor/A 30357-2026 karta.png", "A 30357-2026")</f>
        <v/>
      </c>
      <c r="Y54">
        <f>HYPERLINK("https://klasma.github.io/Logging_2425/kartor_geotiff/A 30357-2026 georefererad karta.tif", "A 30357-2026")</f>
        <v/>
      </c>
      <c r="AA54">
        <f>HYPERLINK("https://klasma.github.io/Logging_2425/klagomål/A 30357-2026 FSC-klagomål.docx", "A 30357-2026")</f>
        <v/>
      </c>
      <c r="AB54">
        <f>HYPERLINK("https://klasma.github.io/Logging_2425/klagomålsmail/A 30357-2026 FSC-klagomål mail.docx", "A 30357-2026")</f>
        <v/>
      </c>
      <c r="AC54">
        <f>HYPERLINK("https://klasma.github.io/Logging_2425/tillsyn/A 30357-2026 tillsynsbegäran.docx", "A 30357-2026")</f>
        <v/>
      </c>
      <c r="AD54">
        <f>HYPERLINK("https://klasma.github.io/Logging_2425/tillsynsmail/A 30357-2026 tillsynsbegäran mail.docx", "A 30357-2026")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46270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46270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46270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46270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46270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46270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46270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46270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46270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46270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46270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46270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46270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46270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46270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46270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46270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45170</v>
      </c>
      <c r="E72" s="1" t="n">
        <v>46270</v>
      </c>
      <c r="F72" t="inlineStr">
        <is>
          <t>VÄSTERBOTTENS LÄN</t>
        </is>
      </c>
      <c r="G72" t="inlineStr">
        <is>
          <t>DOROTEA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45556</v>
      </c>
      <c r="E73" s="1" t="n">
        <v>46270</v>
      </c>
      <c r="F73" t="inlineStr">
        <is>
          <t>VÄSTERBOTTENS LÄN</t>
        </is>
      </c>
      <c r="G73" t="inlineStr">
        <is>
          <t>DOROTEA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46270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46270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60015-2023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45257</v>
      </c>
      <c r="E76" s="1" t="n">
        <v>46270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45036</v>
      </c>
      <c r="E77" s="1" t="n">
        <v>46270</v>
      </c>
      <c r="F77" t="inlineStr">
        <is>
          <t>VÄSTERBOTTENS LÄN</t>
        </is>
      </c>
      <c r="G77" t="inlineStr">
        <is>
          <t>DOROTEA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53795-2022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44876</v>
      </c>
      <c r="E78" s="1" t="n">
        <v>46270</v>
      </c>
      <c r="F78" t="inlineStr">
        <is>
          <t>VÄSTERBOTTENS LÄN</t>
        </is>
      </c>
      <c r="G78" t="inlineStr">
        <is>
          <t>DOROTEA</t>
        </is>
      </c>
      <c r="I78" t="n">
        <v>12.3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27477-2023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45097</v>
      </c>
      <c r="E79" s="1" t="n">
        <v>46270</v>
      </c>
      <c r="F79" t="inlineStr">
        <is>
          <t>VÄSTERBOTTENS LÄN</t>
        </is>
      </c>
      <c r="G79" t="inlineStr">
        <is>
          <t>DOROTEA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46270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45491</v>
      </c>
      <c r="E81" s="1" t="n">
        <v>46270</v>
      </c>
      <c r="F81" t="inlineStr">
        <is>
          <t>VÄSTERBOTTENS LÄN</t>
        </is>
      </c>
      <c r="G81" t="inlineStr">
        <is>
          <t>DOROTEA</t>
        </is>
      </c>
      <c r="H81" t="inlineStr">
        <is>
          <t>Sveaskog</t>
        </is>
      </c>
      <c r="I81" t="n">
        <v>13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45125</v>
      </c>
      <c r="E82" s="1" t="n">
        <v>46270</v>
      </c>
      <c r="F82" t="inlineStr">
        <is>
          <t>VÄSTERBOTTENS LÄN</t>
        </is>
      </c>
      <c r="G82" t="inlineStr">
        <is>
          <t>DOROTEA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53380-2024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45614</v>
      </c>
      <c r="E83" s="1" t="n">
        <v>46270</v>
      </c>
      <c r="F83" t="inlineStr">
        <is>
          <t>VÄSTERBOTTENS LÄN</t>
        </is>
      </c>
      <c r="G83" t="inlineStr">
        <is>
          <t>DOROTEA</t>
        </is>
      </c>
      <c r="I83" t="n">
        <v>12.8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45125</v>
      </c>
      <c r="E84" s="1" t="n">
        <v>46270</v>
      </c>
      <c r="F84" t="inlineStr">
        <is>
          <t>VÄSTERBOTTENS LÄN</t>
        </is>
      </c>
      <c r="G84" t="inlineStr">
        <is>
          <t>DOROTEA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44889</v>
      </c>
      <c r="E85" s="1" t="n">
        <v>46270</v>
      </c>
      <c r="F85" t="inlineStr">
        <is>
          <t>VÄSTERBOTTENS LÄN</t>
        </is>
      </c>
      <c r="G85" t="inlineStr">
        <is>
          <t>DOROTEA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25606-2025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46270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46270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45800</v>
      </c>
      <c r="E88" s="1" t="n">
        <v>46270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63745-2025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46017</v>
      </c>
      <c r="E89" s="1" t="n">
        <v>46270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8.699999999999999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46270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46270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26481-2025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45807</v>
      </c>
      <c r="E92" s="1" t="n">
        <v>46270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46270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33738-2024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45520</v>
      </c>
      <c r="E94" s="1" t="n">
        <v>46270</v>
      </c>
      <c r="F94" t="inlineStr">
        <is>
          <t>VÄSTERBOTTENS LÄN</t>
        </is>
      </c>
      <c r="G94" t="inlineStr">
        <is>
          <t>DOROTEA</t>
        </is>
      </c>
      <c r="I94" t="n">
        <v>11.1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45664</v>
      </c>
      <c r="E95" s="1" t="n">
        <v>46270</v>
      </c>
      <c r="F95" t="inlineStr">
        <is>
          <t>VÄSTERBOTTENS LÄN</t>
        </is>
      </c>
      <c r="G95" t="inlineStr">
        <is>
          <t>DOROTEA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45742</v>
      </c>
      <c r="E96" s="1" t="n">
        <v>46270</v>
      </c>
      <c r="F96" t="inlineStr">
        <is>
          <t>VÄSTERBOTTENS LÄN</t>
        </is>
      </c>
      <c r="G96" t="inlineStr">
        <is>
          <t>DOROTEA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45811</v>
      </c>
      <c r="E97" s="1" t="n">
        <v>46270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46270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46270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45547</v>
      </c>
      <c r="E100" s="1" t="n">
        <v>46270</v>
      </c>
      <c r="F100" t="inlineStr">
        <is>
          <t>VÄSTERBOTTENS LÄN</t>
        </is>
      </c>
      <c r="G100" t="inlineStr">
        <is>
          <t>DOROTEA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45893</v>
      </c>
      <c r="E101" s="1" t="n">
        <v>46270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46270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7.3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29258-2025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45824</v>
      </c>
      <c r="E103" s="1" t="n">
        <v>46270</v>
      </c>
      <c r="F103" t="inlineStr">
        <is>
          <t>VÄSTERBOTTENS LÄN</t>
        </is>
      </c>
      <c r="G103" t="inlineStr">
        <is>
          <t>DOROTEA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49077-2022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44860</v>
      </c>
      <c r="E104" s="1" t="n">
        <v>46270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Sveaskog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25028-2024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45461</v>
      </c>
      <c r="E105" s="1" t="n">
        <v>46270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45036</v>
      </c>
      <c r="E106" s="1" t="n">
        <v>46270</v>
      </c>
      <c r="F106" t="inlineStr">
        <is>
          <t>VÄSTERBOTTENS LÄN</t>
        </is>
      </c>
      <c r="G106" t="inlineStr">
        <is>
          <t>DOROTEA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14631-2025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45742</v>
      </c>
      <c r="E107" s="1" t="n">
        <v>46270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45351</v>
      </c>
      <c r="E108" s="1" t="n">
        <v>46270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46270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46270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46270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42125-2025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46270</v>
      </c>
      <c r="F112" t="inlineStr">
        <is>
          <t>VÄSTERBOTTENS LÄN</t>
        </is>
      </c>
      <c r="G112" t="inlineStr">
        <is>
          <t>DOROTEA</t>
        </is>
      </c>
      <c r="H112" t="inlineStr">
        <is>
          <t>Övriga Aktiebolag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46270</v>
      </c>
      <c r="F113" t="inlineStr">
        <is>
          <t>VÄSTERBOTTENS LÄN</t>
        </is>
      </c>
      <c r="G113" t="inlineStr">
        <is>
          <t>DOROTEA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46270</v>
      </c>
      <c r="F114" t="inlineStr">
        <is>
          <t>VÄSTERBOTTENS LÄN</t>
        </is>
      </c>
      <c r="G114" t="inlineStr">
        <is>
          <t>DOROTEA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48006-2023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45198</v>
      </c>
      <c r="E115" s="1" t="n">
        <v>46270</v>
      </c>
      <c r="F115" t="inlineStr">
        <is>
          <t>VÄSTERBOTTENS LÄN</t>
        </is>
      </c>
      <c r="G115" t="inlineStr">
        <is>
          <t>DOROTEA</t>
        </is>
      </c>
      <c r="H115" t="inlineStr">
        <is>
          <t>Övriga statliga verk och myndigheter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46030</v>
      </c>
      <c r="E116" s="1" t="n">
        <v>46270</v>
      </c>
      <c r="F116" t="inlineStr">
        <is>
          <t>VÄSTERBOTTENS LÄN</t>
        </is>
      </c>
      <c r="G116" t="inlineStr">
        <is>
          <t>DOROTEA</t>
        </is>
      </c>
      <c r="I116" t="n">
        <v>18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45912</v>
      </c>
      <c r="E117" s="1" t="n">
        <v>46270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45915</v>
      </c>
      <c r="E118" s="1" t="n">
        <v>46270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45915</v>
      </c>
      <c r="E119" s="1" t="n">
        <v>46270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8.4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43876-2025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46270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45912</v>
      </c>
      <c r="E121" s="1" t="n">
        <v>46270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45917</v>
      </c>
      <c r="E122" s="1" t="n">
        <v>46270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44282-2025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45916</v>
      </c>
      <c r="E123" s="1" t="n">
        <v>46270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45228</v>
      </c>
      <c r="E124" s="1" t="n">
        <v>46270</v>
      </c>
      <c r="F124" t="inlineStr">
        <is>
          <t>VÄSTERBOTTENS LÄN</t>
        </is>
      </c>
      <c r="G124" t="inlineStr">
        <is>
          <t>DOROTEA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45228</v>
      </c>
      <c r="E125" s="1" t="n">
        <v>46270</v>
      </c>
      <c r="F125" t="inlineStr">
        <is>
          <t>VÄSTERBOTTENS LÄN</t>
        </is>
      </c>
      <c r="G125" t="inlineStr">
        <is>
          <t>DOROTEA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44395-2025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46270</v>
      </c>
      <c r="F126" t="inlineStr">
        <is>
          <t>VÄSTERBOTTENS LÄN</t>
        </is>
      </c>
      <c r="G126" t="inlineStr">
        <is>
          <t>DOROTEA</t>
        </is>
      </c>
      <c r="H126" t="inlineStr">
        <is>
          <t>Övriga statliga verk och myndigheter</t>
        </is>
      </c>
      <c r="I126" t="n">
        <v>15.2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46270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44784-2025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45917</v>
      </c>
      <c r="E128" s="1" t="n">
        <v>46270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7.7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34406-2025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46270</v>
      </c>
      <c r="F129" t="inlineStr">
        <is>
          <t>VÄSTERBOTTENS LÄN</t>
        </is>
      </c>
      <c r="G129" t="inlineStr">
        <is>
          <t>DOROTEA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45845</v>
      </c>
      <c r="E130" s="1" t="n">
        <v>46270</v>
      </c>
      <c r="F130" t="inlineStr">
        <is>
          <t>VÄSTERBOTTENS LÄN</t>
        </is>
      </c>
      <c r="G130" t="inlineStr">
        <is>
          <t>DOROTEA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44582</v>
      </c>
      <c r="E131" s="1" t="n">
        <v>46270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45847</v>
      </c>
      <c r="E132" s="1" t="n">
        <v>46270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45846</v>
      </c>
      <c r="E133" s="1" t="n">
        <v>46270</v>
      </c>
      <c r="F133" t="inlineStr">
        <is>
          <t>VÄSTERBOTTENS LÄN</t>
        </is>
      </c>
      <c r="G133" t="inlineStr">
        <is>
          <t>DOROTEA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34681-2025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45848</v>
      </c>
      <c r="E134" s="1" t="n">
        <v>46270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46270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45852</v>
      </c>
      <c r="E136" s="1" t="n">
        <v>46270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45855</v>
      </c>
      <c r="E137" s="1" t="n">
        <v>46270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46965-2024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45586</v>
      </c>
      <c r="E138" s="1" t="n">
        <v>46270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45855</v>
      </c>
      <c r="E139" s="1" t="n">
        <v>46270</v>
      </c>
      <c r="F139" t="inlineStr">
        <is>
          <t>VÄSTERBOTTENS LÄN</t>
        </is>
      </c>
      <c r="G139" t="inlineStr">
        <is>
          <t>DOROTEA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46270</v>
      </c>
      <c r="F140" t="inlineStr">
        <is>
          <t>VÄSTERBOTTENS LÄN</t>
        </is>
      </c>
      <c r="G140" t="inlineStr">
        <is>
          <t>DOROTEA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46270</v>
      </c>
      <c r="F141" t="inlineStr">
        <is>
          <t>VÄSTERBOTTENS LÄN</t>
        </is>
      </c>
      <c r="G141" t="inlineStr">
        <is>
          <t>DOROTEA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45013</v>
      </c>
      <c r="E142" s="1" t="n">
        <v>46270</v>
      </c>
      <c r="F142" t="inlineStr">
        <is>
          <t>VÄSTERBOTTENS LÄN</t>
        </is>
      </c>
      <c r="G142" t="inlineStr">
        <is>
          <t>DOROTEA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48530-2025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45936</v>
      </c>
      <c r="E143" s="1" t="n">
        <v>46270</v>
      </c>
      <c r="F143" t="inlineStr">
        <is>
          <t>VÄSTERBOTTENS LÄN</t>
        </is>
      </c>
      <c r="G143" t="inlineStr">
        <is>
          <t>DOROTEA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46270</v>
      </c>
      <c r="F144" t="inlineStr">
        <is>
          <t>VÄSTERBOTTENS LÄN</t>
        </is>
      </c>
      <c r="G144" t="inlineStr">
        <is>
          <t>DOROTEA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44742</v>
      </c>
      <c r="E145" s="1" t="n">
        <v>46270</v>
      </c>
      <c r="F145" t="inlineStr">
        <is>
          <t>VÄSTERBOTTENS LÄN</t>
        </is>
      </c>
      <c r="G145" t="inlineStr">
        <is>
          <t>DOROTEA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48510-2025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45936</v>
      </c>
      <c r="E146" s="1" t="n">
        <v>46270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46270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46270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45938</v>
      </c>
      <c r="E149" s="1" t="n">
        <v>46270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49054-2025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46270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9.800000000000001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36111-2025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45866</v>
      </c>
      <c r="E151" s="1" t="n">
        <v>46270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36125-2025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45866</v>
      </c>
      <c r="E152" s="1" t="n">
        <v>46270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46270</v>
      </c>
      <c r="F153" t="inlineStr">
        <is>
          <t>VÄSTERBOTTENS LÄN</t>
        </is>
      </c>
      <c r="G153" t="inlineStr">
        <is>
          <t>DOROTEA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2842-2026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46270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46270</v>
      </c>
      <c r="F155" t="inlineStr">
        <is>
          <t>VÄSTERBOTTENS LÄN</t>
        </is>
      </c>
      <c r="G155" t="inlineStr">
        <is>
          <t>DOROTEA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37105-2024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45539</v>
      </c>
      <c r="E156" s="1" t="n">
        <v>46270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12.3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44820-2024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45574</v>
      </c>
      <c r="E157" s="1" t="n">
        <v>46270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45463</v>
      </c>
      <c r="E158" s="1" t="n">
        <v>46270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16.2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27305-2024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45471</v>
      </c>
      <c r="E159" s="1" t="n">
        <v>46270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46043</v>
      </c>
      <c r="E160" s="1" t="n">
        <v>46270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3559-2026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46270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45874</v>
      </c>
      <c r="E162" s="1" t="n">
        <v>46270</v>
      </c>
      <c r="F162" t="inlineStr">
        <is>
          <t>VÄSTERBOTTENS LÄN</t>
        </is>
      </c>
      <c r="G162" t="inlineStr">
        <is>
          <t>DOROTEA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36844-2025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45874</v>
      </c>
      <c r="E163" s="1" t="n">
        <v>46270</v>
      </c>
      <c r="F163" t="inlineStr">
        <is>
          <t>VÄSTERBOTTENS LÄN</t>
        </is>
      </c>
      <c r="G163" t="inlineStr">
        <is>
          <t>DOROTEA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45875</v>
      </c>
      <c r="E164" s="1" t="n">
        <v>46270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46270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37259-2025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45876</v>
      </c>
      <c r="E166" s="1" t="n">
        <v>46270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46270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45877</v>
      </c>
      <c r="E168" s="1" t="n">
        <v>46270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37276-2025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45876</v>
      </c>
      <c r="E169" s="1" t="n">
        <v>46270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38099-2025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45882</v>
      </c>
      <c r="E170" s="1" t="n">
        <v>46270</v>
      </c>
      <c r="F170" t="inlineStr">
        <is>
          <t>VÄSTERBOTTENS LÄN</t>
        </is>
      </c>
      <c r="G170" t="inlineStr">
        <is>
          <t>DOROTEA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63885-2025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46010</v>
      </c>
      <c r="E171" s="1" t="n">
        <v>46270</v>
      </c>
      <c r="F171" t="inlineStr">
        <is>
          <t>VÄSTERBOTTENS LÄN</t>
        </is>
      </c>
      <c r="G171" t="inlineStr">
        <is>
          <t>DOROTEA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46270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45331</v>
      </c>
      <c r="E173" s="1" t="n">
        <v>46270</v>
      </c>
      <c r="F173" t="inlineStr">
        <is>
          <t>VÄSTERBOTTENS LÄN</t>
        </is>
      </c>
      <c r="G173" t="inlineStr">
        <is>
          <t>DOROTEA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38100-2025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45882</v>
      </c>
      <c r="E174" s="1" t="n">
        <v>46270</v>
      </c>
      <c r="F174" t="inlineStr">
        <is>
          <t>VÄSTERBOTTENS LÄN</t>
        </is>
      </c>
      <c r="G174" t="inlineStr">
        <is>
          <t>DOROTEA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44889</v>
      </c>
      <c r="E175" s="1" t="n">
        <v>46270</v>
      </c>
      <c r="F175" t="inlineStr">
        <is>
          <t>VÄSTERBOTTENS LÄN</t>
        </is>
      </c>
      <c r="G175" t="inlineStr">
        <is>
          <t>DOROTEA</t>
        </is>
      </c>
      <c r="I175" t="n">
        <v>15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53409-2025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46270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38097-2025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45882</v>
      </c>
      <c r="E177" s="1" t="n">
        <v>46270</v>
      </c>
      <c r="F177" t="inlineStr">
        <is>
          <t>VÄSTERBOTTENS LÄN</t>
        </is>
      </c>
      <c r="G177" t="inlineStr">
        <is>
          <t>DOROTEA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38098-2025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45882</v>
      </c>
      <c r="E178" s="1" t="n">
        <v>46270</v>
      </c>
      <c r="F178" t="inlineStr">
        <is>
          <t>VÄSTERBOTTENS LÄN</t>
        </is>
      </c>
      <c r="G178" t="inlineStr">
        <is>
          <t>DOROTEA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45883</v>
      </c>
      <c r="E179" s="1" t="n">
        <v>46270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45883</v>
      </c>
      <c r="E180" s="1" t="n">
        <v>46270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12773-2026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46091</v>
      </c>
      <c r="E181" s="1" t="n">
        <v>46270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2769-2026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46270</v>
      </c>
      <c r="F182" t="inlineStr">
        <is>
          <t>VÄSTERBOTTENS LÄN</t>
        </is>
      </c>
      <c r="G182" t="inlineStr">
        <is>
          <t>DOROTEA</t>
        </is>
      </c>
      <c r="I182" t="n">
        <v>11.8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46051</v>
      </c>
      <c r="E183" s="1" t="n">
        <v>46270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46270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38101-2025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45882</v>
      </c>
      <c r="E185" s="1" t="n">
        <v>46270</v>
      </c>
      <c r="F185" t="inlineStr">
        <is>
          <t>VÄSTERBOTTENS LÄN</t>
        </is>
      </c>
      <c r="G185" t="inlineStr">
        <is>
          <t>DOROTEA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8709-2025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45712</v>
      </c>
      <c r="E186" s="1" t="n">
        <v>46270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6381-2026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46055</v>
      </c>
      <c r="E187" s="1" t="n">
        <v>46270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46054</v>
      </c>
      <c r="E188" s="1" t="n">
        <v>46270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34700-2023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45140</v>
      </c>
      <c r="E189" s="1" t="n">
        <v>46270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46270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46270</v>
      </c>
      <c r="F191" t="inlineStr">
        <is>
          <t>VÄSTERBOTTENS LÄN</t>
        </is>
      </c>
      <c r="G191" t="inlineStr">
        <is>
          <t>DOROTEA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46270</v>
      </c>
      <c r="F192" t="inlineStr">
        <is>
          <t>VÄSTERBOTTENS LÄN</t>
        </is>
      </c>
      <c r="G192" t="inlineStr">
        <is>
          <t>DOROTEA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46270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45966</v>
      </c>
      <c r="E194" s="1" t="n">
        <v>46270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7963-2026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46063</v>
      </c>
      <c r="E195" s="1" t="n">
        <v>46270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45142</v>
      </c>
      <c r="E196" s="1" t="n">
        <v>46270</v>
      </c>
      <c r="F196" t="inlineStr">
        <is>
          <t>VÄSTERBOTTENS LÄN</t>
        </is>
      </c>
      <c r="G196" t="inlineStr">
        <is>
          <t>DOROTEA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56556-2025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45975</v>
      </c>
      <c r="E197" s="1" t="n">
        <v>46270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45975</v>
      </c>
      <c r="E198" s="1" t="n">
        <v>46270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45977</v>
      </c>
      <c r="E199" s="1" t="n">
        <v>46270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45483</v>
      </c>
      <c r="E200" s="1" t="n">
        <v>46270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17591-2025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46270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45978</v>
      </c>
      <c r="E202" s="1" t="n">
        <v>46270</v>
      </c>
      <c r="F202" t="inlineStr">
        <is>
          <t>VÄSTERBOTTENS LÄN</t>
        </is>
      </c>
      <c r="G202" t="inlineStr">
        <is>
          <t>DOROTEA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45978</v>
      </c>
      <c r="E203" s="1" t="n">
        <v>46270</v>
      </c>
      <c r="F203" t="inlineStr">
        <is>
          <t>VÄSTERBOTTENS LÄN</t>
        </is>
      </c>
      <c r="G203" t="inlineStr">
        <is>
          <t>DOROTEA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29645-2023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46270</v>
      </c>
      <c r="F204" t="inlineStr">
        <is>
          <t>VÄSTERBOTTENS LÄN</t>
        </is>
      </c>
      <c r="G204" t="inlineStr">
        <is>
          <t>DOROTEA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46270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46270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46270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46270</v>
      </c>
      <c r="F208" t="inlineStr">
        <is>
          <t>VÄSTERBOTTENS LÄN</t>
        </is>
      </c>
      <c r="G208" t="inlineStr">
        <is>
          <t>DOROTEA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45981</v>
      </c>
      <c r="E209" s="1" t="n">
        <v>46270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46072</v>
      </c>
      <c r="E210" s="1" t="n">
        <v>46270</v>
      </c>
      <c r="F210" t="inlineStr">
        <is>
          <t>VÄSTERBOTTENS LÄN</t>
        </is>
      </c>
      <c r="G210" t="inlineStr">
        <is>
          <t>DOROTEA</t>
        </is>
      </c>
      <c r="I210" t="n">
        <v>20.1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45982</v>
      </c>
      <c r="E211" s="1" t="n">
        <v>46270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46270</v>
      </c>
      <c r="F212" t="inlineStr">
        <is>
          <t>VÄSTERBOTTENS LÄN</t>
        </is>
      </c>
      <c r="G212" t="inlineStr">
        <is>
          <t>DOROTEA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45982</v>
      </c>
      <c r="E213" s="1" t="n">
        <v>46270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18.2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19657-2025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45770</v>
      </c>
      <c r="E214" s="1" t="n">
        <v>46270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46270</v>
      </c>
      <c r="F215" t="inlineStr">
        <is>
          <t>VÄSTERBOTTENS LÄN</t>
        </is>
      </c>
      <c r="G215" t="inlineStr">
        <is>
          <t>DOROTEA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59338-2025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46270</v>
      </c>
      <c r="F216" t="inlineStr">
        <is>
          <t>VÄSTERBOTTENS LÄN</t>
        </is>
      </c>
      <c r="G216" t="inlineStr">
        <is>
          <t>DOROTEA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59054-2025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46270</v>
      </c>
      <c r="F217" t="inlineStr">
        <is>
          <t>VÄSTERBOTTENS LÄN</t>
        </is>
      </c>
      <c r="G217" t="inlineStr">
        <is>
          <t>DOROTEA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59066-2025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46270</v>
      </c>
      <c r="F218" t="inlineStr">
        <is>
          <t>VÄSTERBOTTENS LÄN</t>
        </is>
      </c>
      <c r="G218" t="inlineStr">
        <is>
          <t>DOROTEA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59653-2024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45639</v>
      </c>
      <c r="E219" s="1" t="n">
        <v>46270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46270</v>
      </c>
      <c r="F220" t="inlineStr">
        <is>
          <t>VÄSTERBOTTENS LÄN</t>
        </is>
      </c>
      <c r="G220" t="inlineStr">
        <is>
          <t>DOROTEA</t>
        </is>
      </c>
      <c r="H220" t="inlineStr">
        <is>
          <t>Kommuner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46270</v>
      </c>
      <c r="F221" t="inlineStr">
        <is>
          <t>VÄSTERBOTTENS LÄN</t>
        </is>
      </c>
      <c r="G221" t="inlineStr">
        <is>
          <t>DOROTEA</t>
        </is>
      </c>
      <c r="I221" t="n">
        <v>28.8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45642</v>
      </c>
      <c r="E222" s="1" t="n">
        <v>46270</v>
      </c>
      <c r="F222" t="inlineStr">
        <is>
          <t>VÄSTERBOTTENS LÄN</t>
        </is>
      </c>
      <c r="G222" t="inlineStr">
        <is>
          <t>DOROTEA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35937-2025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45862</v>
      </c>
      <c r="E223" s="1" t="n">
        <v>46270</v>
      </c>
      <c r="F223" t="inlineStr">
        <is>
          <t>VÄSTERBOTTENS LÄN</t>
        </is>
      </c>
      <c r="G223" t="inlineStr">
        <is>
          <t>DOROTEA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7429-2023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44971</v>
      </c>
      <c r="E224" s="1" t="n">
        <v>46270</v>
      </c>
      <c r="F224" t="inlineStr">
        <is>
          <t>VÄSTERBOTTENS LÄN</t>
        </is>
      </c>
      <c r="G224" t="inlineStr">
        <is>
          <t>DOROTEA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60724-2025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45996</v>
      </c>
      <c r="E225" s="1" t="n">
        <v>46270</v>
      </c>
      <c r="F225" t="inlineStr">
        <is>
          <t>VÄSTERBOTTENS LÄN</t>
        </is>
      </c>
      <c r="G225" t="inlineStr">
        <is>
          <t>DOROTEA</t>
        </is>
      </c>
      <c r="I225" t="n">
        <v>23.9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46270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46003</v>
      </c>
      <c r="E227" s="1" t="n">
        <v>46270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62193-2025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46003</v>
      </c>
      <c r="E228" s="1" t="n">
        <v>46270</v>
      </c>
      <c r="F228" t="inlineStr">
        <is>
          <t>VÄSTERBOTTENS LÄN</t>
        </is>
      </c>
      <c r="G228" t="inlineStr">
        <is>
          <t>DOROTEA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62422-2025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46007</v>
      </c>
      <c r="E229" s="1" t="n">
        <v>46270</v>
      </c>
      <c r="F229" t="inlineStr">
        <is>
          <t>VÄSTERBOTTENS LÄN</t>
        </is>
      </c>
      <c r="G229" t="inlineStr">
        <is>
          <t>DOROTEA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62399-2025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46007</v>
      </c>
      <c r="E230" s="1" t="n">
        <v>46270</v>
      </c>
      <c r="F230" t="inlineStr">
        <is>
          <t>VÄSTERBOTTENS LÄN</t>
        </is>
      </c>
      <c r="G230" t="inlineStr">
        <is>
          <t>DOROTEA</t>
        </is>
      </c>
      <c r="I230" t="n">
        <v>16.7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46086</v>
      </c>
      <c r="E231" s="1" t="n">
        <v>46270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62657-2022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44925</v>
      </c>
      <c r="E232" s="1" t="n">
        <v>46270</v>
      </c>
      <c r="F232" t="inlineStr">
        <is>
          <t>VÄSTERBOTTENS LÄN</t>
        </is>
      </c>
      <c r="G232" t="inlineStr">
        <is>
          <t>DOROTEA</t>
        </is>
      </c>
      <c r="I232" t="n">
        <v>22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46270</v>
      </c>
      <c r="F233" t="inlineStr">
        <is>
          <t>VÄSTERBOTTENS LÄN</t>
        </is>
      </c>
      <c r="G233" t="inlineStr">
        <is>
          <t>DOROTEA</t>
        </is>
      </c>
      <c r="I233" t="n">
        <v>13.2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45755</v>
      </c>
      <c r="E234" s="1" t="n">
        <v>46270</v>
      </c>
      <c r="F234" t="inlineStr">
        <is>
          <t>VÄSTERBOTTENS LÄN</t>
        </is>
      </c>
      <c r="G234" t="inlineStr">
        <is>
          <t>DOROTEA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46270</v>
      </c>
      <c r="F235" t="inlineStr">
        <is>
          <t>VÄSTERBOTTENS LÄN</t>
        </is>
      </c>
      <c r="G235" t="inlineStr">
        <is>
          <t>DOROTEA</t>
        </is>
      </c>
      <c r="I235" t="n">
        <v>12.3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11817-2026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46085</v>
      </c>
      <c r="E236" s="1" t="n">
        <v>46270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62974-2025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46009</v>
      </c>
      <c r="E237" s="1" t="n">
        <v>46270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9.4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37072-2024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45539</v>
      </c>
      <c r="E238" s="1" t="n">
        <v>46270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63939-2025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46270</v>
      </c>
      <c r="F239" t="inlineStr">
        <is>
          <t>VÄSTERBOTTENS LÄN</t>
        </is>
      </c>
      <c r="G239" t="inlineStr">
        <is>
          <t>DOROTEA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45069</v>
      </c>
      <c r="E240" s="1" t="n">
        <v>46270</v>
      </c>
      <c r="F240" t="inlineStr">
        <is>
          <t>VÄSTERBOTTENS LÄN</t>
        </is>
      </c>
      <c r="G240" t="inlineStr">
        <is>
          <t>DOROTEA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53357-2024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46270</v>
      </c>
      <c r="F241" t="inlineStr">
        <is>
          <t>VÄSTERBOTTENS LÄN</t>
        </is>
      </c>
      <c r="G241" t="inlineStr">
        <is>
          <t>DOROTEA</t>
        </is>
      </c>
      <c r="I241" t="n">
        <v>26.5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46270</v>
      </c>
      <c r="F242" t="inlineStr">
        <is>
          <t>VÄSTERBOTTENS LÄN</t>
        </is>
      </c>
      <c r="G242" t="inlineStr">
        <is>
          <t>DOROTEA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45224</v>
      </c>
      <c r="E243" s="1" t="n">
        <v>46270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45713</v>
      </c>
      <c r="E244" s="1" t="n">
        <v>46270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35202-2025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45852</v>
      </c>
      <c r="E245" s="1" t="n">
        <v>46270</v>
      </c>
      <c r="F245" t="inlineStr">
        <is>
          <t>VÄSTERBOTTENS LÄN</t>
        </is>
      </c>
      <c r="G245" t="inlineStr">
        <is>
          <t>DOROTEA</t>
        </is>
      </c>
      <c r="H245" t="inlineStr">
        <is>
          <t>Allmännings- och besparingsskogar</t>
        </is>
      </c>
      <c r="I245" t="n">
        <v>22.1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35203-2025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45852</v>
      </c>
      <c r="E246" s="1" t="n">
        <v>46270</v>
      </c>
      <c r="F246" t="inlineStr">
        <is>
          <t>VÄSTERBOTTENS LÄN</t>
        </is>
      </c>
      <c r="G246" t="inlineStr">
        <is>
          <t>DOROTEA</t>
        </is>
      </c>
      <c r="H246" t="inlineStr">
        <is>
          <t>Allmännings- och besparingsskogar</t>
        </is>
      </c>
      <c r="I246" t="n">
        <v>20.3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45217</v>
      </c>
      <c r="E247" s="1" t="n">
        <v>46270</v>
      </c>
      <c r="F247" t="inlineStr">
        <is>
          <t>VÄSTERBOTTENS LÄN</t>
        </is>
      </c>
      <c r="G247" t="inlineStr">
        <is>
          <t>DOROTEA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8088-2023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46270</v>
      </c>
      <c r="F248" t="inlineStr">
        <is>
          <t>VÄSTERBOTTENS LÄN</t>
        </is>
      </c>
      <c r="G248" t="inlineStr">
        <is>
          <t>DOROTEA</t>
        </is>
      </c>
      <c r="I248" t="n">
        <v>14.8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17133-2025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45755</v>
      </c>
      <c r="E249" s="1" t="n">
        <v>46270</v>
      </c>
      <c r="F249" t="inlineStr">
        <is>
          <t>VÄSTERBOTTENS LÄN</t>
        </is>
      </c>
      <c r="G249" t="inlineStr">
        <is>
          <t>DOROTEA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46270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44956</v>
      </c>
      <c r="E251" s="1" t="n">
        <v>46270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14249-2026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46099</v>
      </c>
      <c r="E252" s="1" t="n">
        <v>46270</v>
      </c>
      <c r="F252" t="inlineStr">
        <is>
          <t>VÄSTERBOTTENS LÄN</t>
        </is>
      </c>
      <c r="G252" t="inlineStr">
        <is>
          <t>DOROTEA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46270</v>
      </c>
      <c r="F253" t="inlineStr">
        <is>
          <t>VÄSTERBOTTENS LÄN</t>
        </is>
      </c>
      <c r="G253" t="inlineStr">
        <is>
          <t>DOROTEA</t>
        </is>
      </c>
      <c r="I253" t="n">
        <v>7.8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41771-2024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45561</v>
      </c>
      <c r="E254" s="1" t="n">
        <v>46270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46270</v>
      </c>
      <c r="F255" t="inlineStr">
        <is>
          <t>VÄSTERBOTTENS LÄN</t>
        </is>
      </c>
      <c r="G255" t="inlineStr">
        <is>
          <t>DOROTEA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45642</v>
      </c>
      <c r="E256" s="1" t="n">
        <v>46270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46270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16251-2026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46270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46270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46270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33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16985-2026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46114</v>
      </c>
      <c r="E261" s="1" t="n">
        <v>46270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46270</v>
      </c>
      <c r="F262" t="inlineStr">
        <is>
          <t>VÄSTERBOTTENS LÄN</t>
        </is>
      </c>
      <c r="G262" t="inlineStr">
        <is>
          <t>DOROTEA</t>
        </is>
      </c>
      <c r="H262" t="inlineStr">
        <is>
          <t>Kommuner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44568</v>
      </c>
      <c r="E263" s="1" t="n">
        <v>46270</v>
      </c>
      <c r="F263" t="inlineStr">
        <is>
          <t>VÄSTERBOTTENS LÄN</t>
        </is>
      </c>
      <c r="G263" t="inlineStr">
        <is>
          <t>DOROTEA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46270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13.5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46120</v>
      </c>
      <c r="E265" s="1" t="n">
        <v>46270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8.6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46121</v>
      </c>
      <c r="E266" s="1" t="n">
        <v>46270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20.3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18310-2026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46270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17971-2026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46123</v>
      </c>
      <c r="E268" s="1" t="n">
        <v>46270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46125</v>
      </c>
      <c r="E269" s="1" t="n">
        <v>46270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18.3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18254-2026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46126</v>
      </c>
      <c r="E270" s="1" t="n">
        <v>46270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46125</v>
      </c>
      <c r="E271" s="1" t="n">
        <v>46270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46125</v>
      </c>
      <c r="E272" s="1" t="n">
        <v>46270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32821-2024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45516</v>
      </c>
      <c r="E273" s="1" t="n">
        <v>46270</v>
      </c>
      <c r="F273" t="inlineStr">
        <is>
          <t>VÄSTERBOTTENS LÄN</t>
        </is>
      </c>
      <c r="G273" t="inlineStr">
        <is>
          <t>DOROTEA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46133</v>
      </c>
      <c r="E274" s="1" t="n">
        <v>46270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44980</v>
      </c>
      <c r="E275" s="1" t="n">
        <v>46270</v>
      </c>
      <c r="F275" t="inlineStr">
        <is>
          <t>VÄSTERBOTTENS LÄN</t>
        </is>
      </c>
      <c r="G275" t="inlineStr">
        <is>
          <t>DOROTEA</t>
        </is>
      </c>
      <c r="I275" t="n">
        <v>18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27909-2024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45475</v>
      </c>
      <c r="E276" s="1" t="n">
        <v>46270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13.2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46133</v>
      </c>
      <c r="E277" s="1" t="n">
        <v>46270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19446-2026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46133</v>
      </c>
      <c r="E278" s="1" t="n">
        <v>46270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45448</v>
      </c>
      <c r="E279" s="1" t="n">
        <v>46270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22733-2023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45071</v>
      </c>
      <c r="E280" s="1" t="n">
        <v>46270</v>
      </c>
      <c r="F280" t="inlineStr">
        <is>
          <t>VÄSTERBOTTENS LÄN</t>
        </is>
      </c>
      <c r="G280" t="inlineStr">
        <is>
          <t>DOROTEA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45399</v>
      </c>
      <c r="E281" s="1" t="n">
        <v>46270</v>
      </c>
      <c r="F281" t="inlineStr">
        <is>
          <t>VÄSTERBOTTENS LÄN</t>
        </is>
      </c>
      <c r="G281" t="inlineStr">
        <is>
          <t>DOROTEA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44889</v>
      </c>
      <c r="E282" s="1" t="n">
        <v>46270</v>
      </c>
      <c r="F282" t="inlineStr">
        <is>
          <t>VÄSTERBOTTENS LÄN</t>
        </is>
      </c>
      <c r="G282" t="inlineStr">
        <is>
          <t>DOROTEA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34503-2025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46270</v>
      </c>
      <c r="F283" t="inlineStr">
        <is>
          <t>VÄSTERBOTTENS LÄN</t>
        </is>
      </c>
      <c r="G283" t="inlineStr">
        <is>
          <t>DOROTEA</t>
        </is>
      </c>
      <c r="I283" t="n">
        <v>14.7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20316-2026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46136</v>
      </c>
      <c r="E284" s="1" t="n">
        <v>46270</v>
      </c>
      <c r="F284" t="inlineStr">
        <is>
          <t>VÄSTERBOTTENS LÄN</t>
        </is>
      </c>
      <c r="G284" t="inlineStr">
        <is>
          <t>DOROTEA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20333-2026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46136</v>
      </c>
      <c r="E285" s="1" t="n">
        <v>46270</v>
      </c>
      <c r="F285" t="inlineStr">
        <is>
          <t>VÄSTERBOTTENS LÄN</t>
        </is>
      </c>
      <c r="G285" t="inlineStr">
        <is>
          <t>DOROTEA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67686-2021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44524</v>
      </c>
      <c r="E286" s="1" t="n">
        <v>46270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55889-2022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44888</v>
      </c>
      <c r="E287" s="1" t="n">
        <v>46270</v>
      </c>
      <c r="F287" t="inlineStr">
        <is>
          <t>VÄSTERBOTTENS LÄN</t>
        </is>
      </c>
      <c r="G287" t="inlineStr">
        <is>
          <t>DOROTEA</t>
        </is>
      </c>
      <c r="I287" t="n">
        <v>15.8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45705</v>
      </c>
      <c r="E288" s="1" t="n">
        <v>46270</v>
      </c>
      <c r="F288" t="inlineStr">
        <is>
          <t>VÄSTERBOTTENS LÄN</t>
        </is>
      </c>
      <c r="G288" t="inlineStr">
        <is>
          <t>DOROTEA</t>
        </is>
      </c>
      <c r="I288" t="n">
        <v>13.3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20390-2026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46139</v>
      </c>
      <c r="E289" s="1" t="n">
        <v>46270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8247-2024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45351</v>
      </c>
      <c r="E290" s="1" t="n">
        <v>46270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46136</v>
      </c>
      <c r="E291" s="1" t="n">
        <v>46270</v>
      </c>
      <c r="F291" t="inlineStr">
        <is>
          <t>VÄSTERBOTTENS LÄN</t>
        </is>
      </c>
      <c r="G291" t="inlineStr">
        <is>
          <t>DOROTEA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20327-2026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46136</v>
      </c>
      <c r="E292" s="1" t="n">
        <v>46270</v>
      </c>
      <c r="F292" t="inlineStr">
        <is>
          <t>VÄSTERBOTTENS LÄN</t>
        </is>
      </c>
      <c r="G292" t="inlineStr">
        <is>
          <t>DOROTEA</t>
        </is>
      </c>
      <c r="I292" t="n">
        <v>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39721-2024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45552</v>
      </c>
      <c r="E293" s="1" t="n">
        <v>46270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36137-2023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45149</v>
      </c>
      <c r="E294" s="1" t="n">
        <v>46270</v>
      </c>
      <c r="F294" t="inlineStr">
        <is>
          <t>VÄSTERBOTTENS LÄN</t>
        </is>
      </c>
      <c r="G294" t="inlineStr">
        <is>
          <t>DOROTEA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9102-2023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44979</v>
      </c>
      <c r="E295" s="1" t="n">
        <v>46270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9.4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30456-2022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44761</v>
      </c>
      <c r="E296" s="1" t="n">
        <v>46270</v>
      </c>
      <c r="F296" t="inlineStr">
        <is>
          <t>VÄSTERBOTTENS LÄN</t>
        </is>
      </c>
      <c r="G296" t="inlineStr">
        <is>
          <t>DOROTEA</t>
        </is>
      </c>
      <c r="I296" t="n">
        <v>10.6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63294-2025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46010</v>
      </c>
      <c r="E297" s="1" t="n">
        <v>46270</v>
      </c>
      <c r="F297" t="inlineStr">
        <is>
          <t>VÄSTERBOTTENS LÄN</t>
        </is>
      </c>
      <c r="G297" t="inlineStr">
        <is>
          <t>DOROTEA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17776-2023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45036</v>
      </c>
      <c r="E298" s="1" t="n">
        <v>46270</v>
      </c>
      <c r="F298" t="inlineStr">
        <is>
          <t>VÄSTERBOTTENS LÄN</t>
        </is>
      </c>
      <c r="G298" t="inlineStr">
        <is>
          <t>DOROTEA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57170-2025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46270</v>
      </c>
      <c r="F299" t="inlineStr">
        <is>
          <t>VÄSTERBOTTENS LÄN</t>
        </is>
      </c>
      <c r="G299" t="inlineStr">
        <is>
          <t>DOROTEA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46270</v>
      </c>
      <c r="F300" t="inlineStr">
        <is>
          <t>VÄSTERBOTTENS LÄN</t>
        </is>
      </c>
      <c r="G300" t="inlineStr">
        <is>
          <t>DOROTEA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45855</v>
      </c>
      <c r="E301" s="1" t="n">
        <v>46270</v>
      </c>
      <c r="F301" t="inlineStr">
        <is>
          <t>VÄSTERBOTTENS LÄN</t>
        </is>
      </c>
      <c r="G301" t="inlineStr">
        <is>
          <t>DOROTEA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20321-2026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46270</v>
      </c>
      <c r="F302" t="inlineStr">
        <is>
          <t>VÄSTERBOTTENS LÄN</t>
        </is>
      </c>
      <c r="G302" t="inlineStr">
        <is>
          <t>DOROTEA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45611</v>
      </c>
      <c r="E303" s="1" t="n">
        <v>46270</v>
      </c>
      <c r="F303" t="inlineStr">
        <is>
          <t>VÄSTERBOTTENS LÄN</t>
        </is>
      </c>
      <c r="G303" t="inlineStr">
        <is>
          <t>DOROTEA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14163-2024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45392</v>
      </c>
      <c r="E304" s="1" t="n">
        <v>46270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23213-2022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44719</v>
      </c>
      <c r="E305" s="1" t="n">
        <v>46270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40435-2023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45169</v>
      </c>
      <c r="E306" s="1" t="n">
        <v>46270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20286-2026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46136</v>
      </c>
      <c r="E307" s="1" t="n">
        <v>46270</v>
      </c>
      <c r="F307" t="inlineStr">
        <is>
          <t>VÄSTERBOTTENS LÄN</t>
        </is>
      </c>
      <c r="G307" t="inlineStr">
        <is>
          <t>DOROTEA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45295</v>
      </c>
      <c r="E308" s="1" t="n">
        <v>46270</v>
      </c>
      <c r="F308" t="inlineStr">
        <is>
          <t>VÄSTERBOTTENS LÄN</t>
        </is>
      </c>
      <c r="G308" t="inlineStr">
        <is>
          <t>DOROTEA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46141</v>
      </c>
      <c r="E309" s="1" t="n">
        <v>46270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45876</v>
      </c>
      <c r="E310" s="1" t="n">
        <v>46270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46136</v>
      </c>
      <c r="E311" s="1" t="n">
        <v>46270</v>
      </c>
      <c r="F311" t="inlineStr">
        <is>
          <t>VÄSTERBOTTENS LÄN</t>
        </is>
      </c>
      <c r="G311" t="inlineStr">
        <is>
          <t>DOROTEA</t>
        </is>
      </c>
      <c r="I311" t="n">
        <v>17.8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40434-2023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45169</v>
      </c>
      <c r="E312" s="1" t="n">
        <v>46270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13.9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4958-2023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44956</v>
      </c>
      <c r="E313" s="1" t="n">
        <v>46270</v>
      </c>
      <c r="F313" t="inlineStr">
        <is>
          <t>VÄSTERBOTTENS LÄN</t>
        </is>
      </c>
      <c r="G313" t="inlineStr">
        <is>
          <t>DOROTEA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41353-2022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44824</v>
      </c>
      <c r="E314" s="1" t="n">
        <v>46270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46141</v>
      </c>
      <c r="E315" s="1" t="n">
        <v>46270</v>
      </c>
      <c r="F315" t="inlineStr">
        <is>
          <t>VÄSTERBOTTENS LÄN</t>
        </is>
      </c>
      <c r="G315" t="inlineStr">
        <is>
          <t>DOROTEA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46140</v>
      </c>
      <c r="E316" s="1" t="n">
        <v>46270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44910</v>
      </c>
      <c r="E317" s="1" t="n">
        <v>46270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20755-2026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46141</v>
      </c>
      <c r="E318" s="1" t="n">
        <v>46270</v>
      </c>
      <c r="F318" t="inlineStr">
        <is>
          <t>VÄSTERBOTTENS LÄN</t>
        </is>
      </c>
      <c r="G318" t="inlineStr">
        <is>
          <t>DOROTEA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27199-2024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45471</v>
      </c>
      <c r="E319" s="1" t="n">
        <v>46270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39471-2024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45551</v>
      </c>
      <c r="E320" s="1" t="n">
        <v>46270</v>
      </c>
      <c r="F320" t="inlineStr">
        <is>
          <t>VÄSTERBOTTENS LÄN</t>
        </is>
      </c>
      <c r="G320" t="inlineStr">
        <is>
          <t>DOROTEA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45055</v>
      </c>
      <c r="E321" s="1" t="n">
        <v>46270</v>
      </c>
      <c r="F321" t="inlineStr">
        <is>
          <t>VÄSTERBOTTENS LÄN</t>
        </is>
      </c>
      <c r="G321" t="inlineStr">
        <is>
          <t>DOROTEA</t>
        </is>
      </c>
      <c r="H321" t="inlineStr">
        <is>
          <t>Övriga statliga verk och myndigheter</t>
        </is>
      </c>
      <c r="I321" t="n">
        <v>13.9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53272-2024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45614</v>
      </c>
      <c r="E322" s="1" t="n">
        <v>46270</v>
      </c>
      <c r="F322" t="inlineStr">
        <is>
          <t>VÄSTERBOTTENS LÄN</t>
        </is>
      </c>
      <c r="G322" t="inlineStr">
        <is>
          <t>DOROTEA</t>
        </is>
      </c>
      <c r="I322" t="n">
        <v>31.7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46013</v>
      </c>
      <c r="E323" s="1" t="n">
        <v>46270</v>
      </c>
      <c r="F323" t="inlineStr">
        <is>
          <t>VÄSTERBOTTENS LÄN</t>
        </is>
      </c>
      <c r="G323" t="inlineStr">
        <is>
          <t>DOROTEA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46136</v>
      </c>
      <c r="E324" s="1" t="n">
        <v>46270</v>
      </c>
      <c r="F324" t="inlineStr">
        <is>
          <t>VÄSTERBOTTENS LÄN</t>
        </is>
      </c>
      <c r="G324" t="inlineStr">
        <is>
          <t>DOROTEA</t>
        </is>
      </c>
      <c r="I324" t="n">
        <v>21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45678</v>
      </c>
      <c r="E325" s="1" t="n">
        <v>46270</v>
      </c>
      <c r="F325" t="inlineStr">
        <is>
          <t>VÄSTERBOTTENS LÄN</t>
        </is>
      </c>
      <c r="G325" t="inlineStr">
        <is>
          <t>DOROTEA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45866</v>
      </c>
      <c r="E326" s="1" t="n">
        <v>46270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45169</v>
      </c>
      <c r="E327" s="1" t="n">
        <v>46270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3017-2024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45315</v>
      </c>
      <c r="E328" s="1" t="n">
        <v>46270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45771</v>
      </c>
      <c r="E329" s="1" t="n">
        <v>46270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21152-2026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46146</v>
      </c>
      <c r="E330" s="1" t="n">
        <v>46270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21338-2026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46147</v>
      </c>
      <c r="E331" s="1" t="n">
        <v>46270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46146</v>
      </c>
      <c r="E332" s="1" t="n">
        <v>46270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21332-2026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46147</v>
      </c>
      <c r="E333" s="1" t="n">
        <v>46270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27777-2026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46189</v>
      </c>
      <c r="E334" s="1" t="n">
        <v>46270</v>
      </c>
      <c r="F334" t="inlineStr">
        <is>
          <t>VÄSTERBOTTENS LÄN</t>
        </is>
      </c>
      <c r="G334" t="inlineStr">
        <is>
          <t>DOROTEA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46189</v>
      </c>
      <c r="E335" s="1" t="n">
        <v>46270</v>
      </c>
      <c r="F335" t="inlineStr">
        <is>
          <t>VÄSTERBOTTENS LÄN</t>
        </is>
      </c>
      <c r="G335" t="inlineStr">
        <is>
          <t>DOROTEA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46189</v>
      </c>
      <c r="E336" s="1" t="n">
        <v>46270</v>
      </c>
      <c r="F336" t="inlineStr">
        <is>
          <t>VÄSTERBOTTENS LÄN</t>
        </is>
      </c>
      <c r="G336" t="inlineStr">
        <is>
          <t>DOROTEA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21749-2026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46149</v>
      </c>
      <c r="E337" s="1" t="n">
        <v>46270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44958</v>
      </c>
      <c r="E338" s="1" t="n">
        <v>46270</v>
      </c>
      <c r="F338" t="inlineStr">
        <is>
          <t>VÄSTERBOTTENS LÄN</t>
        </is>
      </c>
      <c r="G338" t="inlineStr">
        <is>
          <t>DOROTEA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45747</v>
      </c>
      <c r="E339" s="1" t="n">
        <v>46270</v>
      </c>
      <c r="F339" t="inlineStr">
        <is>
          <t>VÄSTERBOTTENS LÄN</t>
        </is>
      </c>
      <c r="G339" t="inlineStr">
        <is>
          <t>DOROTEA</t>
        </is>
      </c>
      <c r="I339" t="n">
        <v>10.3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74013-2021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44557</v>
      </c>
      <c r="E340" s="1" t="n">
        <v>46270</v>
      </c>
      <c r="F340" t="inlineStr">
        <is>
          <t>VÄSTERBOTTENS LÄN</t>
        </is>
      </c>
      <c r="G340" t="inlineStr">
        <is>
          <t>DOROTEA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45246</v>
      </c>
      <c r="E341" s="1" t="n">
        <v>46270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21902-2026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46150</v>
      </c>
      <c r="E342" s="1" t="n">
        <v>46270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22128-2026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46270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21812-2026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46150</v>
      </c>
      <c r="E344" s="1" t="n">
        <v>46270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42484-2024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45565</v>
      </c>
      <c r="E345" s="1" t="n">
        <v>46270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22214-2026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46270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16.4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22650-2026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46155</v>
      </c>
      <c r="E347" s="1" t="n">
        <v>46270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55919-2023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45239</v>
      </c>
      <c r="E348" s="1" t="n">
        <v>46270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55888-2022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44888</v>
      </c>
      <c r="E349" s="1" t="n">
        <v>46270</v>
      </c>
      <c r="F349" t="inlineStr">
        <is>
          <t>VÄSTERBOTTENS LÄN</t>
        </is>
      </c>
      <c r="G349" t="inlineStr">
        <is>
          <t>DOROTEA</t>
        </is>
      </c>
      <c r="I349" t="n">
        <v>7.6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42228-2024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45562</v>
      </c>
      <c r="E350" s="1" t="n">
        <v>46270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7.7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44960</v>
      </c>
      <c r="E351" s="1" t="n">
        <v>46270</v>
      </c>
      <c r="F351" t="inlineStr">
        <is>
          <t>VÄSTERBOTTENS LÄN</t>
        </is>
      </c>
      <c r="G351" t="inlineStr">
        <is>
          <t>DOROTEA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38096-2025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45882</v>
      </c>
      <c r="E352" s="1" t="n">
        <v>46270</v>
      </c>
      <c r="F352" t="inlineStr">
        <is>
          <t>VÄSTERBOTTENS LÄN</t>
        </is>
      </c>
      <c r="G352" t="inlineStr">
        <is>
          <t>DOROTEA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15735-2026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46107</v>
      </c>
      <c r="E353" s="1" t="n">
        <v>46270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38377-2023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45161</v>
      </c>
      <c r="E354" s="1" t="n">
        <v>46270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31497-2024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45505</v>
      </c>
      <c r="E355" s="1" t="n">
        <v>46270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52144-2023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46270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23001-2026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46160</v>
      </c>
      <c r="E357" s="1" t="n">
        <v>46270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30461-2024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45491</v>
      </c>
      <c r="E358" s="1" t="n">
        <v>46270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47494-2023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45202</v>
      </c>
      <c r="E359" s="1" t="n">
        <v>46270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54031-2025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45962</v>
      </c>
      <c r="E360" s="1" t="n">
        <v>46270</v>
      </c>
      <c r="F360" t="inlineStr">
        <is>
          <t>VÄSTERBOTTENS LÄN</t>
        </is>
      </c>
      <c r="G360" t="inlineStr">
        <is>
          <t>DOROTEA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22942-2024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45448</v>
      </c>
      <c r="E361" s="1" t="n">
        <v>46270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23214-2026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46162</v>
      </c>
      <c r="E362" s="1" t="n">
        <v>46270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14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23408-2026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46162</v>
      </c>
      <c r="E363" s="1" t="n">
        <v>46270</v>
      </c>
      <c r="F363" t="inlineStr">
        <is>
          <t>VÄSTERBOTTENS LÄN</t>
        </is>
      </c>
      <c r="G363" t="inlineStr">
        <is>
          <t>DOROTEA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17783-2023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45036</v>
      </c>
      <c r="E364" s="1" t="n">
        <v>46270</v>
      </c>
      <c r="F364" t="inlineStr">
        <is>
          <t>VÄSTERBOTTENS LÄN</t>
        </is>
      </c>
      <c r="G364" t="inlineStr">
        <is>
          <t>DOROTEA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23336-2026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46162</v>
      </c>
      <c r="E365" s="1" t="n">
        <v>46270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23324-2026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46162</v>
      </c>
      <c r="E366" s="1" t="n">
        <v>46270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42473-2024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45565</v>
      </c>
      <c r="E367" s="1" t="n">
        <v>46270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50582-2024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45600</v>
      </c>
      <c r="E368" s="1" t="n">
        <v>46270</v>
      </c>
      <c r="F368" t="inlineStr">
        <is>
          <t>VÄSTERBOTTENS LÄN</t>
        </is>
      </c>
      <c r="G368" t="inlineStr">
        <is>
          <t>DOROTEA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57070-2023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45244</v>
      </c>
      <c r="E369" s="1" t="n">
        <v>46270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59007-2024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45636</v>
      </c>
      <c r="E370" s="1" t="n">
        <v>46270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22944-2024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45448</v>
      </c>
      <c r="E371" s="1" t="n">
        <v>46270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45735</v>
      </c>
      <c r="E372" s="1" t="n">
        <v>46270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45566</v>
      </c>
      <c r="E373" s="1" t="n">
        <v>46270</v>
      </c>
      <c r="F373" t="inlineStr">
        <is>
          <t>VÄSTERBOTTENS LÄN</t>
        </is>
      </c>
      <c r="G373" t="inlineStr">
        <is>
          <t>DOROTEA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44942</v>
      </c>
      <c r="E374" s="1" t="n">
        <v>46270</v>
      </c>
      <c r="F374" t="inlineStr">
        <is>
          <t>VÄSTERBOTTENS LÄN</t>
        </is>
      </c>
      <c r="G374" t="inlineStr">
        <is>
          <t>DOROTEA</t>
        </is>
      </c>
      <c r="I374" t="n">
        <v>22.7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25373-2026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46270</v>
      </c>
      <c r="F375" t="inlineStr">
        <is>
          <t>VÄSTERBOTTENS LÄN</t>
        </is>
      </c>
      <c r="G375" t="inlineStr">
        <is>
          <t>DOROTEA</t>
        </is>
      </c>
      <c r="I375" t="n">
        <v>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9103-2023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44979</v>
      </c>
      <c r="E376" s="1" t="n">
        <v>46270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24852-2026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46270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45632</v>
      </c>
      <c r="E378" s="1" t="n">
        <v>46270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24839-2026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46174</v>
      </c>
      <c r="E379" s="1" t="n">
        <v>46270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11.8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25361-2026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46176</v>
      </c>
      <c r="E380" s="1" t="n">
        <v>46270</v>
      </c>
      <c r="F380" t="inlineStr">
        <is>
          <t>VÄSTERBOTTENS LÄN</t>
        </is>
      </c>
      <c r="G380" t="inlineStr">
        <is>
          <t>DOROTEA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33372-2024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45519</v>
      </c>
      <c r="E381" s="1" t="n">
        <v>46270</v>
      </c>
      <c r="F381" t="inlineStr">
        <is>
          <t>VÄSTERBOTTENS LÄN</t>
        </is>
      </c>
      <c r="G381" t="inlineStr">
        <is>
          <t>DOROTEA</t>
        </is>
      </c>
      <c r="I381" t="n">
        <v>8.9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25682-2026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46178</v>
      </c>
      <c r="E382" s="1" t="n">
        <v>46270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14255-2026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46099</v>
      </c>
      <c r="E383" s="1" t="n">
        <v>46270</v>
      </c>
      <c r="F383" t="inlineStr">
        <is>
          <t>VÄSTERBOTTENS LÄN</t>
        </is>
      </c>
      <c r="G383" t="inlineStr">
        <is>
          <t>DOROTEA</t>
        </is>
      </c>
      <c r="I383" t="n">
        <v>26.2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26124-2026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46270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26237-2026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46182</v>
      </c>
      <c r="E385" s="1" t="n">
        <v>46270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26255-2026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46182</v>
      </c>
      <c r="E386" s="1" t="n">
        <v>46270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14320-2024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45393</v>
      </c>
      <c r="E387" s="1" t="n">
        <v>46270</v>
      </c>
      <c r="F387" t="inlineStr">
        <is>
          <t>VÄSTERBOTTENS LÄN</t>
        </is>
      </c>
      <c r="G387" t="inlineStr">
        <is>
          <t>DOROTEA</t>
        </is>
      </c>
      <c r="I387" t="n">
        <v>10.2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59418-2023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45253</v>
      </c>
      <c r="E388" s="1" t="n">
        <v>46270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7.6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45111</v>
      </c>
      <c r="E389" s="1" t="n">
        <v>46270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42515-2023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45180</v>
      </c>
      <c r="E390" s="1" t="n">
        <v>46270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27.7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26926-2026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46185</v>
      </c>
      <c r="E391" s="1" t="n">
        <v>46270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52148-2023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45223</v>
      </c>
      <c r="E392" s="1" t="n">
        <v>46270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4617-2023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44956</v>
      </c>
      <c r="E393" s="1" t="n">
        <v>46270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27738-2026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46191</v>
      </c>
      <c r="E394" s="1" t="n">
        <v>46270</v>
      </c>
      <c r="F394" t="inlineStr">
        <is>
          <t>VÄSTERBOTTENS LÄN</t>
        </is>
      </c>
      <c r="G394" t="inlineStr">
        <is>
          <t>DOROTEA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56807-2021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44481</v>
      </c>
      <c r="E395" s="1" t="n">
        <v>46270</v>
      </c>
      <c r="F395" t="inlineStr">
        <is>
          <t>VÄSTERBOTTENS LÄN</t>
        </is>
      </c>
      <c r="G395" t="inlineStr">
        <is>
          <t>DOROTEA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59395-2023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45253</v>
      </c>
      <c r="E396" s="1" t="n">
        <v>46270</v>
      </c>
      <c r="F396" t="inlineStr">
        <is>
          <t>VÄSTERBOTTENS LÄN</t>
        </is>
      </c>
      <c r="G396" t="inlineStr">
        <is>
          <t>DOROTEA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59397-2023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45253</v>
      </c>
      <c r="E397" s="1" t="n">
        <v>46270</v>
      </c>
      <c r="F397" t="inlineStr">
        <is>
          <t>VÄSTERBOTTENS LÄN</t>
        </is>
      </c>
      <c r="G397" t="inlineStr">
        <is>
          <t>DOROTEA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35990-2023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45148</v>
      </c>
      <c r="E398" s="1" t="n">
        <v>46270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46818-2023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45198</v>
      </c>
      <c r="E399" s="1" t="n">
        <v>46270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46195</v>
      </c>
      <c r="E400" s="1" t="n">
        <v>46270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46270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28360-2026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46196</v>
      </c>
      <c r="E402" s="1" t="n">
        <v>46270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49.5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28782-2026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46270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28783-2026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46270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57955-2021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44484</v>
      </c>
      <c r="E405" s="1" t="n">
        <v>46270</v>
      </c>
      <c r="F405" t="inlineStr">
        <is>
          <t>VÄSTERBOTTENS LÄN</t>
        </is>
      </c>
      <c r="G405" t="inlineStr">
        <is>
          <t>DOROTEA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57071-2023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45244</v>
      </c>
      <c r="E406" s="1" t="n">
        <v>46270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28741-2026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46198</v>
      </c>
      <c r="E407" s="1" t="n">
        <v>46270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60145-2021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44494</v>
      </c>
      <c r="E408" s="1" t="n">
        <v>46270</v>
      </c>
      <c r="F408" t="inlineStr">
        <is>
          <t>VÄSTERBOTTENS LÄN</t>
        </is>
      </c>
      <c r="G408" t="inlineStr">
        <is>
          <t>DOROTEA</t>
        </is>
      </c>
      <c r="I408" t="n">
        <v>13.3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28549-2023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45103</v>
      </c>
      <c r="E409" s="1" t="n">
        <v>46270</v>
      </c>
      <c r="F409" t="inlineStr">
        <is>
          <t>VÄSTERBOTTENS LÄN</t>
        </is>
      </c>
      <c r="G409" t="inlineStr">
        <is>
          <t>DOROTEA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29757-2026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46270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9.300000000000001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33364-2026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46247</v>
      </c>
      <c r="E411" s="1" t="n">
        <v>46270</v>
      </c>
      <c r="F411" t="inlineStr">
        <is>
          <t>VÄSTERBOTTENS LÄN</t>
        </is>
      </c>
      <c r="G411" t="inlineStr">
        <is>
          <t>DOROTEA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46817-2022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44848</v>
      </c>
      <c r="E412" s="1" t="n">
        <v>46270</v>
      </c>
      <c r="F412" t="inlineStr">
        <is>
          <t>VÄSTERBOTTENS LÄN</t>
        </is>
      </c>
      <c r="G412" t="inlineStr">
        <is>
          <t>DOROTEA</t>
        </is>
      </c>
      <c r="I412" t="n">
        <v>29.8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13035-2024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45385</v>
      </c>
      <c r="E413" s="1" t="n">
        <v>46270</v>
      </c>
      <c r="F413" t="inlineStr">
        <is>
          <t>VÄSTERBOTTENS LÄN</t>
        </is>
      </c>
      <c r="G413" t="inlineStr">
        <is>
          <t>DOROTEA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31093-2026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46209</v>
      </c>
      <c r="E414" s="1" t="n">
        <v>46270</v>
      </c>
      <c r="F414" t="inlineStr">
        <is>
          <t>VÄSTERBOTTENS LÄN</t>
        </is>
      </c>
      <c r="G414" t="inlineStr">
        <is>
          <t>DOROTEA</t>
        </is>
      </c>
      <c r="I414" t="n">
        <v>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46966-2024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45586</v>
      </c>
      <c r="E415" s="1" t="n">
        <v>46270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30078-2026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46270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23300-2023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45075</v>
      </c>
      <c r="E417" s="1" t="n">
        <v>46270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28717-2022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44748</v>
      </c>
      <c r="E418" s="1" t="n">
        <v>46270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30059-2024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45488</v>
      </c>
      <c r="E419" s="1" t="n">
        <v>46270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33514-2026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46248</v>
      </c>
      <c r="E420" s="1" t="n">
        <v>46270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43092-2023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45182</v>
      </c>
      <c r="E421" s="1" t="n">
        <v>46270</v>
      </c>
      <c r="F421" t="inlineStr">
        <is>
          <t>VÄSTERBOTTENS LÄN</t>
        </is>
      </c>
      <c r="G421" t="inlineStr">
        <is>
          <t>DOROTEA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30190-2026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46270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34149-2026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46253</v>
      </c>
      <c r="E423" s="1" t="n">
        <v>46270</v>
      </c>
      <c r="F423" t="inlineStr">
        <is>
          <t>VÄSTERBOTTENS LÄN</t>
        </is>
      </c>
      <c r="G423" t="inlineStr">
        <is>
          <t>DOROTEA</t>
        </is>
      </c>
      <c r="I423" t="n">
        <v>11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34187-2026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46270</v>
      </c>
      <c r="F424" t="inlineStr">
        <is>
          <t>VÄSTERBOTTENS LÄN</t>
        </is>
      </c>
      <c r="G424" t="inlineStr">
        <is>
          <t>DOROTEA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46253</v>
      </c>
      <c r="E425" s="1" t="n">
        <v>46270</v>
      </c>
      <c r="F425" t="inlineStr">
        <is>
          <t>VÄSTERBOTTENS LÄN</t>
        </is>
      </c>
      <c r="G425" t="inlineStr">
        <is>
          <t>DOROTEA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13023-2025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45734</v>
      </c>
      <c r="E426" s="1" t="n">
        <v>46270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34186-2026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46253</v>
      </c>
      <c r="E427" s="1" t="n">
        <v>46270</v>
      </c>
      <c r="F427" t="inlineStr">
        <is>
          <t>VÄSTERBOTTENS LÄN</t>
        </is>
      </c>
      <c r="G427" t="inlineStr">
        <is>
          <t>DOROTEA</t>
        </is>
      </c>
      <c r="I427" t="n">
        <v>13.6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30645-2026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46211</v>
      </c>
      <c r="E428" s="1" t="n">
        <v>46270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46212</v>
      </c>
      <c r="E429" s="1" t="n">
        <v>46270</v>
      </c>
      <c r="F429" t="inlineStr">
        <is>
          <t>VÄSTERBOTTENS LÄN</t>
        </is>
      </c>
      <c r="G429" t="inlineStr">
        <is>
          <t>DOROTEA</t>
        </is>
      </c>
      <c r="I429" t="n">
        <v>8.4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34448-2026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46254</v>
      </c>
      <c r="E430" s="1" t="n">
        <v>46270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43944-2024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45572</v>
      </c>
      <c r="E431" s="1" t="n">
        <v>46270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28856-2024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45478</v>
      </c>
      <c r="E432" s="1" t="n">
        <v>46270</v>
      </c>
      <c r="F432" t="inlineStr">
        <is>
          <t>VÄSTERBOTTENS LÄN</t>
        </is>
      </c>
      <c r="G432" t="inlineStr">
        <is>
          <t>DOROTEA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53382-2024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45614</v>
      </c>
      <c r="E433" s="1" t="n">
        <v>46270</v>
      </c>
      <c r="F433" t="inlineStr">
        <is>
          <t>VÄSTERBOTTENS LÄN</t>
        </is>
      </c>
      <c r="G433" t="inlineStr">
        <is>
          <t>DOROTEA</t>
        </is>
      </c>
      <c r="I433" t="n">
        <v>11.2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46212</v>
      </c>
      <c r="E434" s="1" t="n">
        <v>46270</v>
      </c>
      <c r="F434" t="inlineStr">
        <is>
          <t>VÄSTERBOTTENS LÄN</t>
        </is>
      </c>
      <c r="G434" t="inlineStr">
        <is>
          <t>DOROTEA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30823-2026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46212</v>
      </c>
      <c r="E435" s="1" t="n">
        <v>46270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30740-2026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46211</v>
      </c>
      <c r="E436" s="1" t="n">
        <v>46270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42104-2024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45562</v>
      </c>
      <c r="E437" s="1" t="n">
        <v>46270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31016-2026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46213</v>
      </c>
      <c r="E438" s="1" t="n">
        <v>46270</v>
      </c>
      <c r="F438" t="inlineStr">
        <is>
          <t>VÄSTERBOTTENS LÄN</t>
        </is>
      </c>
      <c r="G438" t="inlineStr">
        <is>
          <t>DOROTEA</t>
        </is>
      </c>
      <c r="I438" t="n">
        <v>7.8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46213</v>
      </c>
      <c r="E439" s="1" t="n">
        <v>46270</v>
      </c>
      <c r="F439" t="inlineStr">
        <is>
          <t>VÄSTERBOTTENS LÄN</t>
        </is>
      </c>
      <c r="G439" t="inlineStr">
        <is>
          <t>DOROTEA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22774-2025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45789</v>
      </c>
      <c r="E440" s="1" t="n">
        <v>46270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13451-2022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44645</v>
      </c>
      <c r="E441" s="1" t="n">
        <v>46270</v>
      </c>
      <c r="F441" t="inlineStr">
        <is>
          <t>VÄSTERBOTTENS LÄN</t>
        </is>
      </c>
      <c r="G441" t="inlineStr">
        <is>
          <t>DOROTEA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19889-2025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45771</v>
      </c>
      <c r="E442" s="1" t="n">
        <v>46270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46218</v>
      </c>
      <c r="E443" s="1" t="n">
        <v>46270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35337-2026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46261</v>
      </c>
      <c r="E444" s="1" t="n">
        <v>46270</v>
      </c>
      <c r="F444" t="inlineStr">
        <is>
          <t>VÄSTERBOTTENS LÄN</t>
        </is>
      </c>
      <c r="G444" t="inlineStr">
        <is>
          <t>DOROTEA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46218</v>
      </c>
      <c r="E445" s="1" t="n">
        <v>46270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31181-2026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46217</v>
      </c>
      <c r="E446" s="1" t="n">
        <v>46270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35352-2026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46261</v>
      </c>
      <c r="E447" s="1" t="n">
        <v>46270</v>
      </c>
      <c r="F447" t="inlineStr">
        <is>
          <t>VÄSTERBOTTENS LÄN</t>
        </is>
      </c>
      <c r="G447" t="inlineStr">
        <is>
          <t>DOROTEA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34820-2023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45140</v>
      </c>
      <c r="E448" s="1" t="n">
        <v>46270</v>
      </c>
      <c r="F448" t="inlineStr">
        <is>
          <t>VÄSTERBOTTENS LÄN</t>
        </is>
      </c>
      <c r="G448" t="inlineStr">
        <is>
          <t>DOROTEA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29737-2024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45485</v>
      </c>
      <c r="E449" s="1" t="n">
        <v>46270</v>
      </c>
      <c r="F449" t="inlineStr">
        <is>
          <t>VÄSTERBOTTENS LÄN</t>
        </is>
      </c>
      <c r="G449" t="inlineStr">
        <is>
          <t>DOROTEA</t>
        </is>
      </c>
      <c r="I449" t="n">
        <v>10.2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31179-2026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46217</v>
      </c>
      <c r="E450" s="1" t="n">
        <v>46270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31259-2026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46218</v>
      </c>
      <c r="E451" s="1" t="n">
        <v>46270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23457-2025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45792</v>
      </c>
      <c r="E452" s="1" t="n">
        <v>46270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35296-2026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46261</v>
      </c>
      <c r="E453" s="1" t="n">
        <v>46270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35335-2026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46261</v>
      </c>
      <c r="E454" s="1" t="n">
        <v>46270</v>
      </c>
      <c r="F454" t="inlineStr">
        <is>
          <t>VÄSTERBOTTENS LÄN</t>
        </is>
      </c>
      <c r="G454" t="inlineStr">
        <is>
          <t>DOROTEA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46261</v>
      </c>
      <c r="E455" s="1" t="n">
        <v>46270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39470-2024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45551</v>
      </c>
      <c r="E456" s="1" t="n">
        <v>46270</v>
      </c>
      <c r="F456" t="inlineStr">
        <is>
          <t>VÄSTERBOTTENS LÄN</t>
        </is>
      </c>
      <c r="G456" t="inlineStr">
        <is>
          <t>DOROTEA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33113-2024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45517</v>
      </c>
      <c r="E457" s="1" t="n">
        <v>46270</v>
      </c>
      <c r="F457" t="inlineStr">
        <is>
          <t>VÄSTERBOTTENS LÄN</t>
        </is>
      </c>
      <c r="G457" t="inlineStr">
        <is>
          <t>DOROTEA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31439-2026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46220</v>
      </c>
      <c r="E458" s="1" t="n">
        <v>46270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46262</v>
      </c>
      <c r="E459" s="1" t="n">
        <v>46270</v>
      </c>
      <c r="F459" t="inlineStr">
        <is>
          <t>VÄSTERBOTTENS LÄN</t>
        </is>
      </c>
      <c r="G459" t="inlineStr">
        <is>
          <t>DOROTEA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31574-2026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46224</v>
      </c>
      <c r="E460" s="1" t="n">
        <v>46270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31573-2026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46224</v>
      </c>
      <c r="E461" s="1" t="n">
        <v>46270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31575-2026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46224</v>
      </c>
      <c r="E462" s="1" t="n">
        <v>46270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36255-2026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46268</v>
      </c>
      <c r="E463" s="1" t="n">
        <v>46270</v>
      </c>
      <c r="F463" t="inlineStr">
        <is>
          <t>VÄSTERBOTTENS LÄN</t>
        </is>
      </c>
      <c r="G463" t="inlineStr">
        <is>
          <t>DOROTEA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2945-2024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45506</v>
      </c>
      <c r="E464" s="1" t="n">
        <v>46270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1058-2025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45749</v>
      </c>
      <c r="E465" s="1" t="n">
        <v>46270</v>
      </c>
      <c r="F465" t="inlineStr">
        <is>
          <t>VÄSTERBOTTENS LÄN</t>
        </is>
      </c>
      <c r="G465" t="inlineStr">
        <is>
          <t>DOROTEA</t>
        </is>
      </c>
      <c r="I465" t="n">
        <v>10.9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844-2025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45733</v>
      </c>
      <c r="E466" s="1" t="n">
        <v>46270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1293.5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2195-2025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45858</v>
      </c>
      <c r="E467" s="1" t="n">
        <v>46270</v>
      </c>
      <c r="F467" t="inlineStr">
        <is>
          <t>VÄSTERBOTTENS LÄN</t>
        </is>
      </c>
      <c r="G467" t="inlineStr">
        <is>
          <t>DOROTEA</t>
        </is>
      </c>
      <c r="I467" t="n">
        <v>27.4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2283-2025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45876</v>
      </c>
      <c r="E468" s="1" t="n">
        <v>46270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2360-2025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45889</v>
      </c>
      <c r="E469" s="1" t="n">
        <v>46270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1763-2026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46189</v>
      </c>
      <c r="E470" s="1" t="n">
        <v>46270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2026-09-05T02:03:19Z</dcterms:created>
  <dcterms:modified xmlns:dcterms="http://purl.org/dc/terms/" xmlns:xsi="http://www.w3.org/2001/XMLSchema-instance" xsi:type="dcterms:W3CDTF">2026-09-05T02:03:20Z</dcterms:modified>
</cp:coreProperties>
</file>