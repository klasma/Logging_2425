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65548-2019</t>
        </is>
      </c>
      <c r="B2" s="1" t="n">
        <v>43803</v>
      </c>
      <c r="C2" s="1" t="n">
        <v>45510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13.4</v>
      </c>
      <c r="H2" t="n">
        <v>1</v>
      </c>
      <c r="I2" t="n">
        <v>0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10</v>
      </c>
      <c r="R2" s="2" t="inlineStr">
        <is>
          <t>Lappticka
Rynkskinn
Doftskinn
Gammelgransskål
Granticka
Gränsticka
Harticka
Rosenticka
Tretåig hackspett
Ullticka</t>
        </is>
      </c>
      <c r="S2">
        <f>HYPERLINK("https://klasma.github.io/Logging_2425/artfynd/A 65548-2019 artfynd.xlsx", "A 65548-2019")</f>
        <v/>
      </c>
      <c r="T2">
        <f>HYPERLINK("https://klasma.github.io/Logging_2425/kartor/A 65548-2019 karta.png", "A 65548-2019")</f>
        <v/>
      </c>
      <c r="V2">
        <f>HYPERLINK("https://klasma.github.io/Logging_2425/klagomål/A 65548-2019 FSC-klagomål.docx", "A 65548-2019")</f>
        <v/>
      </c>
      <c r="W2">
        <f>HYPERLINK("https://klasma.github.io/Logging_2425/klagomålsmail/A 65548-2019 FSC-klagomål mail.docx", "A 65548-2019")</f>
        <v/>
      </c>
      <c r="X2">
        <f>HYPERLINK("https://klasma.github.io/Logging_2425/tillsyn/A 65548-2019 tillsynsbegäran.docx", "A 65548-2019")</f>
        <v/>
      </c>
      <c r="Y2">
        <f>HYPERLINK("https://klasma.github.io/Logging_2425/tillsynsmail/A 65548-2019 tillsynsbegäran mail.docx", "A 65548-2019")</f>
        <v/>
      </c>
      <c r="Z2">
        <f>HYPERLINK("https://klasma.github.io/Logging_2425/fåglar/A 65548-2019 prioriterade fågelarter.docx", "A 65548-2019")</f>
        <v/>
      </c>
    </row>
    <row r="3" ht="15" customHeight="1">
      <c r="A3" t="inlineStr">
        <is>
          <t>A 2227-2024</t>
        </is>
      </c>
      <c r="B3" s="1" t="n">
        <v>45309</v>
      </c>
      <c r="C3" s="1" t="n">
        <v>45510</v>
      </c>
      <c r="D3" t="inlineStr">
        <is>
          <t>VÄSTERBOTTENS LÄN</t>
        </is>
      </c>
      <c r="E3" t="inlineStr">
        <is>
          <t>DOROTEA</t>
        </is>
      </c>
      <c r="G3" t="n">
        <v>17.1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Lunglav
Skrovellav
Kransrams
Luddlav
Spindelblomster
Stuplav
Ögonpyrola
Fläcknycklar</t>
        </is>
      </c>
      <c r="S3">
        <f>HYPERLINK("https://klasma.github.io/Logging_2425/artfynd/A 2227-2024 artfynd.xlsx", "A 2227-2024")</f>
        <v/>
      </c>
      <c r="T3">
        <f>HYPERLINK("https://klasma.github.io/Logging_2425/kartor/A 2227-2024 karta.png", "A 2227-2024")</f>
        <v/>
      </c>
      <c r="V3">
        <f>HYPERLINK("https://klasma.github.io/Logging_2425/klagomål/A 2227-2024 FSC-klagomål.docx", "A 2227-2024")</f>
        <v/>
      </c>
      <c r="W3">
        <f>HYPERLINK("https://klasma.github.io/Logging_2425/klagomålsmail/A 2227-2024 FSC-klagomål mail.docx", "A 2227-2024")</f>
        <v/>
      </c>
      <c r="X3">
        <f>HYPERLINK("https://klasma.github.io/Logging_2425/tillsyn/A 2227-2024 tillsynsbegäran.docx", "A 2227-2024")</f>
        <v/>
      </c>
      <c r="Y3">
        <f>HYPERLINK("https://klasma.github.io/Logging_2425/tillsynsmail/A 2227-2024 tillsynsbegäran mail.docx", "A 2227-2024")</f>
        <v/>
      </c>
    </row>
    <row r="4" ht="15" customHeight="1">
      <c r="A4" t="inlineStr">
        <is>
          <t>A 54046-2023</t>
        </is>
      </c>
      <c r="B4" s="1" t="n">
        <v>45231</v>
      </c>
      <c r="C4" s="1" t="n">
        <v>45510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3.8</v>
      </c>
      <c r="H4" t="n">
        <v>1</v>
      </c>
      <c r="I4" t="n">
        <v>2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Harticka
Lunglav
Skrovellav
Tretåig hackspett
Rävticka
Stuplav</t>
        </is>
      </c>
      <c r="S4">
        <f>HYPERLINK("https://klasma.github.io/Logging_2425/artfynd/A 54046-2023 artfynd.xlsx", "A 54046-2023")</f>
        <v/>
      </c>
      <c r="T4">
        <f>HYPERLINK("https://klasma.github.io/Logging_2425/kartor/A 54046-2023 karta.png", "A 54046-2023")</f>
        <v/>
      </c>
      <c r="V4">
        <f>HYPERLINK("https://klasma.github.io/Logging_2425/klagomål/A 54046-2023 FSC-klagomål.docx", "A 54046-2023")</f>
        <v/>
      </c>
      <c r="W4">
        <f>HYPERLINK("https://klasma.github.io/Logging_2425/klagomålsmail/A 54046-2023 FSC-klagomål mail.docx", "A 54046-2023")</f>
        <v/>
      </c>
      <c r="X4">
        <f>HYPERLINK("https://klasma.github.io/Logging_2425/tillsyn/A 54046-2023 tillsynsbegäran.docx", "A 54046-2023")</f>
        <v/>
      </c>
      <c r="Y4">
        <f>HYPERLINK("https://klasma.github.io/Logging_2425/tillsynsmail/A 54046-2023 tillsynsbegäran mail.docx", "A 54046-2023")</f>
        <v/>
      </c>
      <c r="Z4">
        <f>HYPERLINK("https://klasma.github.io/Logging_2425/fåglar/A 54046-2023 prioriterade fågelarter.docx", "A 54046-2023")</f>
        <v/>
      </c>
    </row>
    <row r="5" ht="15" customHeight="1">
      <c r="A5" t="inlineStr">
        <is>
          <t>A 33655-2023</t>
        </is>
      </c>
      <c r="B5" s="1" t="n">
        <v>45119</v>
      </c>
      <c r="C5" s="1" t="n">
        <v>45510</v>
      </c>
      <c r="D5" t="inlineStr">
        <is>
          <t>VÄSTERBOTTENS LÄN</t>
        </is>
      </c>
      <c r="E5" t="inlineStr">
        <is>
          <t>DOROTEA</t>
        </is>
      </c>
      <c r="F5" t="inlineStr">
        <is>
          <t>Allmännings- och besparingsskogar</t>
        </is>
      </c>
      <c r="G5" t="n">
        <v>21.4</v>
      </c>
      <c r="H5" t="n">
        <v>0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Granticka
Harticka
Rosenticka
Ullticka
Fjällig taggsvamp s.str.
Trådticka</t>
        </is>
      </c>
      <c r="S5">
        <f>HYPERLINK("https://klasma.github.io/Logging_2425/artfynd/A 33655-2023 artfynd.xlsx", "A 33655-2023")</f>
        <v/>
      </c>
      <c r="T5">
        <f>HYPERLINK("https://klasma.github.io/Logging_2425/kartor/A 33655-2023 karta.png", "A 33655-2023")</f>
        <v/>
      </c>
      <c r="V5">
        <f>HYPERLINK("https://klasma.github.io/Logging_2425/klagomål/A 33655-2023 FSC-klagomål.docx", "A 33655-2023")</f>
        <v/>
      </c>
      <c r="W5">
        <f>HYPERLINK("https://klasma.github.io/Logging_2425/klagomålsmail/A 33655-2023 FSC-klagomål mail.docx", "A 33655-2023")</f>
        <v/>
      </c>
      <c r="X5">
        <f>HYPERLINK("https://klasma.github.io/Logging_2425/tillsyn/A 33655-2023 tillsynsbegäran.docx", "A 33655-2023")</f>
        <v/>
      </c>
      <c r="Y5">
        <f>HYPERLINK("https://klasma.github.io/Logging_2425/tillsynsmail/A 33655-2023 tillsynsbegäran mail.docx", "A 33655-2023")</f>
        <v/>
      </c>
    </row>
    <row r="6" ht="15" customHeight="1">
      <c r="A6" t="inlineStr">
        <is>
          <t>A 65561-2019</t>
        </is>
      </c>
      <c r="B6" s="1" t="n">
        <v>43803</v>
      </c>
      <c r="C6" s="1" t="n">
        <v>45510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13.1</v>
      </c>
      <c r="H6" t="n">
        <v>1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6</v>
      </c>
      <c r="R6" s="2" t="inlineStr">
        <is>
          <t>Granticka
Harticka
Tretåig hackspett
Vedtrappmossa
Vitgrynig nållav
Äggvaxskivling</t>
        </is>
      </c>
      <c r="S6">
        <f>HYPERLINK("https://klasma.github.io/Logging_2425/artfynd/A 65561-2019 artfynd.xlsx", "A 65561-2019")</f>
        <v/>
      </c>
      <c r="T6">
        <f>HYPERLINK("https://klasma.github.io/Logging_2425/kartor/A 65561-2019 karta.png", "A 65561-2019")</f>
        <v/>
      </c>
      <c r="V6">
        <f>HYPERLINK("https://klasma.github.io/Logging_2425/klagomål/A 65561-2019 FSC-klagomål.docx", "A 65561-2019")</f>
        <v/>
      </c>
      <c r="W6">
        <f>HYPERLINK("https://klasma.github.io/Logging_2425/klagomålsmail/A 65561-2019 FSC-klagomål mail.docx", "A 65561-2019")</f>
        <v/>
      </c>
      <c r="X6">
        <f>HYPERLINK("https://klasma.github.io/Logging_2425/tillsyn/A 65561-2019 tillsynsbegäran.docx", "A 65561-2019")</f>
        <v/>
      </c>
      <c r="Y6">
        <f>HYPERLINK("https://klasma.github.io/Logging_2425/tillsynsmail/A 65561-2019 tillsynsbegäran mail.docx", "A 65561-2019")</f>
        <v/>
      </c>
      <c r="Z6">
        <f>HYPERLINK("https://klasma.github.io/Logging_2425/fåglar/A 65561-2019 prioriterade fågelarter.docx", "A 65561-2019")</f>
        <v/>
      </c>
    </row>
    <row r="7" ht="15" customHeight="1">
      <c r="A7" t="inlineStr">
        <is>
          <t>A 49684-2020</t>
        </is>
      </c>
      <c r="B7" s="1" t="n">
        <v>44104</v>
      </c>
      <c r="C7" s="1" t="n">
        <v>45510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17.2</v>
      </c>
      <c r="H7" t="n">
        <v>0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Rynkskinn
Gränsticka
Harticka
Stjärntagging
Ullticka
Trådticka</t>
        </is>
      </c>
      <c r="S7">
        <f>HYPERLINK("https://klasma.github.io/Logging_2425/artfynd/A 49684-2020 artfynd.xlsx", "A 49684-2020")</f>
        <v/>
      </c>
      <c r="T7">
        <f>HYPERLINK("https://klasma.github.io/Logging_2425/kartor/A 49684-2020 karta.png", "A 49684-2020")</f>
        <v/>
      </c>
      <c r="V7">
        <f>HYPERLINK("https://klasma.github.io/Logging_2425/klagomål/A 49684-2020 FSC-klagomål.docx", "A 49684-2020")</f>
        <v/>
      </c>
      <c r="W7">
        <f>HYPERLINK("https://klasma.github.io/Logging_2425/klagomålsmail/A 49684-2020 FSC-klagomål mail.docx", "A 49684-2020")</f>
        <v/>
      </c>
      <c r="X7">
        <f>HYPERLINK("https://klasma.github.io/Logging_2425/tillsyn/A 49684-2020 tillsynsbegäran.docx", "A 49684-2020")</f>
        <v/>
      </c>
      <c r="Y7">
        <f>HYPERLINK("https://klasma.github.io/Logging_2425/tillsynsmail/A 49684-2020 tillsynsbegäran mail.docx", "A 49684-2020")</f>
        <v/>
      </c>
    </row>
    <row r="8" ht="15" customHeight="1">
      <c r="A8" t="inlineStr">
        <is>
          <t>A 33659-2023</t>
        </is>
      </c>
      <c r="B8" s="1" t="n">
        <v>45119</v>
      </c>
      <c r="C8" s="1" t="n">
        <v>45510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21.1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Granticka
Harticka
Stjärntagging
Tretåig hackspett
Trådticka</t>
        </is>
      </c>
      <c r="S8">
        <f>HYPERLINK("https://klasma.github.io/Logging_2425/artfynd/A 33659-2023 artfynd.xlsx", "A 33659-2023")</f>
        <v/>
      </c>
      <c r="T8">
        <f>HYPERLINK("https://klasma.github.io/Logging_2425/kartor/A 33659-2023 karta.png", "A 33659-2023")</f>
        <v/>
      </c>
      <c r="V8">
        <f>HYPERLINK("https://klasma.github.io/Logging_2425/klagomål/A 33659-2023 FSC-klagomål.docx", "A 33659-2023")</f>
        <v/>
      </c>
      <c r="W8">
        <f>HYPERLINK("https://klasma.github.io/Logging_2425/klagomålsmail/A 33659-2023 FSC-klagomål mail.docx", "A 33659-2023")</f>
        <v/>
      </c>
      <c r="X8">
        <f>HYPERLINK("https://klasma.github.io/Logging_2425/tillsyn/A 33659-2023 tillsynsbegäran.docx", "A 33659-2023")</f>
        <v/>
      </c>
      <c r="Y8">
        <f>HYPERLINK("https://klasma.github.io/Logging_2425/tillsynsmail/A 33659-2023 tillsynsbegäran mail.docx", "A 33659-2023")</f>
        <v/>
      </c>
      <c r="Z8">
        <f>HYPERLINK("https://klasma.github.io/Logging_2425/fåglar/A 33659-2023 prioriterade fågelarter.docx", "A 33659-2023")</f>
        <v/>
      </c>
    </row>
    <row r="9" ht="15" customHeight="1">
      <c r="A9" t="inlineStr">
        <is>
          <t>A 54981-2021</t>
        </is>
      </c>
      <c r="B9" s="1" t="n">
        <v>44474</v>
      </c>
      <c r="C9" s="1" t="n">
        <v>45510</v>
      </c>
      <c r="D9" t="inlineStr">
        <is>
          <t>VÄSTERBOTTENS LÄN</t>
        </is>
      </c>
      <c r="E9" t="inlineStr">
        <is>
          <t>DOROTEA</t>
        </is>
      </c>
      <c r="F9" t="inlineStr">
        <is>
          <t>Övriga statliga verk och myndigheter</t>
        </is>
      </c>
      <c r="G9" t="n">
        <v>15.6</v>
      </c>
      <c r="H9" t="n">
        <v>0</v>
      </c>
      <c r="I9" t="n">
        <v>0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5</v>
      </c>
      <c r="R9" s="2" t="inlineStr">
        <is>
          <t>Urskogsporing
Gräddporing
Lateritticka
Nordtagging
Stjärntagging</t>
        </is>
      </c>
      <c r="S9">
        <f>HYPERLINK("https://klasma.github.io/Logging_2425/artfynd/A 54981-2021 artfynd.xlsx", "A 54981-2021")</f>
        <v/>
      </c>
      <c r="T9">
        <f>HYPERLINK("https://klasma.github.io/Logging_2425/kartor/A 54981-2021 karta.png", "A 54981-2021")</f>
        <v/>
      </c>
      <c r="V9">
        <f>HYPERLINK("https://klasma.github.io/Logging_2425/klagomål/A 54981-2021 FSC-klagomål.docx", "A 54981-2021")</f>
        <v/>
      </c>
      <c r="W9">
        <f>HYPERLINK("https://klasma.github.io/Logging_2425/klagomålsmail/A 54981-2021 FSC-klagomål mail.docx", "A 54981-2021")</f>
        <v/>
      </c>
      <c r="X9">
        <f>HYPERLINK("https://klasma.github.io/Logging_2425/tillsyn/A 54981-2021 tillsynsbegäran.docx", "A 54981-2021")</f>
        <v/>
      </c>
      <c r="Y9">
        <f>HYPERLINK("https://klasma.github.io/Logging_2425/tillsynsmail/A 54981-2021 tillsynsbegäran mail.docx", "A 54981-2021")</f>
        <v/>
      </c>
    </row>
    <row r="10" ht="15" customHeight="1">
      <c r="A10" t="inlineStr">
        <is>
          <t>A 9196-2022</t>
        </is>
      </c>
      <c r="B10" s="1" t="n">
        <v>44615</v>
      </c>
      <c r="C10" s="1" t="n">
        <v>45510</v>
      </c>
      <c r="D10" t="inlineStr">
        <is>
          <t>VÄSTERBOTTENS LÄN</t>
        </is>
      </c>
      <c r="E10" t="inlineStr">
        <is>
          <t>DOROTEA</t>
        </is>
      </c>
      <c r="G10" t="n">
        <v>12.7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Granticka
Gränsticka
Rosenticka
Ullticka
Vedticka</t>
        </is>
      </c>
      <c r="S10">
        <f>HYPERLINK("https://klasma.github.io/Logging_2425/artfynd/A 9196-2022 artfynd.xlsx", "A 9196-2022")</f>
        <v/>
      </c>
      <c r="T10">
        <f>HYPERLINK("https://klasma.github.io/Logging_2425/kartor/A 9196-2022 karta.png", "A 9196-2022")</f>
        <v/>
      </c>
      <c r="V10">
        <f>HYPERLINK("https://klasma.github.io/Logging_2425/klagomål/A 9196-2022 FSC-klagomål.docx", "A 9196-2022")</f>
        <v/>
      </c>
      <c r="W10">
        <f>HYPERLINK("https://klasma.github.io/Logging_2425/klagomålsmail/A 9196-2022 FSC-klagomål mail.docx", "A 9196-2022")</f>
        <v/>
      </c>
      <c r="X10">
        <f>HYPERLINK("https://klasma.github.io/Logging_2425/tillsyn/A 9196-2022 tillsynsbegäran.docx", "A 9196-2022")</f>
        <v/>
      </c>
      <c r="Y10">
        <f>HYPERLINK("https://klasma.github.io/Logging_2425/tillsynsmail/A 9196-2022 tillsynsbegäran mail.docx", "A 9196-2022")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45510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54047-2023</t>
        </is>
      </c>
      <c r="B12" s="1" t="n">
        <v>45231</v>
      </c>
      <c r="C12" s="1" t="n">
        <v>45510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3</v>
      </c>
      <c r="H12" t="n">
        <v>1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Garnlav
Harticka
Skrovellav
Tretåig hackspett
Luddlav</t>
        </is>
      </c>
      <c r="S12">
        <f>HYPERLINK("https://klasma.github.io/Logging_2425/artfynd/A 54047-2023 artfynd.xlsx", "A 54047-2023")</f>
        <v/>
      </c>
      <c r="T12">
        <f>HYPERLINK("https://klasma.github.io/Logging_2425/kartor/A 54047-2023 karta.png", "A 54047-2023")</f>
        <v/>
      </c>
      <c r="V12">
        <f>HYPERLINK("https://klasma.github.io/Logging_2425/klagomål/A 54047-2023 FSC-klagomål.docx", "A 54047-2023")</f>
        <v/>
      </c>
      <c r="W12">
        <f>HYPERLINK("https://klasma.github.io/Logging_2425/klagomålsmail/A 54047-2023 FSC-klagomål mail.docx", "A 54047-2023")</f>
        <v/>
      </c>
      <c r="X12">
        <f>HYPERLINK("https://klasma.github.io/Logging_2425/tillsyn/A 54047-2023 tillsynsbegäran.docx", "A 54047-2023")</f>
        <v/>
      </c>
      <c r="Y12">
        <f>HYPERLINK("https://klasma.github.io/Logging_2425/tillsynsmail/A 54047-2023 tillsynsbegäran mail.docx", "A 54047-2023")</f>
        <v/>
      </c>
      <c r="Z12">
        <f>HYPERLINK("https://klasma.github.io/Logging_2425/fåglar/A 54047-2023 prioriterade fågelarter.docx", "A 54047-2023")</f>
        <v/>
      </c>
    </row>
    <row r="13" ht="15" customHeight="1">
      <c r="A13" t="inlineStr">
        <is>
          <t>A 11338-2024</t>
        </is>
      </c>
      <c r="B13" s="1" t="n">
        <v>45372</v>
      </c>
      <c r="C13" s="1" t="n">
        <v>45510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15.3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Granticka
Lunglav
Spindelblomster
Stuplav
Tibast</t>
        </is>
      </c>
      <c r="S13">
        <f>HYPERLINK("https://klasma.github.io/Logging_2425/artfynd/A 11338-2024 artfynd.xlsx", "A 11338-2024")</f>
        <v/>
      </c>
      <c r="T13">
        <f>HYPERLINK("https://klasma.github.io/Logging_2425/kartor/A 11338-2024 karta.png", "A 11338-2024")</f>
        <v/>
      </c>
      <c r="V13">
        <f>HYPERLINK("https://klasma.github.io/Logging_2425/klagomål/A 11338-2024 FSC-klagomål.docx", "A 11338-2024")</f>
        <v/>
      </c>
      <c r="W13">
        <f>HYPERLINK("https://klasma.github.io/Logging_2425/klagomålsmail/A 11338-2024 FSC-klagomål mail.docx", "A 11338-2024")</f>
        <v/>
      </c>
      <c r="X13">
        <f>HYPERLINK("https://klasma.github.io/Logging_2425/tillsyn/A 11338-2024 tillsynsbegäran.docx", "A 11338-2024")</f>
        <v/>
      </c>
      <c r="Y13">
        <f>HYPERLINK("https://klasma.github.io/Logging_2425/tillsynsmail/A 11338-2024 tillsynsbegäran mail.docx", "A 11338-2024")</f>
        <v/>
      </c>
    </row>
    <row r="14" ht="15" customHeight="1">
      <c r="A14" t="inlineStr">
        <is>
          <t>A 17180-2024</t>
        </is>
      </c>
      <c r="B14" s="1" t="n">
        <v>45413</v>
      </c>
      <c r="C14" s="1" t="n">
        <v>45510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5.6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Granticka
Harticka
Luddlav</t>
        </is>
      </c>
      <c r="S14">
        <f>HYPERLINK("https://klasma.github.io/Logging_2425/artfynd/A 17180-2024 artfynd.xlsx", "A 17180-2024")</f>
        <v/>
      </c>
      <c r="T14">
        <f>HYPERLINK("https://klasma.github.io/Logging_2425/kartor/A 17180-2024 karta.png", "A 17180-2024")</f>
        <v/>
      </c>
      <c r="U14">
        <f>HYPERLINK("https://klasma.github.io/Logging_2425/knärot/A 17180-2024 karta knärot.png", "A 17180-2024")</f>
        <v/>
      </c>
      <c r="V14">
        <f>HYPERLINK("https://klasma.github.io/Logging_2425/klagomål/A 17180-2024 FSC-klagomål.docx", "A 17180-2024")</f>
        <v/>
      </c>
      <c r="W14">
        <f>HYPERLINK("https://klasma.github.io/Logging_2425/klagomålsmail/A 17180-2024 FSC-klagomål mail.docx", "A 17180-2024")</f>
        <v/>
      </c>
      <c r="X14">
        <f>HYPERLINK("https://klasma.github.io/Logging_2425/tillsyn/A 17180-2024 tillsynsbegäran.docx", "A 17180-2024")</f>
        <v/>
      </c>
      <c r="Y14">
        <f>HYPERLINK("https://klasma.github.io/Logging_2425/tillsynsmail/A 17180-2024 tillsynsbegäran mail.docx", "A 17180-2024")</f>
        <v/>
      </c>
    </row>
    <row r="15" ht="15" customHeight="1">
      <c r="A15" t="inlineStr">
        <is>
          <t>A 22947-2024</t>
        </is>
      </c>
      <c r="B15" s="1" t="n">
        <v>45448</v>
      </c>
      <c r="C15" s="1" t="n">
        <v>45510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6.7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Doftskinn
Gränsticka
Lunglav
Skrovellav
Stuplav</t>
        </is>
      </c>
      <c r="S15">
        <f>HYPERLINK("https://klasma.github.io/Logging_2425/artfynd/A 22947-2024 artfynd.xlsx", "A 22947-2024")</f>
        <v/>
      </c>
      <c r="T15">
        <f>HYPERLINK("https://klasma.github.io/Logging_2425/kartor/A 22947-2024 karta.png", "A 22947-2024")</f>
        <v/>
      </c>
      <c r="V15">
        <f>HYPERLINK("https://klasma.github.io/Logging_2425/klagomål/A 22947-2024 FSC-klagomål.docx", "A 22947-2024")</f>
        <v/>
      </c>
      <c r="W15">
        <f>HYPERLINK("https://klasma.github.io/Logging_2425/klagomålsmail/A 22947-2024 FSC-klagomål mail.docx", "A 22947-2024")</f>
        <v/>
      </c>
      <c r="X15">
        <f>HYPERLINK("https://klasma.github.io/Logging_2425/tillsyn/A 22947-2024 tillsynsbegäran.docx", "A 22947-2024")</f>
        <v/>
      </c>
      <c r="Y15">
        <f>HYPERLINK("https://klasma.github.io/Logging_2425/tillsynsmail/A 22947-2024 tillsynsbegäran mail.docx", "A 22947-2024")</f>
        <v/>
      </c>
    </row>
    <row r="16" ht="15" customHeight="1">
      <c r="A16" t="inlineStr">
        <is>
          <t>A 60124-2021</t>
        </is>
      </c>
      <c r="B16" s="1" t="n">
        <v>44494</v>
      </c>
      <c r="C16" s="1" t="n">
        <v>45510</v>
      </c>
      <c r="D16" t="inlineStr">
        <is>
          <t>VÄSTERBOTTENS LÄN</t>
        </is>
      </c>
      <c r="E16" t="inlineStr">
        <is>
          <t>DOROTEA</t>
        </is>
      </c>
      <c r="G16" t="n">
        <v>22.6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Harticka
Lunglav
Stuplav
Trådticka</t>
        </is>
      </c>
      <c r="S16">
        <f>HYPERLINK("https://klasma.github.io/Logging_2425/artfynd/A 60124-2021 artfynd.xlsx", "A 60124-2021")</f>
        <v/>
      </c>
      <c r="T16">
        <f>HYPERLINK("https://klasma.github.io/Logging_2425/kartor/A 60124-2021 karta.png", "A 60124-2021")</f>
        <v/>
      </c>
      <c r="V16">
        <f>HYPERLINK("https://klasma.github.io/Logging_2425/klagomål/A 60124-2021 FSC-klagomål.docx", "A 60124-2021")</f>
        <v/>
      </c>
      <c r="W16">
        <f>HYPERLINK("https://klasma.github.io/Logging_2425/klagomålsmail/A 60124-2021 FSC-klagomål mail.docx", "A 60124-2021")</f>
        <v/>
      </c>
      <c r="X16">
        <f>HYPERLINK("https://klasma.github.io/Logging_2425/tillsyn/A 60124-2021 tillsynsbegäran.docx", "A 60124-2021")</f>
        <v/>
      </c>
      <c r="Y16">
        <f>HYPERLINK("https://klasma.github.io/Logging_2425/tillsynsmail/A 60124-2021 tillsynsbegäran mail.docx", "A 60124-2021")</f>
        <v/>
      </c>
    </row>
    <row r="17" ht="15" customHeight="1">
      <c r="A17" t="inlineStr">
        <is>
          <t>A 4828-2023</t>
        </is>
      </c>
      <c r="B17" s="1" t="n">
        <v>44957</v>
      </c>
      <c r="C17" s="1" t="n">
        <v>45510</v>
      </c>
      <c r="D17" t="inlineStr">
        <is>
          <t>VÄSTERBOTTENS LÄN</t>
        </is>
      </c>
      <c r="E17" t="inlineStr">
        <is>
          <t>DOROTEA</t>
        </is>
      </c>
      <c r="G17" t="n">
        <v>8</v>
      </c>
      <c r="H17" t="n">
        <v>1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Granticka
Vitgrynig nållav
Spindelblomster</t>
        </is>
      </c>
      <c r="S17">
        <f>HYPERLINK("https://klasma.github.io/Logging_2425/artfynd/A 4828-2023 artfynd.xlsx", "A 4828-2023")</f>
        <v/>
      </c>
      <c r="T17">
        <f>HYPERLINK("https://klasma.github.io/Logging_2425/kartor/A 4828-2023 karta.png", "A 4828-2023")</f>
        <v/>
      </c>
      <c r="V17">
        <f>HYPERLINK("https://klasma.github.io/Logging_2425/klagomål/A 4828-2023 FSC-klagomål.docx", "A 4828-2023")</f>
        <v/>
      </c>
      <c r="W17">
        <f>HYPERLINK("https://klasma.github.io/Logging_2425/klagomålsmail/A 4828-2023 FSC-klagomål mail.docx", "A 4828-2023")</f>
        <v/>
      </c>
      <c r="X17">
        <f>HYPERLINK("https://klasma.github.io/Logging_2425/tillsyn/A 4828-2023 tillsynsbegäran.docx", "A 4828-2023")</f>
        <v/>
      </c>
      <c r="Y17">
        <f>HYPERLINK("https://klasma.github.io/Logging_2425/tillsynsmail/A 4828-2023 tillsynsbegäran mail.docx", "A 4828-2023")</f>
        <v/>
      </c>
    </row>
    <row r="18" ht="15" customHeight="1">
      <c r="A18" t="inlineStr">
        <is>
          <t>A 23555-2024</t>
        </is>
      </c>
      <c r="B18" s="1" t="n">
        <v>45453</v>
      </c>
      <c r="C18" s="1" t="n">
        <v>45510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16.3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Garnlav
Spindelblomster
Vanlig groda
Fläcknycklar</t>
        </is>
      </c>
      <c r="S18">
        <f>HYPERLINK("https://klasma.github.io/Logging_2425/artfynd/A 23555-2024 artfynd.xlsx", "A 23555-2024")</f>
        <v/>
      </c>
      <c r="T18">
        <f>HYPERLINK("https://klasma.github.io/Logging_2425/kartor/A 23555-2024 karta.png", "A 23555-2024")</f>
        <v/>
      </c>
      <c r="V18">
        <f>HYPERLINK("https://klasma.github.io/Logging_2425/klagomål/A 23555-2024 FSC-klagomål.docx", "A 23555-2024")</f>
        <v/>
      </c>
      <c r="W18">
        <f>HYPERLINK("https://klasma.github.io/Logging_2425/klagomålsmail/A 23555-2024 FSC-klagomål mail.docx", "A 23555-2024")</f>
        <v/>
      </c>
      <c r="X18">
        <f>HYPERLINK("https://klasma.github.io/Logging_2425/tillsyn/A 23555-2024 tillsynsbegäran.docx", "A 23555-2024")</f>
        <v/>
      </c>
      <c r="Y18">
        <f>HYPERLINK("https://klasma.github.io/Logging_2425/tillsynsmail/A 23555-2024 tillsynsbegäran mail.docx", "A 23555-2024")</f>
        <v/>
      </c>
    </row>
    <row r="19" ht="15" customHeight="1">
      <c r="A19" t="inlineStr">
        <is>
          <t>A 51376-2020</t>
        </is>
      </c>
      <c r="B19" s="1" t="n">
        <v>44112</v>
      </c>
      <c r="C19" s="1" t="n">
        <v>45510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8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Granticka
Harticka
Knottrig blåslav</t>
        </is>
      </c>
      <c r="S19">
        <f>HYPERLINK("https://klasma.github.io/Logging_2425/artfynd/A 51376-2020 artfynd.xlsx", "A 51376-2020")</f>
        <v/>
      </c>
      <c r="T19">
        <f>HYPERLINK("https://klasma.github.io/Logging_2425/kartor/A 51376-2020 karta.png", "A 51376-2020")</f>
        <v/>
      </c>
      <c r="V19">
        <f>HYPERLINK("https://klasma.github.io/Logging_2425/klagomål/A 51376-2020 FSC-klagomål.docx", "A 51376-2020")</f>
        <v/>
      </c>
      <c r="W19">
        <f>HYPERLINK("https://klasma.github.io/Logging_2425/klagomålsmail/A 51376-2020 FSC-klagomål mail.docx", "A 51376-2020")</f>
        <v/>
      </c>
      <c r="X19">
        <f>HYPERLINK("https://klasma.github.io/Logging_2425/tillsyn/A 51376-2020 tillsynsbegäran.docx", "A 51376-2020")</f>
        <v/>
      </c>
      <c r="Y19">
        <f>HYPERLINK("https://klasma.github.io/Logging_2425/tillsynsmail/A 51376-2020 tillsynsbegäran mail.docx", "A 51376-2020")</f>
        <v/>
      </c>
    </row>
    <row r="20" ht="15" customHeight="1">
      <c r="A20" t="inlineStr">
        <is>
          <t>A 21672-2023</t>
        </is>
      </c>
      <c r="B20" s="1" t="n">
        <v>45063</v>
      </c>
      <c r="C20" s="1" t="n">
        <v>45510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Doftskinn
Skrovellav
Ullticka</t>
        </is>
      </c>
      <c r="S20">
        <f>HYPERLINK("https://klasma.github.io/Logging_2425/artfynd/A 21672-2023 artfynd.xlsx", "A 21672-2023")</f>
        <v/>
      </c>
      <c r="T20">
        <f>HYPERLINK("https://klasma.github.io/Logging_2425/kartor/A 21672-2023 karta.png", "A 21672-2023")</f>
        <v/>
      </c>
      <c r="V20">
        <f>HYPERLINK("https://klasma.github.io/Logging_2425/klagomål/A 21672-2023 FSC-klagomål.docx", "A 21672-2023")</f>
        <v/>
      </c>
      <c r="W20">
        <f>HYPERLINK("https://klasma.github.io/Logging_2425/klagomålsmail/A 21672-2023 FSC-klagomål mail.docx", "A 21672-2023")</f>
        <v/>
      </c>
      <c r="X20">
        <f>HYPERLINK("https://klasma.github.io/Logging_2425/tillsyn/A 21672-2023 tillsynsbegäran.docx", "A 21672-2023")</f>
        <v/>
      </c>
      <c r="Y20">
        <f>HYPERLINK("https://klasma.github.io/Logging_2425/tillsynsmail/A 21672-2023 tillsynsbegäran mail.docx", "A 21672-2023")</f>
        <v/>
      </c>
    </row>
    <row r="21" ht="15" customHeight="1">
      <c r="A21" t="inlineStr">
        <is>
          <t>A 47496-2023</t>
        </is>
      </c>
      <c r="B21" s="1" t="n">
        <v>45202</v>
      </c>
      <c r="C21" s="1" t="n">
        <v>45510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7.4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Aspgelélav
Gammelgransskål
Tretåig hackspett</t>
        </is>
      </c>
      <c r="S21">
        <f>HYPERLINK("https://klasma.github.io/Logging_2425/artfynd/A 47496-2023 artfynd.xlsx", "A 47496-2023")</f>
        <v/>
      </c>
      <c r="T21">
        <f>HYPERLINK("https://klasma.github.io/Logging_2425/kartor/A 47496-2023 karta.png", "A 47496-2023")</f>
        <v/>
      </c>
      <c r="V21">
        <f>HYPERLINK("https://klasma.github.io/Logging_2425/klagomål/A 47496-2023 FSC-klagomål.docx", "A 47496-2023")</f>
        <v/>
      </c>
      <c r="W21">
        <f>HYPERLINK("https://klasma.github.io/Logging_2425/klagomålsmail/A 47496-2023 FSC-klagomål mail.docx", "A 47496-2023")</f>
        <v/>
      </c>
      <c r="X21">
        <f>HYPERLINK("https://klasma.github.io/Logging_2425/tillsyn/A 47496-2023 tillsynsbegäran.docx", "A 47496-2023")</f>
        <v/>
      </c>
      <c r="Y21">
        <f>HYPERLINK("https://klasma.github.io/Logging_2425/tillsynsmail/A 47496-2023 tillsynsbegäran mail.docx", "A 47496-2023")</f>
        <v/>
      </c>
      <c r="Z21">
        <f>HYPERLINK("https://klasma.github.io/Logging_2425/fåglar/A 47496-2023 prioriterade fågelarter.docx", "A 47496-2023")</f>
        <v/>
      </c>
    </row>
    <row r="22" ht="15" customHeight="1">
      <c r="A22" t="inlineStr">
        <is>
          <t>A 8853-2024</t>
        </is>
      </c>
      <c r="B22" s="1" t="n">
        <v>45356</v>
      </c>
      <c r="C22" s="1" t="n">
        <v>45510</v>
      </c>
      <c r="D22" t="inlineStr">
        <is>
          <t>VÄSTERBOTTENS LÄN</t>
        </is>
      </c>
      <c r="E22" t="inlineStr">
        <is>
          <t>DOROTEA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Garnlav
Luddlav
Stuplav</t>
        </is>
      </c>
      <c r="S22">
        <f>HYPERLINK("https://klasma.github.io/Logging_2425/artfynd/A 8853-2024 artfynd.xlsx", "A 8853-2024")</f>
        <v/>
      </c>
      <c r="T22">
        <f>HYPERLINK("https://klasma.github.io/Logging_2425/kartor/A 8853-2024 karta.png", "A 8853-2024")</f>
        <v/>
      </c>
      <c r="V22">
        <f>HYPERLINK("https://klasma.github.io/Logging_2425/klagomål/A 8853-2024 FSC-klagomål.docx", "A 8853-2024")</f>
        <v/>
      </c>
      <c r="W22">
        <f>HYPERLINK("https://klasma.github.io/Logging_2425/klagomålsmail/A 8853-2024 FSC-klagomål mail.docx", "A 8853-2024")</f>
        <v/>
      </c>
      <c r="X22">
        <f>HYPERLINK("https://klasma.github.io/Logging_2425/tillsyn/A 8853-2024 tillsynsbegäran.docx", "A 8853-2024")</f>
        <v/>
      </c>
      <c r="Y22">
        <f>HYPERLINK("https://klasma.github.io/Logging_2425/tillsynsmail/A 8853-2024 tillsynsbegäran mail.docx", "A 8853-2024")</f>
        <v/>
      </c>
    </row>
    <row r="23" ht="15" customHeight="1">
      <c r="A23" t="inlineStr">
        <is>
          <t>A 31476-2024</t>
        </is>
      </c>
      <c r="B23" s="1" t="n">
        <v>45506</v>
      </c>
      <c r="C23" s="1" t="n">
        <v>45510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7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Ostticka
Granticka
Rosenticka</t>
        </is>
      </c>
      <c r="S23">
        <f>HYPERLINK("https://klasma.github.io/Logging_2425/artfynd/A 31476-2024 artfynd.xlsx", "A 31476-2024")</f>
        <v/>
      </c>
      <c r="T23">
        <f>HYPERLINK("https://klasma.github.io/Logging_2425/kartor/A 31476-2024 karta.png", "A 31476-2024")</f>
        <v/>
      </c>
      <c r="V23">
        <f>HYPERLINK("https://klasma.github.io/Logging_2425/klagomål/A 31476-2024 FSC-klagomål.docx", "A 31476-2024")</f>
        <v/>
      </c>
      <c r="W23">
        <f>HYPERLINK("https://klasma.github.io/Logging_2425/klagomålsmail/A 31476-2024 FSC-klagomål mail.docx", "A 31476-2024")</f>
        <v/>
      </c>
      <c r="X23">
        <f>HYPERLINK("https://klasma.github.io/Logging_2425/tillsyn/A 31476-2024 tillsynsbegäran.docx", "A 31476-2024")</f>
        <v/>
      </c>
      <c r="Y23">
        <f>HYPERLINK("https://klasma.github.io/Logging_2425/tillsynsmail/A 31476-2024 tillsynsbegäran mail.docx", "A 31476-2024")</f>
        <v/>
      </c>
    </row>
    <row r="24" ht="15" customHeight="1">
      <c r="A24" t="inlineStr">
        <is>
          <t>A 65569-2019</t>
        </is>
      </c>
      <c r="B24" s="1" t="n">
        <v>43803</v>
      </c>
      <c r="C24" s="1" t="n">
        <v>45510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Raggtaggsvamp
Knottrig blåslav</t>
        </is>
      </c>
      <c r="S24">
        <f>HYPERLINK("https://klasma.github.io/Logging_2425/artfynd/A 65569-2019 artfynd.xlsx", "A 65569-2019")</f>
        <v/>
      </c>
      <c r="T24">
        <f>HYPERLINK("https://klasma.github.io/Logging_2425/kartor/A 65569-2019 karta.png", "A 65569-2019")</f>
        <v/>
      </c>
      <c r="V24">
        <f>HYPERLINK("https://klasma.github.io/Logging_2425/klagomål/A 65569-2019 FSC-klagomål.docx", "A 65569-2019")</f>
        <v/>
      </c>
      <c r="W24">
        <f>HYPERLINK("https://klasma.github.io/Logging_2425/klagomålsmail/A 65569-2019 FSC-klagomål mail.docx", "A 65569-2019")</f>
        <v/>
      </c>
      <c r="X24">
        <f>HYPERLINK("https://klasma.github.io/Logging_2425/tillsyn/A 65569-2019 tillsynsbegäran.docx", "A 65569-2019")</f>
        <v/>
      </c>
      <c r="Y24">
        <f>HYPERLINK("https://klasma.github.io/Logging_2425/tillsynsmail/A 65569-2019 tillsynsbegäran mail.docx", "A 65569-2019")</f>
        <v/>
      </c>
    </row>
    <row r="25" ht="15" customHeight="1">
      <c r="A25" t="inlineStr">
        <is>
          <t>A 65564-2019</t>
        </is>
      </c>
      <c r="B25" s="1" t="n">
        <v>43803</v>
      </c>
      <c r="C25" s="1" t="n">
        <v>45510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6.6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Doftskinn
Knottrig blåslav</t>
        </is>
      </c>
      <c r="S25">
        <f>HYPERLINK("https://klasma.github.io/Logging_2425/artfynd/A 65564-2019 artfynd.xlsx", "A 65564-2019")</f>
        <v/>
      </c>
      <c r="T25">
        <f>HYPERLINK("https://klasma.github.io/Logging_2425/kartor/A 65564-2019 karta.png", "A 65564-2019")</f>
        <v/>
      </c>
      <c r="V25">
        <f>HYPERLINK("https://klasma.github.io/Logging_2425/klagomål/A 65564-2019 FSC-klagomål.docx", "A 65564-2019")</f>
        <v/>
      </c>
      <c r="W25">
        <f>HYPERLINK("https://klasma.github.io/Logging_2425/klagomålsmail/A 65564-2019 FSC-klagomål mail.docx", "A 65564-2019")</f>
        <v/>
      </c>
      <c r="X25">
        <f>HYPERLINK("https://klasma.github.io/Logging_2425/tillsyn/A 65564-2019 tillsynsbegäran.docx", "A 65564-2019")</f>
        <v/>
      </c>
      <c r="Y25">
        <f>HYPERLINK("https://klasma.github.io/Logging_2425/tillsynsmail/A 65564-2019 tillsynsbegäran mail.docx", "A 65564-2019")</f>
        <v/>
      </c>
    </row>
    <row r="26" ht="15" customHeight="1">
      <c r="A26" t="inlineStr">
        <is>
          <t>A 20878-2020</t>
        </is>
      </c>
      <c r="B26" s="1" t="n">
        <v>43949</v>
      </c>
      <c r="C26" s="1" t="n">
        <v>45510</v>
      </c>
      <c r="D26" t="inlineStr">
        <is>
          <t>VÄSTERBOTTENS LÄN</t>
        </is>
      </c>
      <c r="E26" t="inlineStr">
        <is>
          <t>DOROTEA</t>
        </is>
      </c>
      <c r="G26" t="n">
        <v>8.800000000000001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Granticka</t>
        </is>
      </c>
      <c r="S26">
        <f>HYPERLINK("https://klasma.github.io/Logging_2425/artfynd/A 20878-2020 artfynd.xlsx", "A 20878-2020")</f>
        <v/>
      </c>
      <c r="T26">
        <f>HYPERLINK("https://klasma.github.io/Logging_2425/kartor/A 20878-2020 karta.png", "A 20878-2020")</f>
        <v/>
      </c>
      <c r="V26">
        <f>HYPERLINK("https://klasma.github.io/Logging_2425/klagomål/A 20878-2020 FSC-klagomål.docx", "A 20878-2020")</f>
        <v/>
      </c>
      <c r="W26">
        <f>HYPERLINK("https://klasma.github.io/Logging_2425/klagomålsmail/A 20878-2020 FSC-klagomål mail.docx", "A 20878-2020")</f>
        <v/>
      </c>
      <c r="X26">
        <f>HYPERLINK("https://klasma.github.io/Logging_2425/tillsyn/A 20878-2020 tillsynsbegäran.docx", "A 20878-2020")</f>
        <v/>
      </c>
      <c r="Y26">
        <f>HYPERLINK("https://klasma.github.io/Logging_2425/tillsynsmail/A 20878-2020 tillsynsbegäran mail.docx", "A 20878-2020")</f>
        <v/>
      </c>
    </row>
    <row r="27" ht="15" customHeight="1">
      <c r="A27" t="inlineStr">
        <is>
          <t>A 67790-2021</t>
        </is>
      </c>
      <c r="B27" s="1" t="n">
        <v>44526</v>
      </c>
      <c r="C27" s="1" t="n">
        <v>45510</v>
      </c>
      <c r="D27" t="inlineStr">
        <is>
          <t>VÄSTERBOTTENS LÄN</t>
        </is>
      </c>
      <c r="E27" t="inlineStr">
        <is>
          <t>DOROTEA</t>
        </is>
      </c>
      <c r="F27" t="inlineStr">
        <is>
          <t>Övriga statliga verk och myndigheter</t>
        </is>
      </c>
      <c r="G27" t="n">
        <v>3.2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Tretåig hackspett
Lopplummer</t>
        </is>
      </c>
      <c r="S27">
        <f>HYPERLINK("https://klasma.github.io/Logging_2425/artfynd/A 67790-2021 artfynd.xlsx", "A 67790-2021")</f>
        <v/>
      </c>
      <c r="T27">
        <f>HYPERLINK("https://klasma.github.io/Logging_2425/kartor/A 67790-2021 karta.png", "A 67790-2021")</f>
        <v/>
      </c>
      <c r="V27">
        <f>HYPERLINK("https://klasma.github.io/Logging_2425/klagomål/A 67790-2021 FSC-klagomål.docx", "A 67790-2021")</f>
        <v/>
      </c>
      <c r="W27">
        <f>HYPERLINK("https://klasma.github.io/Logging_2425/klagomålsmail/A 67790-2021 FSC-klagomål mail.docx", "A 67790-2021")</f>
        <v/>
      </c>
      <c r="X27">
        <f>HYPERLINK("https://klasma.github.io/Logging_2425/tillsyn/A 67790-2021 tillsynsbegäran.docx", "A 67790-2021")</f>
        <v/>
      </c>
      <c r="Y27">
        <f>HYPERLINK("https://klasma.github.io/Logging_2425/tillsynsmail/A 67790-2021 tillsynsbegäran mail.docx", "A 67790-2021")</f>
        <v/>
      </c>
      <c r="Z27">
        <f>HYPERLINK("https://klasma.github.io/Logging_2425/fåglar/A 67790-2021 prioriterade fågelarter.docx", "A 67790-2021")</f>
        <v/>
      </c>
    </row>
    <row r="28" ht="15" customHeight="1">
      <c r="A28" t="inlineStr">
        <is>
          <t>A 58736-2022</t>
        </is>
      </c>
      <c r="B28" s="1" t="n">
        <v>44902</v>
      </c>
      <c r="C28" s="1" t="n">
        <v>45510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3.4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Lunglav
Skrovellav</t>
        </is>
      </c>
      <c r="S28">
        <f>HYPERLINK("https://klasma.github.io/Logging_2425/artfynd/A 58736-2022 artfynd.xlsx", "A 58736-2022")</f>
        <v/>
      </c>
      <c r="T28">
        <f>HYPERLINK("https://klasma.github.io/Logging_2425/kartor/A 58736-2022 karta.png", "A 58736-2022")</f>
        <v/>
      </c>
      <c r="V28">
        <f>HYPERLINK("https://klasma.github.io/Logging_2425/klagomål/A 58736-2022 FSC-klagomål.docx", "A 58736-2022")</f>
        <v/>
      </c>
      <c r="W28">
        <f>HYPERLINK("https://klasma.github.io/Logging_2425/klagomålsmail/A 58736-2022 FSC-klagomål mail.docx", "A 58736-2022")</f>
        <v/>
      </c>
      <c r="X28">
        <f>HYPERLINK("https://klasma.github.io/Logging_2425/tillsyn/A 58736-2022 tillsynsbegäran.docx", "A 58736-2022")</f>
        <v/>
      </c>
      <c r="Y28">
        <f>HYPERLINK("https://klasma.github.io/Logging_2425/tillsynsmail/A 58736-2022 tillsynsbegäran mail.docx", "A 58736-2022")</f>
        <v/>
      </c>
    </row>
    <row r="29" ht="15" customHeight="1">
      <c r="A29" t="inlineStr">
        <is>
          <t>A 33663-2023</t>
        </is>
      </c>
      <c r="B29" s="1" t="n">
        <v>45119</v>
      </c>
      <c r="C29" s="1" t="n">
        <v>45510</v>
      </c>
      <c r="D29" t="inlineStr">
        <is>
          <t>VÄSTERBOTTENS LÄN</t>
        </is>
      </c>
      <c r="E29" t="inlineStr">
        <is>
          <t>DOROTEA</t>
        </is>
      </c>
      <c r="F29" t="inlineStr">
        <is>
          <t>Allmännings- och besparingsskogar</t>
        </is>
      </c>
      <c r="G29" t="n">
        <v>2.6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Harticka</t>
        </is>
      </c>
      <c r="S29">
        <f>HYPERLINK("https://klasma.github.io/Logging_2425/artfynd/A 33663-2023 artfynd.xlsx", "A 33663-2023")</f>
        <v/>
      </c>
      <c r="T29">
        <f>HYPERLINK("https://klasma.github.io/Logging_2425/kartor/A 33663-2023 karta.png", "A 33663-2023")</f>
        <v/>
      </c>
      <c r="V29">
        <f>HYPERLINK("https://klasma.github.io/Logging_2425/klagomål/A 33663-2023 FSC-klagomål.docx", "A 33663-2023")</f>
        <v/>
      </c>
      <c r="W29">
        <f>HYPERLINK("https://klasma.github.io/Logging_2425/klagomålsmail/A 33663-2023 FSC-klagomål mail.docx", "A 33663-2023")</f>
        <v/>
      </c>
      <c r="X29">
        <f>HYPERLINK("https://klasma.github.io/Logging_2425/tillsyn/A 33663-2023 tillsynsbegäran.docx", "A 33663-2023")</f>
        <v/>
      </c>
      <c r="Y29">
        <f>HYPERLINK("https://klasma.github.io/Logging_2425/tillsynsmail/A 33663-2023 tillsynsbegäran mail.docx", "A 33663-2023")</f>
        <v/>
      </c>
    </row>
    <row r="30" ht="15" customHeight="1">
      <c r="A30" t="inlineStr">
        <is>
          <t>A 35988-2023</t>
        </is>
      </c>
      <c r="B30" s="1" t="n">
        <v>45148</v>
      </c>
      <c r="C30" s="1" t="n">
        <v>45510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14.1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Luddfingersvamp
Ögonpyrola</t>
        </is>
      </c>
      <c r="S30">
        <f>HYPERLINK("https://klasma.github.io/Logging_2425/artfynd/A 35988-2023 artfynd.xlsx", "A 35988-2023")</f>
        <v/>
      </c>
      <c r="T30">
        <f>HYPERLINK("https://klasma.github.io/Logging_2425/kartor/A 35988-2023 karta.png", "A 35988-2023")</f>
        <v/>
      </c>
      <c r="V30">
        <f>HYPERLINK("https://klasma.github.io/Logging_2425/klagomål/A 35988-2023 FSC-klagomål.docx", "A 35988-2023")</f>
        <v/>
      </c>
      <c r="W30">
        <f>HYPERLINK("https://klasma.github.io/Logging_2425/klagomålsmail/A 35988-2023 FSC-klagomål mail.docx", "A 35988-2023")</f>
        <v/>
      </c>
      <c r="X30">
        <f>HYPERLINK("https://klasma.github.io/Logging_2425/tillsyn/A 35988-2023 tillsynsbegäran.docx", "A 35988-2023")</f>
        <v/>
      </c>
      <c r="Y30">
        <f>HYPERLINK("https://klasma.github.io/Logging_2425/tillsynsmail/A 35988-2023 tillsynsbegäran mail.docx", "A 35988-2023")</f>
        <v/>
      </c>
    </row>
    <row r="31" ht="15" customHeight="1">
      <c r="A31" t="inlineStr">
        <is>
          <t>A 37542-2023</t>
        </is>
      </c>
      <c r="B31" s="1" t="n">
        <v>45158</v>
      </c>
      <c r="C31" s="1" t="n">
        <v>45510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12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Tibast</t>
        </is>
      </c>
      <c r="S31">
        <f>HYPERLINK("https://klasma.github.io/Logging_2425/artfynd/A 37542-2023 artfynd.xlsx", "A 37542-2023")</f>
        <v/>
      </c>
      <c r="T31">
        <f>HYPERLINK("https://klasma.github.io/Logging_2425/kartor/A 37542-2023 karta.png", "A 37542-2023")</f>
        <v/>
      </c>
      <c r="V31">
        <f>HYPERLINK("https://klasma.github.io/Logging_2425/klagomål/A 37542-2023 FSC-klagomål.docx", "A 37542-2023")</f>
        <v/>
      </c>
      <c r="W31">
        <f>HYPERLINK("https://klasma.github.io/Logging_2425/klagomålsmail/A 37542-2023 FSC-klagomål mail.docx", "A 37542-2023")</f>
        <v/>
      </c>
      <c r="X31">
        <f>HYPERLINK("https://klasma.github.io/Logging_2425/tillsyn/A 37542-2023 tillsynsbegäran.docx", "A 37542-2023")</f>
        <v/>
      </c>
      <c r="Y31">
        <f>HYPERLINK("https://klasma.github.io/Logging_2425/tillsynsmail/A 37542-2023 tillsynsbegäran mail.docx", "A 37542-2023")</f>
        <v/>
      </c>
    </row>
    <row r="32" ht="15" customHeight="1">
      <c r="A32" t="inlineStr">
        <is>
          <t>A 52738-2023</t>
        </is>
      </c>
      <c r="B32" s="1" t="n">
        <v>45225</v>
      </c>
      <c r="C32" s="1" t="n">
        <v>45510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8.800000000000001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Doftticka
Trådticka</t>
        </is>
      </c>
      <c r="S32">
        <f>HYPERLINK("https://klasma.github.io/Logging_2425/artfynd/A 52738-2023 artfynd.xlsx", "A 52738-2023")</f>
        <v/>
      </c>
      <c r="T32">
        <f>HYPERLINK("https://klasma.github.io/Logging_2425/kartor/A 52738-2023 karta.png", "A 52738-2023")</f>
        <v/>
      </c>
      <c r="V32">
        <f>HYPERLINK("https://klasma.github.io/Logging_2425/klagomål/A 52738-2023 FSC-klagomål.docx", "A 52738-2023")</f>
        <v/>
      </c>
      <c r="W32">
        <f>HYPERLINK("https://klasma.github.io/Logging_2425/klagomålsmail/A 52738-2023 FSC-klagomål mail.docx", "A 52738-2023")</f>
        <v/>
      </c>
      <c r="X32">
        <f>HYPERLINK("https://klasma.github.io/Logging_2425/tillsyn/A 52738-2023 tillsynsbegäran.docx", "A 52738-2023")</f>
        <v/>
      </c>
      <c r="Y32">
        <f>HYPERLINK("https://klasma.github.io/Logging_2425/tillsynsmail/A 52738-2023 tillsynsbegäran mail.docx", "A 52738-2023")</f>
        <v/>
      </c>
    </row>
    <row r="33" ht="15" customHeight="1">
      <c r="A33" t="inlineStr">
        <is>
          <t>A 53753-2023</t>
        </is>
      </c>
      <c r="B33" s="1" t="n">
        <v>45230</v>
      </c>
      <c r="C33" s="1" t="n">
        <v>45510</v>
      </c>
      <c r="D33" t="inlineStr">
        <is>
          <t>VÄSTERBOTTENS LÄN</t>
        </is>
      </c>
      <c r="E33" t="inlineStr">
        <is>
          <t>DOROTEA</t>
        </is>
      </c>
      <c r="G33" t="n">
        <v>19.6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Tibast
Skogsrör</t>
        </is>
      </c>
      <c r="S33">
        <f>HYPERLINK("https://klasma.github.io/Logging_2425/artfynd/A 53753-2023 artfynd.xlsx", "A 53753-2023")</f>
        <v/>
      </c>
      <c r="T33">
        <f>HYPERLINK("https://klasma.github.io/Logging_2425/kartor/A 53753-2023 karta.png", "A 53753-2023")</f>
        <v/>
      </c>
      <c r="V33">
        <f>HYPERLINK("https://klasma.github.io/Logging_2425/klagomål/A 53753-2023 FSC-klagomål.docx", "A 53753-2023")</f>
        <v/>
      </c>
      <c r="W33">
        <f>HYPERLINK("https://klasma.github.io/Logging_2425/klagomålsmail/A 53753-2023 FSC-klagomål mail.docx", "A 53753-2023")</f>
        <v/>
      </c>
      <c r="X33">
        <f>HYPERLINK("https://klasma.github.io/Logging_2425/tillsyn/A 53753-2023 tillsynsbegäran.docx", "A 53753-2023")</f>
        <v/>
      </c>
      <c r="Y33">
        <f>HYPERLINK("https://klasma.github.io/Logging_2425/tillsynsmail/A 53753-2023 tillsynsbegäran mail.docx", "A 53753-2023")</f>
        <v/>
      </c>
    </row>
    <row r="34" ht="15" customHeight="1">
      <c r="A34" t="inlineStr">
        <is>
          <t>A 1278-2024</t>
        </is>
      </c>
      <c r="B34" s="1" t="n">
        <v>45302</v>
      </c>
      <c r="C34" s="1" t="n">
        <v>45510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1.3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Gräddticka
Granticka</t>
        </is>
      </c>
      <c r="S34">
        <f>HYPERLINK("https://klasma.github.io/Logging_2425/artfynd/A 1278-2024 artfynd.xlsx", "A 1278-2024")</f>
        <v/>
      </c>
      <c r="T34">
        <f>HYPERLINK("https://klasma.github.io/Logging_2425/kartor/A 1278-2024 karta.png", "A 1278-2024")</f>
        <v/>
      </c>
      <c r="V34">
        <f>HYPERLINK("https://klasma.github.io/Logging_2425/klagomål/A 1278-2024 FSC-klagomål.docx", "A 1278-2024")</f>
        <v/>
      </c>
      <c r="W34">
        <f>HYPERLINK("https://klasma.github.io/Logging_2425/klagomålsmail/A 1278-2024 FSC-klagomål mail.docx", "A 1278-2024")</f>
        <v/>
      </c>
      <c r="X34">
        <f>HYPERLINK("https://klasma.github.io/Logging_2425/tillsyn/A 1278-2024 tillsynsbegäran.docx", "A 1278-2024")</f>
        <v/>
      </c>
      <c r="Y34">
        <f>HYPERLINK("https://klasma.github.io/Logging_2425/tillsynsmail/A 1278-2024 tillsynsbegäran mail.docx", "A 1278-2024")</f>
        <v/>
      </c>
    </row>
    <row r="35" ht="15" customHeight="1">
      <c r="A35" t="inlineStr">
        <is>
          <t>A 1978-2020</t>
        </is>
      </c>
      <c r="B35" s="1" t="n">
        <v>43838</v>
      </c>
      <c r="C35" s="1" t="n">
        <v>45510</v>
      </c>
      <c r="D35" t="inlineStr">
        <is>
          <t>VÄSTERBOTTENS LÄN</t>
        </is>
      </c>
      <c r="E35" t="inlineStr">
        <is>
          <t>DOROTEA</t>
        </is>
      </c>
      <c r="G35" t="n">
        <v>3.4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Rosenfink</t>
        </is>
      </c>
      <c r="S35">
        <f>HYPERLINK("https://klasma.github.io/Logging_2425/artfynd/A 1978-2020 artfynd.xlsx", "A 1978-2020")</f>
        <v/>
      </c>
      <c r="T35">
        <f>HYPERLINK("https://klasma.github.io/Logging_2425/kartor/A 1978-2020 karta.png", "A 1978-2020")</f>
        <v/>
      </c>
      <c r="V35">
        <f>HYPERLINK("https://klasma.github.io/Logging_2425/klagomål/A 1978-2020 FSC-klagomål.docx", "A 1978-2020")</f>
        <v/>
      </c>
      <c r="W35">
        <f>HYPERLINK("https://klasma.github.io/Logging_2425/klagomålsmail/A 1978-2020 FSC-klagomål mail.docx", "A 1978-2020")</f>
        <v/>
      </c>
      <c r="X35">
        <f>HYPERLINK("https://klasma.github.io/Logging_2425/tillsyn/A 1978-2020 tillsynsbegäran.docx", "A 1978-2020")</f>
        <v/>
      </c>
      <c r="Y35">
        <f>HYPERLINK("https://klasma.github.io/Logging_2425/tillsynsmail/A 1978-2020 tillsynsbegäran mail.docx", "A 1978-2020")</f>
        <v/>
      </c>
      <c r="Z35">
        <f>HYPERLINK("https://klasma.github.io/Logging_2425/fåglar/A 1978-2020 prioriterade fågelarter.docx", "A 1978-2020")</f>
        <v/>
      </c>
    </row>
    <row r="36" ht="15" customHeight="1">
      <c r="A36" t="inlineStr">
        <is>
          <t>A 49683-2020</t>
        </is>
      </c>
      <c r="B36" s="1" t="n">
        <v>44104</v>
      </c>
      <c r="C36" s="1" t="n">
        <v>45510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1.1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Rynkskinn</t>
        </is>
      </c>
      <c r="S36">
        <f>HYPERLINK("https://klasma.github.io/Logging_2425/artfynd/A 49683-2020 artfynd.xlsx", "A 49683-2020")</f>
        <v/>
      </c>
      <c r="T36">
        <f>HYPERLINK("https://klasma.github.io/Logging_2425/kartor/A 49683-2020 karta.png", "A 49683-2020")</f>
        <v/>
      </c>
      <c r="V36">
        <f>HYPERLINK("https://klasma.github.io/Logging_2425/klagomål/A 49683-2020 FSC-klagomål.docx", "A 49683-2020")</f>
        <v/>
      </c>
      <c r="W36">
        <f>HYPERLINK("https://klasma.github.io/Logging_2425/klagomålsmail/A 49683-2020 FSC-klagomål mail.docx", "A 49683-2020")</f>
        <v/>
      </c>
      <c r="X36">
        <f>HYPERLINK("https://klasma.github.io/Logging_2425/tillsyn/A 49683-2020 tillsynsbegäran.docx", "A 49683-2020")</f>
        <v/>
      </c>
      <c r="Y36">
        <f>HYPERLINK("https://klasma.github.io/Logging_2425/tillsynsmail/A 49683-2020 tillsynsbegäran mail.docx", "A 49683-2020")</f>
        <v/>
      </c>
    </row>
    <row r="37" ht="15" customHeight="1">
      <c r="A37" t="inlineStr">
        <is>
          <t>A 44036-2022</t>
        </is>
      </c>
      <c r="B37" s="1" t="n">
        <v>44838</v>
      </c>
      <c r="C37" s="1" t="n">
        <v>45510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6.3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HYPERLINK("https://klasma.github.io/Logging_2425/artfynd/A 44036-2022 artfynd.xlsx", "A 44036-2022")</f>
        <v/>
      </c>
      <c r="T37">
        <f>HYPERLINK("https://klasma.github.io/Logging_2425/kartor/A 44036-2022 karta.png", "A 44036-2022")</f>
        <v/>
      </c>
      <c r="V37">
        <f>HYPERLINK("https://klasma.github.io/Logging_2425/klagomål/A 44036-2022 FSC-klagomål.docx", "A 44036-2022")</f>
        <v/>
      </c>
      <c r="W37">
        <f>HYPERLINK("https://klasma.github.io/Logging_2425/klagomålsmail/A 44036-2022 FSC-klagomål mail.docx", "A 44036-2022")</f>
        <v/>
      </c>
      <c r="X37">
        <f>HYPERLINK("https://klasma.github.io/Logging_2425/tillsyn/A 44036-2022 tillsynsbegäran.docx", "A 44036-2022")</f>
        <v/>
      </c>
      <c r="Y37">
        <f>HYPERLINK("https://klasma.github.io/Logging_2425/tillsynsmail/A 44036-2022 tillsynsbegäran mail.docx", "A 44036-2022")</f>
        <v/>
      </c>
    </row>
    <row r="38" ht="15" customHeight="1">
      <c r="A38" t="inlineStr">
        <is>
          <t>A 44389-2022</t>
        </is>
      </c>
      <c r="B38" s="1" t="n">
        <v>44838</v>
      </c>
      <c r="C38" s="1" t="n">
        <v>45510</v>
      </c>
      <c r="D38" t="inlineStr">
        <is>
          <t>VÄSTERBOTTENS LÄN</t>
        </is>
      </c>
      <c r="E38" t="inlineStr">
        <is>
          <t>DOROTEA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HYPERLINK("https://klasma.github.io/Logging_2425/artfynd/A 44389-2022 artfynd.xlsx", "A 44389-2022")</f>
        <v/>
      </c>
      <c r="T38">
        <f>HYPERLINK("https://klasma.github.io/Logging_2425/kartor/A 44389-2022 karta.png", "A 44389-2022")</f>
        <v/>
      </c>
      <c r="V38">
        <f>HYPERLINK("https://klasma.github.io/Logging_2425/klagomål/A 44389-2022 FSC-klagomål.docx", "A 44389-2022")</f>
        <v/>
      </c>
      <c r="W38">
        <f>HYPERLINK("https://klasma.github.io/Logging_2425/klagomålsmail/A 44389-2022 FSC-klagomål mail.docx", "A 44389-2022")</f>
        <v/>
      </c>
      <c r="X38">
        <f>HYPERLINK("https://klasma.github.io/Logging_2425/tillsyn/A 44389-2022 tillsynsbegäran.docx", "A 44389-2022")</f>
        <v/>
      </c>
      <c r="Y38">
        <f>HYPERLINK("https://klasma.github.io/Logging_2425/tillsynsmail/A 44389-2022 tillsynsbegäran mail.docx", "A 44389-2022")</f>
        <v/>
      </c>
    </row>
    <row r="39" ht="15" customHeight="1">
      <c r="A39" t="inlineStr">
        <is>
          <t>A 48089-2022</t>
        </is>
      </c>
      <c r="B39" s="1" t="n">
        <v>44855</v>
      </c>
      <c r="C39" s="1" t="n">
        <v>45510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9.199999999999999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Gammelgransskål</t>
        </is>
      </c>
      <c r="S39">
        <f>HYPERLINK("https://klasma.github.io/Logging_2425/artfynd/A 48089-2022 artfynd.xlsx", "A 48089-2022")</f>
        <v/>
      </c>
      <c r="T39">
        <f>HYPERLINK("https://klasma.github.io/Logging_2425/kartor/A 48089-2022 karta.png", "A 48089-2022")</f>
        <v/>
      </c>
      <c r="V39">
        <f>HYPERLINK("https://klasma.github.io/Logging_2425/klagomål/A 48089-2022 FSC-klagomål.docx", "A 48089-2022")</f>
        <v/>
      </c>
      <c r="W39">
        <f>HYPERLINK("https://klasma.github.io/Logging_2425/klagomålsmail/A 48089-2022 FSC-klagomål mail.docx", "A 48089-2022")</f>
        <v/>
      </c>
      <c r="X39">
        <f>HYPERLINK("https://klasma.github.io/Logging_2425/tillsyn/A 48089-2022 tillsynsbegäran.docx", "A 48089-2022")</f>
        <v/>
      </c>
      <c r="Y39">
        <f>HYPERLINK("https://klasma.github.io/Logging_2425/tillsynsmail/A 48089-2022 tillsynsbegäran mail.docx", "A 48089-2022")</f>
        <v/>
      </c>
    </row>
    <row r="40" ht="15" customHeight="1">
      <c r="A40" t="inlineStr">
        <is>
          <t>A 4341-2023</t>
        </is>
      </c>
      <c r="B40" s="1" t="n">
        <v>44953</v>
      </c>
      <c r="C40" s="1" t="n">
        <v>45510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Luddlav</t>
        </is>
      </c>
      <c r="S40">
        <f>HYPERLINK("https://klasma.github.io/Logging_2425/artfynd/A 4341-2023 artfynd.xlsx", "A 4341-2023")</f>
        <v/>
      </c>
      <c r="T40">
        <f>HYPERLINK("https://klasma.github.io/Logging_2425/kartor/A 4341-2023 karta.png", "A 4341-2023")</f>
        <v/>
      </c>
      <c r="V40">
        <f>HYPERLINK("https://klasma.github.io/Logging_2425/klagomål/A 4341-2023 FSC-klagomål.docx", "A 4341-2023")</f>
        <v/>
      </c>
      <c r="W40">
        <f>HYPERLINK("https://klasma.github.io/Logging_2425/klagomålsmail/A 4341-2023 FSC-klagomål mail.docx", "A 4341-2023")</f>
        <v/>
      </c>
      <c r="X40">
        <f>HYPERLINK("https://klasma.github.io/Logging_2425/tillsyn/A 4341-2023 tillsynsbegäran.docx", "A 4341-2023")</f>
        <v/>
      </c>
      <c r="Y40">
        <f>HYPERLINK("https://klasma.github.io/Logging_2425/tillsynsmail/A 4341-2023 tillsynsbegäran mail.docx", "A 4341-2023")</f>
        <v/>
      </c>
    </row>
    <row r="41" ht="15" customHeight="1">
      <c r="A41" t="inlineStr">
        <is>
          <t>A 28716-2023</t>
        </is>
      </c>
      <c r="B41" s="1" t="n">
        <v>45103</v>
      </c>
      <c r="C41" s="1" t="n">
        <v>45510</v>
      </c>
      <c r="D41" t="inlineStr">
        <is>
          <t>VÄSTERBOTTENS LÄN</t>
        </is>
      </c>
      <c r="E41" t="inlineStr">
        <is>
          <t>DOROTEA</t>
        </is>
      </c>
      <c r="F41" t="inlineStr">
        <is>
          <t>Sveaskog</t>
        </is>
      </c>
      <c r="G41" t="n">
        <v>10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Bårdlav</t>
        </is>
      </c>
      <c r="S41">
        <f>HYPERLINK("https://klasma.github.io/Logging_2425/artfynd/A 28716-2023 artfynd.xlsx", "A 28716-2023")</f>
        <v/>
      </c>
      <c r="T41">
        <f>HYPERLINK("https://klasma.github.io/Logging_2425/kartor/A 28716-2023 karta.png", "A 28716-2023")</f>
        <v/>
      </c>
      <c r="V41">
        <f>HYPERLINK("https://klasma.github.io/Logging_2425/klagomål/A 28716-2023 FSC-klagomål.docx", "A 28716-2023")</f>
        <v/>
      </c>
      <c r="W41">
        <f>HYPERLINK("https://klasma.github.io/Logging_2425/klagomålsmail/A 28716-2023 FSC-klagomål mail.docx", "A 28716-2023")</f>
        <v/>
      </c>
      <c r="X41">
        <f>HYPERLINK("https://klasma.github.io/Logging_2425/tillsyn/A 28716-2023 tillsynsbegäran.docx", "A 28716-2023")</f>
        <v/>
      </c>
      <c r="Y41">
        <f>HYPERLINK("https://klasma.github.io/Logging_2425/tillsynsmail/A 28716-2023 tillsynsbegäran mail.docx", "A 28716-2023")</f>
        <v/>
      </c>
    </row>
    <row r="42" ht="15" customHeight="1">
      <c r="A42" t="inlineStr">
        <is>
          <t>A 46815-2023</t>
        </is>
      </c>
      <c r="B42" s="1" t="n">
        <v>45198</v>
      </c>
      <c r="C42" s="1" t="n">
        <v>45510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3.7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Harticka</t>
        </is>
      </c>
      <c r="S42">
        <f>HYPERLINK("https://klasma.github.io/Logging_2425/artfynd/A 46815-2023 artfynd.xlsx", "A 46815-2023")</f>
        <v/>
      </c>
      <c r="T42">
        <f>HYPERLINK("https://klasma.github.io/Logging_2425/kartor/A 46815-2023 karta.png", "A 46815-2023")</f>
        <v/>
      </c>
      <c r="V42">
        <f>HYPERLINK("https://klasma.github.io/Logging_2425/klagomål/A 46815-2023 FSC-klagomål.docx", "A 46815-2023")</f>
        <v/>
      </c>
      <c r="W42">
        <f>HYPERLINK("https://klasma.github.io/Logging_2425/klagomålsmail/A 46815-2023 FSC-klagomål mail.docx", "A 46815-2023")</f>
        <v/>
      </c>
      <c r="X42">
        <f>HYPERLINK("https://klasma.github.io/Logging_2425/tillsyn/A 46815-2023 tillsynsbegäran.docx", "A 46815-2023")</f>
        <v/>
      </c>
      <c r="Y42">
        <f>HYPERLINK("https://klasma.github.io/Logging_2425/tillsynsmail/A 46815-2023 tillsynsbegäran mail.docx", "A 46815-2023")</f>
        <v/>
      </c>
    </row>
    <row r="43" ht="15" customHeight="1">
      <c r="A43" t="inlineStr">
        <is>
          <t>A 18973-2024</t>
        </is>
      </c>
      <c r="B43" s="1" t="n">
        <v>45427</v>
      </c>
      <c r="C43" s="1" t="n">
        <v>45510</v>
      </c>
      <c r="D43" t="inlineStr">
        <is>
          <t>VÄSTERBOTTENS LÄN</t>
        </is>
      </c>
      <c r="E43" t="inlineStr">
        <is>
          <t>DOROTEA</t>
        </is>
      </c>
      <c r="G43" t="n">
        <v>19.7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Brudsporre</t>
        </is>
      </c>
      <c r="S43">
        <f>HYPERLINK("https://klasma.github.io/Logging_2425/artfynd/A 18973-2024 artfynd.xlsx", "A 18973-2024")</f>
        <v/>
      </c>
      <c r="T43">
        <f>HYPERLINK("https://klasma.github.io/Logging_2425/kartor/A 18973-2024 karta.png", "A 18973-2024")</f>
        <v/>
      </c>
      <c r="V43">
        <f>HYPERLINK("https://klasma.github.io/Logging_2425/klagomål/A 18973-2024 FSC-klagomål.docx", "A 18973-2024")</f>
        <v/>
      </c>
      <c r="W43">
        <f>HYPERLINK("https://klasma.github.io/Logging_2425/klagomålsmail/A 18973-2024 FSC-klagomål mail.docx", "A 18973-2024")</f>
        <v/>
      </c>
      <c r="X43">
        <f>HYPERLINK("https://klasma.github.io/Logging_2425/tillsyn/A 18973-2024 tillsynsbegäran.docx", "A 18973-2024")</f>
        <v/>
      </c>
      <c r="Y43">
        <f>HYPERLINK("https://klasma.github.io/Logging_2425/tillsynsmail/A 18973-2024 tillsynsbegäran mail.docx", "A 18973-2024")</f>
        <v/>
      </c>
    </row>
    <row r="44" ht="15" customHeight="1">
      <c r="A44" t="inlineStr">
        <is>
          <t>A 19331-2024</t>
        </is>
      </c>
      <c r="B44" s="1" t="n">
        <v>45428</v>
      </c>
      <c r="C44" s="1" t="n">
        <v>45510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21.7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Skrovellav</t>
        </is>
      </c>
      <c r="S44">
        <f>HYPERLINK("https://klasma.github.io/Logging_2425/artfynd/A 19331-2024 artfynd.xlsx", "A 19331-2024")</f>
        <v/>
      </c>
      <c r="T44">
        <f>HYPERLINK("https://klasma.github.io/Logging_2425/kartor/A 19331-2024 karta.png", "A 19331-2024")</f>
        <v/>
      </c>
      <c r="V44">
        <f>HYPERLINK("https://klasma.github.io/Logging_2425/klagomål/A 19331-2024 FSC-klagomål.docx", "A 19331-2024")</f>
        <v/>
      </c>
      <c r="W44">
        <f>HYPERLINK("https://klasma.github.io/Logging_2425/klagomålsmail/A 19331-2024 FSC-klagomål mail.docx", "A 19331-2024")</f>
        <v/>
      </c>
      <c r="X44">
        <f>HYPERLINK("https://klasma.github.io/Logging_2425/tillsyn/A 19331-2024 tillsynsbegäran.docx", "A 19331-2024")</f>
        <v/>
      </c>
      <c r="Y44">
        <f>HYPERLINK("https://klasma.github.io/Logging_2425/tillsynsmail/A 19331-2024 tillsynsbegäran mail.docx", "A 19331-2024")</f>
        <v/>
      </c>
    </row>
    <row r="45" ht="15" customHeight="1">
      <c r="A45" t="inlineStr">
        <is>
          <t>A 27234-2024</t>
        </is>
      </c>
      <c r="B45" s="1" t="n">
        <v>45471</v>
      </c>
      <c r="C45" s="1" t="n">
        <v>45510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HYPERLINK("https://klasma.github.io/Logging_2425/artfynd/A 27234-2024 artfynd.xlsx", "A 27234-2024")</f>
        <v/>
      </c>
      <c r="T45">
        <f>HYPERLINK("https://klasma.github.io/Logging_2425/kartor/A 27234-2024 karta.png", "A 27234-2024")</f>
        <v/>
      </c>
      <c r="V45">
        <f>HYPERLINK("https://klasma.github.io/Logging_2425/klagomål/A 27234-2024 FSC-klagomål.docx", "A 27234-2024")</f>
        <v/>
      </c>
      <c r="W45">
        <f>HYPERLINK("https://klasma.github.io/Logging_2425/klagomålsmail/A 27234-2024 FSC-klagomål mail.docx", "A 27234-2024")</f>
        <v/>
      </c>
      <c r="X45">
        <f>HYPERLINK("https://klasma.github.io/Logging_2425/tillsyn/A 27234-2024 tillsynsbegäran.docx", "A 27234-2024")</f>
        <v/>
      </c>
      <c r="Y45">
        <f>HYPERLINK("https://klasma.github.io/Logging_2425/tillsynsmail/A 27234-2024 tillsynsbegäran mail.docx", "A 27234-2024")</f>
        <v/>
      </c>
    </row>
    <row r="46" ht="15" customHeight="1">
      <c r="A46" t="inlineStr">
        <is>
          <t>A 30373-2024</t>
        </is>
      </c>
      <c r="B46" s="1" t="n">
        <v>45491</v>
      </c>
      <c r="C46" s="1" t="n">
        <v>45510</v>
      </c>
      <c r="D46" t="inlineStr">
        <is>
          <t>VÄSTERBOTTENS LÄN</t>
        </is>
      </c>
      <c r="E46" t="inlineStr">
        <is>
          <t>DOROTEA</t>
        </is>
      </c>
      <c r="F46" t="inlineStr">
        <is>
          <t>Sveaskog</t>
        </is>
      </c>
      <c r="G46" t="n">
        <v>13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HYPERLINK("https://klasma.github.io/Logging_2425/artfynd/A 30373-2024 artfynd.xlsx", "A 30373-2024")</f>
        <v/>
      </c>
      <c r="T46">
        <f>HYPERLINK("https://klasma.github.io/Logging_2425/kartor/A 30373-2024 karta.png", "A 30373-2024")</f>
        <v/>
      </c>
      <c r="V46">
        <f>HYPERLINK("https://klasma.github.io/Logging_2425/klagomål/A 30373-2024 FSC-klagomål.docx", "A 30373-2024")</f>
        <v/>
      </c>
      <c r="W46">
        <f>HYPERLINK("https://klasma.github.io/Logging_2425/klagomålsmail/A 30373-2024 FSC-klagomål mail.docx", "A 30373-2024")</f>
        <v/>
      </c>
      <c r="X46">
        <f>HYPERLINK("https://klasma.github.io/Logging_2425/tillsyn/A 30373-2024 tillsynsbegäran.docx", "A 30373-2024")</f>
        <v/>
      </c>
      <c r="Y46">
        <f>HYPERLINK("https://klasma.github.io/Logging_2425/tillsynsmail/A 30373-2024 tillsynsbegäran mail.docx", "A 30373-2024")</f>
        <v/>
      </c>
    </row>
    <row r="47" ht="15" customHeight="1">
      <c r="A47" t="inlineStr">
        <is>
          <t>A 18757-2019</t>
        </is>
      </c>
      <c r="B47" s="1" t="n">
        <v>43560</v>
      </c>
      <c r="C47" s="1" t="n">
        <v>45510</v>
      </c>
      <c r="D47" t="inlineStr">
        <is>
          <t>VÄSTERBOTTENS LÄN</t>
        </is>
      </c>
      <c r="E47" t="inlineStr">
        <is>
          <t>DOROTEA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19709-2019</t>
        </is>
      </c>
      <c r="B48" s="1" t="n">
        <v>43566</v>
      </c>
      <c r="C48" s="1" t="n">
        <v>45510</v>
      </c>
      <c r="D48" t="inlineStr">
        <is>
          <t>VÄSTERBOTTENS LÄN</t>
        </is>
      </c>
      <c r="E48" t="inlineStr">
        <is>
          <t>DOROTEA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22272-2019</t>
        </is>
      </c>
      <c r="B49" s="1" t="n">
        <v>43585</v>
      </c>
      <c r="C49" s="1" t="n">
        <v>45510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21.6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22590-2019</t>
        </is>
      </c>
      <c r="B50" s="1" t="n">
        <v>43587</v>
      </c>
      <c r="C50" s="1" t="n">
        <v>45510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23064-2019</t>
        </is>
      </c>
      <c r="B51" s="1" t="n">
        <v>43591</v>
      </c>
      <c r="C51" s="1" t="n">
        <v>45510</v>
      </c>
      <c r="D51" t="inlineStr">
        <is>
          <t>VÄSTERBOTTENS LÄN</t>
        </is>
      </c>
      <c r="E51" t="inlineStr">
        <is>
          <t>DOROTEA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23508-2019</t>
        </is>
      </c>
      <c r="B52" s="1" t="n">
        <v>43593</v>
      </c>
      <c r="C52" s="1" t="n">
        <v>45510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25717-2019</t>
        </is>
      </c>
      <c r="B53" s="1" t="n">
        <v>43607</v>
      </c>
      <c r="C53" s="1" t="n">
        <v>45510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26020-2019</t>
        </is>
      </c>
      <c r="B54" s="1" t="n">
        <v>43608</v>
      </c>
      <c r="C54" s="1" t="n">
        <v>45510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26019-2019</t>
        </is>
      </c>
      <c r="B55" s="1" t="n">
        <v>43608</v>
      </c>
      <c r="C55" s="1" t="n">
        <v>45510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26942-2019</t>
        </is>
      </c>
      <c r="B56" s="1" t="n">
        <v>43613</v>
      </c>
      <c r="C56" s="1" t="n">
        <v>45510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28219-2019</t>
        </is>
      </c>
      <c r="B57" s="1" t="n">
        <v>43621</v>
      </c>
      <c r="C57" s="1" t="n">
        <v>45510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30300-2019</t>
        </is>
      </c>
      <c r="B58" s="1" t="n">
        <v>43633</v>
      </c>
      <c r="C58" s="1" t="n">
        <v>45510</v>
      </c>
      <c r="D58" t="inlineStr">
        <is>
          <t>VÄSTERBOTTENS LÄN</t>
        </is>
      </c>
      <c r="E58" t="inlineStr">
        <is>
          <t>DOROTEA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32374-2019</t>
        </is>
      </c>
      <c r="B59" s="1" t="n">
        <v>43636</v>
      </c>
      <c r="C59" s="1" t="n">
        <v>45510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32496-2019</t>
        </is>
      </c>
      <c r="B60" s="1" t="n">
        <v>43644</v>
      </c>
      <c r="C60" s="1" t="n">
        <v>45510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35571-2019</t>
        </is>
      </c>
      <c r="B61" s="1" t="n">
        <v>43664</v>
      </c>
      <c r="C61" s="1" t="n">
        <v>45510</v>
      </c>
      <c r="D61" t="inlineStr">
        <is>
          <t>VÄSTERBOTTENS LÄN</t>
        </is>
      </c>
      <c r="E61" t="inlineStr">
        <is>
          <t>DOROTEA</t>
        </is>
      </c>
      <c r="F61" t="inlineStr">
        <is>
          <t>Sveaskog</t>
        </is>
      </c>
      <c r="G61" t="n">
        <v>30.2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35732-2019</t>
        </is>
      </c>
      <c r="B62" s="1" t="n">
        <v>43664</v>
      </c>
      <c r="C62" s="1" t="n">
        <v>45510</v>
      </c>
      <c r="D62" t="inlineStr">
        <is>
          <t>VÄSTERBOTTENS LÄN</t>
        </is>
      </c>
      <c r="E62" t="inlineStr">
        <is>
          <t>DOROTEA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37844-2019</t>
        </is>
      </c>
      <c r="B63" s="1" t="n">
        <v>43682</v>
      </c>
      <c r="C63" s="1" t="n">
        <v>45510</v>
      </c>
      <c r="D63" t="inlineStr">
        <is>
          <t>VÄSTERBOTTENS LÄN</t>
        </is>
      </c>
      <c r="E63" t="inlineStr">
        <is>
          <t>DOROTEA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40501-2019</t>
        </is>
      </c>
      <c r="B64" s="1" t="n">
        <v>43696</v>
      </c>
      <c r="C64" s="1" t="n">
        <v>45510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43176-2019</t>
        </is>
      </c>
      <c r="B65" s="1" t="n">
        <v>43705</v>
      </c>
      <c r="C65" s="1" t="n">
        <v>45510</v>
      </c>
      <c r="D65" t="inlineStr">
        <is>
          <t>VÄSTERBOTTENS LÄN</t>
        </is>
      </c>
      <c r="E65" t="inlineStr">
        <is>
          <t>DOROTEA</t>
        </is>
      </c>
      <c r="F65" t="inlineStr">
        <is>
          <t>Allmännings- och besparingsskogar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43175-2019</t>
        </is>
      </c>
      <c r="B66" s="1" t="n">
        <v>43705</v>
      </c>
      <c r="C66" s="1" t="n">
        <v>45510</v>
      </c>
      <c r="D66" t="inlineStr">
        <is>
          <t>VÄSTERBOTTENS LÄN</t>
        </is>
      </c>
      <c r="E66" t="inlineStr">
        <is>
          <t>DOROTEA</t>
        </is>
      </c>
      <c r="F66" t="inlineStr">
        <is>
          <t>Allmännings- och besparingsskogar</t>
        </is>
      </c>
      <c r="G66" t="n">
        <v>19.3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43177-2019</t>
        </is>
      </c>
      <c r="B67" s="1" t="n">
        <v>43705</v>
      </c>
      <c r="C67" s="1" t="n">
        <v>45510</v>
      </c>
      <c r="D67" t="inlineStr">
        <is>
          <t>VÄSTERBOTTENS LÄN</t>
        </is>
      </c>
      <c r="E67" t="inlineStr">
        <is>
          <t>DOROTEA</t>
        </is>
      </c>
      <c r="F67" t="inlineStr">
        <is>
          <t>Allmännings- och besparingsskogar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44555-2019</t>
        </is>
      </c>
      <c r="B68" s="1" t="n">
        <v>43706</v>
      </c>
      <c r="C68" s="1" t="n">
        <v>45510</v>
      </c>
      <c r="D68" t="inlineStr">
        <is>
          <t>VÄSTERBOTTENS LÄN</t>
        </is>
      </c>
      <c r="E68" t="inlineStr">
        <is>
          <t>DOROTEA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43952-2019</t>
        </is>
      </c>
      <c r="B69" s="1" t="n">
        <v>43707</v>
      </c>
      <c r="C69" s="1" t="n">
        <v>45510</v>
      </c>
      <c r="D69" t="inlineStr">
        <is>
          <t>VÄSTERBOTTENS LÄN</t>
        </is>
      </c>
      <c r="E69" t="inlineStr">
        <is>
          <t>DOROTEA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45921-2019</t>
        </is>
      </c>
      <c r="B70" s="1" t="n">
        <v>43717</v>
      </c>
      <c r="C70" s="1" t="n">
        <v>45510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46748-2019</t>
        </is>
      </c>
      <c r="B71" s="1" t="n">
        <v>43719</v>
      </c>
      <c r="C71" s="1" t="n">
        <v>45510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46746-2019</t>
        </is>
      </c>
      <c r="B72" s="1" t="n">
        <v>43719</v>
      </c>
      <c r="C72" s="1" t="n">
        <v>45510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47784-2019</t>
        </is>
      </c>
      <c r="B73" s="1" t="n">
        <v>43724</v>
      </c>
      <c r="C73" s="1" t="n">
        <v>45510</v>
      </c>
      <c r="D73" t="inlineStr">
        <is>
          <t>VÄSTERBOTTENS LÄN</t>
        </is>
      </c>
      <c r="E73" t="inlineStr">
        <is>
          <t>DOROTEA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48506-2019</t>
        </is>
      </c>
      <c r="B74" s="1" t="n">
        <v>43727</v>
      </c>
      <c r="C74" s="1" t="n">
        <v>45510</v>
      </c>
      <c r="D74" t="inlineStr">
        <is>
          <t>VÄSTERBOTTENS LÄN</t>
        </is>
      </c>
      <c r="E74" t="inlineStr">
        <is>
          <t>DOROTEA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49360-2019</t>
        </is>
      </c>
      <c r="B75" s="1" t="n">
        <v>43731</v>
      </c>
      <c r="C75" s="1" t="n">
        <v>45510</v>
      </c>
      <c r="D75" t="inlineStr">
        <is>
          <t>VÄSTERBOTTENS LÄN</t>
        </is>
      </c>
      <c r="E75" t="inlineStr">
        <is>
          <t>DOROTEA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53754-2019</t>
        </is>
      </c>
      <c r="B76" s="1" t="n">
        <v>43749</v>
      </c>
      <c r="C76" s="1" t="n">
        <v>45510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54426-2019</t>
        </is>
      </c>
      <c r="B77" s="1" t="n">
        <v>43754</v>
      </c>
      <c r="C77" s="1" t="n">
        <v>45510</v>
      </c>
      <c r="D77" t="inlineStr">
        <is>
          <t>VÄSTERBOTTENS LÄN</t>
        </is>
      </c>
      <c r="E77" t="inlineStr">
        <is>
          <t>DOROTEA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55251-2019</t>
        </is>
      </c>
      <c r="B78" s="1" t="n">
        <v>43755</v>
      </c>
      <c r="C78" s="1" t="n">
        <v>45510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57264-2019</t>
        </is>
      </c>
      <c r="B79" s="1" t="n">
        <v>43759</v>
      </c>
      <c r="C79" s="1" t="n">
        <v>45510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41.4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57129-2019</t>
        </is>
      </c>
      <c r="B80" s="1" t="n">
        <v>43759</v>
      </c>
      <c r="C80" s="1" t="n">
        <v>45510</v>
      </c>
      <c r="D80" t="inlineStr">
        <is>
          <t>VÄSTERBOTTENS LÄN</t>
        </is>
      </c>
      <c r="E80" t="inlineStr">
        <is>
          <t>DOROTEA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55899-2019</t>
        </is>
      </c>
      <c r="B81" s="1" t="n">
        <v>43761</v>
      </c>
      <c r="C81" s="1" t="n">
        <v>45510</v>
      </c>
      <c r="D81" t="inlineStr">
        <is>
          <t>VÄSTERBOTTENS LÄN</t>
        </is>
      </c>
      <c r="E81" t="inlineStr">
        <is>
          <t>DOROTEA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55895-2019</t>
        </is>
      </c>
      <c r="B82" s="1" t="n">
        <v>43761</v>
      </c>
      <c r="C82" s="1" t="n">
        <v>45510</v>
      </c>
      <c r="D82" t="inlineStr">
        <is>
          <t>VÄSTERBOTTENS LÄN</t>
        </is>
      </c>
      <c r="E82" t="inlineStr">
        <is>
          <t>DOROTEA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56120-2019</t>
        </is>
      </c>
      <c r="B83" s="1" t="n">
        <v>43761</v>
      </c>
      <c r="C83" s="1" t="n">
        <v>45510</v>
      </c>
      <c r="D83" t="inlineStr">
        <is>
          <t>VÄSTERBOTTENS LÄN</t>
        </is>
      </c>
      <c r="E83" t="inlineStr">
        <is>
          <t>DOROTEA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59008-2019</t>
        </is>
      </c>
      <c r="B84" s="1" t="n">
        <v>43768</v>
      </c>
      <c r="C84" s="1" t="n">
        <v>45510</v>
      </c>
      <c r="D84" t="inlineStr">
        <is>
          <t>VÄSTERBOTTENS LÄN</t>
        </is>
      </c>
      <c r="E84" t="inlineStr">
        <is>
          <t>DOROTEA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59071-2019</t>
        </is>
      </c>
      <c r="B85" s="1" t="n">
        <v>43774</v>
      </c>
      <c r="C85" s="1" t="n">
        <v>45510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62526-2019</t>
        </is>
      </c>
      <c r="B86" s="1" t="n">
        <v>43783</v>
      </c>
      <c r="C86" s="1" t="n">
        <v>45510</v>
      </c>
      <c r="D86" t="inlineStr">
        <is>
          <t>VÄSTERBOTTENS LÄN</t>
        </is>
      </c>
      <c r="E86" t="inlineStr">
        <is>
          <t>DOROTEA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63896-2019</t>
        </is>
      </c>
      <c r="B87" s="1" t="n">
        <v>43795</v>
      </c>
      <c r="C87" s="1" t="n">
        <v>45510</v>
      </c>
      <c r="D87" t="inlineStr">
        <is>
          <t>VÄSTERBOTTENS LÄN</t>
        </is>
      </c>
      <c r="E87" t="inlineStr">
        <is>
          <t>DOROTEA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64464-2019</t>
        </is>
      </c>
      <c r="B88" s="1" t="n">
        <v>43797</v>
      </c>
      <c r="C88" s="1" t="n">
        <v>45510</v>
      </c>
      <c r="D88" t="inlineStr">
        <is>
          <t>VÄSTERBOTTENS LÄN</t>
        </is>
      </c>
      <c r="E88" t="inlineStr">
        <is>
          <t>DOROTEA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66150-2019</t>
        </is>
      </c>
      <c r="B89" s="1" t="n">
        <v>43801</v>
      </c>
      <c r="C89" s="1" t="n">
        <v>45510</v>
      </c>
      <c r="D89" t="inlineStr">
        <is>
          <t>VÄSTERBOTTENS LÄN</t>
        </is>
      </c>
      <c r="E89" t="inlineStr">
        <is>
          <t>DOROTEA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65557-2019</t>
        </is>
      </c>
      <c r="B90" s="1" t="n">
        <v>43803</v>
      </c>
      <c r="C90" s="1" t="n">
        <v>45510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65556-2019</t>
        </is>
      </c>
      <c r="B91" s="1" t="n">
        <v>43803</v>
      </c>
      <c r="C91" s="1" t="n">
        <v>45510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10.2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66922-2019</t>
        </is>
      </c>
      <c r="B92" s="1" t="n">
        <v>43804</v>
      </c>
      <c r="C92" s="1" t="n">
        <v>45510</v>
      </c>
      <c r="D92" t="inlineStr">
        <is>
          <t>VÄSTERBOTTENS LÄN</t>
        </is>
      </c>
      <c r="E92" t="inlineStr">
        <is>
          <t>DOROTEA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66382-2019</t>
        </is>
      </c>
      <c r="B93" s="1" t="n">
        <v>43808</v>
      </c>
      <c r="C93" s="1" t="n">
        <v>45510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67223-2019</t>
        </is>
      </c>
      <c r="B94" s="1" t="n">
        <v>43811</v>
      </c>
      <c r="C94" s="1" t="n">
        <v>45510</v>
      </c>
      <c r="D94" t="inlineStr">
        <is>
          <t>VÄSTERBOTTENS LÄN</t>
        </is>
      </c>
      <c r="E94" t="inlineStr">
        <is>
          <t>DOROTEA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293-2020</t>
        </is>
      </c>
      <c r="B95" s="1" t="n">
        <v>43837</v>
      </c>
      <c r="C95" s="1" t="n">
        <v>45510</v>
      </c>
      <c r="D95" t="inlineStr">
        <is>
          <t>VÄSTERBOTTENS LÄN</t>
        </is>
      </c>
      <c r="E95" t="inlineStr">
        <is>
          <t>DOROTEA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1276-2020</t>
        </is>
      </c>
      <c r="B96" s="1" t="n">
        <v>43841</v>
      </c>
      <c r="C96" s="1" t="n">
        <v>45510</v>
      </c>
      <c r="D96" t="inlineStr">
        <is>
          <t>VÄSTERBOTTENS LÄN</t>
        </is>
      </c>
      <c r="E96" t="inlineStr">
        <is>
          <t>DOROTEA</t>
        </is>
      </c>
      <c r="G96" t="n">
        <v>10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3770-2020</t>
        </is>
      </c>
      <c r="B97" s="1" t="n">
        <v>43854</v>
      </c>
      <c r="C97" s="1" t="n">
        <v>45510</v>
      </c>
      <c r="D97" t="inlineStr">
        <is>
          <t>VÄSTERBOTTENS LÄN</t>
        </is>
      </c>
      <c r="E97" t="inlineStr">
        <is>
          <t>DOROTEA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6570-2020</t>
        </is>
      </c>
      <c r="B98" s="1" t="n">
        <v>43864</v>
      </c>
      <c r="C98" s="1" t="n">
        <v>45510</v>
      </c>
      <c r="D98" t="inlineStr">
        <is>
          <t>VÄSTERBOTTENS LÄN</t>
        </is>
      </c>
      <c r="E98" t="inlineStr">
        <is>
          <t>DOROTEA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10073-2020</t>
        </is>
      </c>
      <c r="B99" s="1" t="n">
        <v>43884</v>
      </c>
      <c r="C99" s="1" t="n">
        <v>45510</v>
      </c>
      <c r="D99" t="inlineStr">
        <is>
          <t>VÄSTERBOTTENS LÄN</t>
        </is>
      </c>
      <c r="E99" t="inlineStr">
        <is>
          <t>DOROTEA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12589-2020</t>
        </is>
      </c>
      <c r="B100" s="1" t="n">
        <v>43899</v>
      </c>
      <c r="C100" s="1" t="n">
        <v>45510</v>
      </c>
      <c r="D100" t="inlineStr">
        <is>
          <t>VÄSTERBOTTENS LÄN</t>
        </is>
      </c>
      <c r="E100" t="inlineStr">
        <is>
          <t>DOROTEA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12870-2020</t>
        </is>
      </c>
      <c r="B101" s="1" t="n">
        <v>43899</v>
      </c>
      <c r="C101" s="1" t="n">
        <v>45510</v>
      </c>
      <c r="D101" t="inlineStr">
        <is>
          <t>VÄSTERBOTTENS LÄN</t>
        </is>
      </c>
      <c r="E101" t="inlineStr">
        <is>
          <t>DOROTEA</t>
        </is>
      </c>
      <c r="G101" t="n">
        <v>22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21025-2020</t>
        </is>
      </c>
      <c r="B102" s="1" t="n">
        <v>43950</v>
      </c>
      <c r="C102" s="1" t="n">
        <v>45510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21398-2020</t>
        </is>
      </c>
      <c r="B103" s="1" t="n">
        <v>43955</v>
      </c>
      <c r="C103" s="1" t="n">
        <v>45510</v>
      </c>
      <c r="D103" t="inlineStr">
        <is>
          <t>VÄSTERBOTTENS LÄN</t>
        </is>
      </c>
      <c r="E103" t="inlineStr">
        <is>
          <t>DOROTEA</t>
        </is>
      </c>
      <c r="G103" t="n">
        <v>17.4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28210-2020</t>
        </is>
      </c>
      <c r="B104" s="1" t="n">
        <v>43997</v>
      </c>
      <c r="C104" s="1" t="n">
        <v>45510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28790-2020</t>
        </is>
      </c>
      <c r="B105" s="1" t="n">
        <v>44000</v>
      </c>
      <c r="C105" s="1" t="n">
        <v>45510</v>
      </c>
      <c r="D105" t="inlineStr">
        <is>
          <t>VÄSTERBOTTENS LÄN</t>
        </is>
      </c>
      <c r="E105" t="inlineStr">
        <is>
          <t>DOROTEA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29468-2020</t>
        </is>
      </c>
      <c r="B106" s="1" t="n">
        <v>44004</v>
      </c>
      <c r="C106" s="1" t="n">
        <v>45510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29778-2020</t>
        </is>
      </c>
      <c r="B107" s="1" t="n">
        <v>44005</v>
      </c>
      <c r="C107" s="1" t="n">
        <v>45510</v>
      </c>
      <c r="D107" t="inlineStr">
        <is>
          <t>VÄSTERBOTTENS LÄN</t>
        </is>
      </c>
      <c r="E107" t="inlineStr">
        <is>
          <t>DOROTEA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29799-2020</t>
        </is>
      </c>
      <c r="B108" s="1" t="n">
        <v>44005</v>
      </c>
      <c r="C108" s="1" t="n">
        <v>45510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31019-2020</t>
        </is>
      </c>
      <c r="B109" s="1" t="n">
        <v>44011</v>
      </c>
      <c r="C109" s="1" t="n">
        <v>45510</v>
      </c>
      <c r="D109" t="inlineStr">
        <is>
          <t>VÄSTERBOTTENS LÄN</t>
        </is>
      </c>
      <c r="E109" t="inlineStr">
        <is>
          <t>DOROTEA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31017-2020</t>
        </is>
      </c>
      <c r="B110" s="1" t="n">
        <v>44011</v>
      </c>
      <c r="C110" s="1" t="n">
        <v>45510</v>
      </c>
      <c r="D110" t="inlineStr">
        <is>
          <t>VÄSTERBOTTENS LÄN</t>
        </is>
      </c>
      <c r="E110" t="inlineStr">
        <is>
          <t>DOROTEA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31296-2020</t>
        </is>
      </c>
      <c r="B111" s="1" t="n">
        <v>44012</v>
      </c>
      <c r="C111" s="1" t="n">
        <v>45510</v>
      </c>
      <c r="D111" t="inlineStr">
        <is>
          <t>VÄSTERBOTTENS LÄN</t>
        </is>
      </c>
      <c r="E111" t="inlineStr">
        <is>
          <t>DOROTEA</t>
        </is>
      </c>
      <c r="G111" t="n">
        <v>31.1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32298-2020</t>
        </is>
      </c>
      <c r="B112" s="1" t="n">
        <v>44015</v>
      </c>
      <c r="C112" s="1" t="n">
        <v>45510</v>
      </c>
      <c r="D112" t="inlineStr">
        <is>
          <t>VÄSTERBOTTENS LÄN</t>
        </is>
      </c>
      <c r="E112" t="inlineStr">
        <is>
          <t>DOROTEA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40417-2020</t>
        </is>
      </c>
      <c r="B113" s="1" t="n">
        <v>44068</v>
      </c>
      <c r="C113" s="1" t="n">
        <v>45510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43616-2020</t>
        </is>
      </c>
      <c r="B114" s="1" t="n">
        <v>44078</v>
      </c>
      <c r="C114" s="1" t="n">
        <v>45510</v>
      </c>
      <c r="D114" t="inlineStr">
        <is>
          <t>VÄSTERBOTTENS LÄN</t>
        </is>
      </c>
      <c r="E114" t="inlineStr">
        <is>
          <t>DOROTEA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44250-2020</t>
        </is>
      </c>
      <c r="B115" s="1" t="n">
        <v>44082</v>
      </c>
      <c r="C115" s="1" t="n">
        <v>45510</v>
      </c>
      <c r="D115" t="inlineStr">
        <is>
          <t>VÄSTERBOTTENS LÄN</t>
        </is>
      </c>
      <c r="E115" t="inlineStr">
        <is>
          <t>DOROTEA</t>
        </is>
      </c>
      <c r="F115" t="inlineStr">
        <is>
          <t>Övriga statliga verk och myndigheter</t>
        </is>
      </c>
      <c r="G115" t="n">
        <v>11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46761-2020</t>
        </is>
      </c>
      <c r="B116" s="1" t="n">
        <v>44095</v>
      </c>
      <c r="C116" s="1" t="n">
        <v>45510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19.6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46762-2020</t>
        </is>
      </c>
      <c r="B117" s="1" t="n">
        <v>44095</v>
      </c>
      <c r="C117" s="1" t="n">
        <v>45510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49150-2020</t>
        </is>
      </c>
      <c r="B118" s="1" t="n">
        <v>44104</v>
      </c>
      <c r="C118" s="1" t="n">
        <v>45510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49675-2020</t>
        </is>
      </c>
      <c r="B119" s="1" t="n">
        <v>44104</v>
      </c>
      <c r="C119" s="1" t="n">
        <v>45510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52575-2020</t>
        </is>
      </c>
      <c r="B120" s="1" t="n">
        <v>44118</v>
      </c>
      <c r="C120" s="1" t="n">
        <v>45510</v>
      </c>
      <c r="D120" t="inlineStr">
        <is>
          <t>VÄSTERBOTTENS LÄN</t>
        </is>
      </c>
      <c r="E120" t="inlineStr">
        <is>
          <t>DOROTEA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52969-2020</t>
        </is>
      </c>
      <c r="B121" s="1" t="n">
        <v>44120</v>
      </c>
      <c r="C121" s="1" t="n">
        <v>45510</v>
      </c>
      <c r="D121" t="inlineStr">
        <is>
          <t>VÄSTERBOTTENS LÄN</t>
        </is>
      </c>
      <c r="E121" t="inlineStr">
        <is>
          <t>DOROTEA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55930-2020</t>
        </is>
      </c>
      <c r="B122" s="1" t="n">
        <v>44132</v>
      </c>
      <c r="C122" s="1" t="n">
        <v>45510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56560-2020</t>
        </is>
      </c>
      <c r="B123" s="1" t="n">
        <v>44133</v>
      </c>
      <c r="C123" s="1" t="n">
        <v>45510</v>
      </c>
      <c r="D123" t="inlineStr">
        <is>
          <t>VÄSTERBOTTENS LÄN</t>
        </is>
      </c>
      <c r="E123" t="inlineStr">
        <is>
          <t>DOROTEA</t>
        </is>
      </c>
      <c r="G123" t="n">
        <v>14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60041-2020</t>
        </is>
      </c>
      <c r="B124" s="1" t="n">
        <v>44151</v>
      </c>
      <c r="C124" s="1" t="n">
        <v>45510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60399-2020</t>
        </is>
      </c>
      <c r="B125" s="1" t="n">
        <v>44152</v>
      </c>
      <c r="C125" s="1" t="n">
        <v>45510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9.9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60398-2020</t>
        </is>
      </c>
      <c r="B126" s="1" t="n">
        <v>44152</v>
      </c>
      <c r="C126" s="1" t="n">
        <v>45510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64473-2020</t>
        </is>
      </c>
      <c r="B127" s="1" t="n">
        <v>44168</v>
      </c>
      <c r="C127" s="1" t="n">
        <v>45510</v>
      </c>
      <c r="D127" t="inlineStr">
        <is>
          <t>VÄSTERBOTTENS LÄN</t>
        </is>
      </c>
      <c r="E127" t="inlineStr">
        <is>
          <t>DOROTEA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64497-2020</t>
        </is>
      </c>
      <c r="B128" s="1" t="n">
        <v>44168</v>
      </c>
      <c r="C128" s="1" t="n">
        <v>45510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64496-2020</t>
        </is>
      </c>
      <c r="B129" s="1" t="n">
        <v>44168</v>
      </c>
      <c r="C129" s="1" t="n">
        <v>45510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65441-2020</t>
        </is>
      </c>
      <c r="B130" s="1" t="n">
        <v>44169</v>
      </c>
      <c r="C130" s="1" t="n">
        <v>45510</v>
      </c>
      <c r="D130" t="inlineStr">
        <is>
          <t>VÄSTERBOTTENS LÄN</t>
        </is>
      </c>
      <c r="E130" t="inlineStr">
        <is>
          <t>DOROTEA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4164-2021</t>
        </is>
      </c>
      <c r="B131" s="1" t="n">
        <v>44223</v>
      </c>
      <c r="C131" s="1" t="n">
        <v>45510</v>
      </c>
      <c r="D131" t="inlineStr">
        <is>
          <t>VÄSTERBOTTENS LÄN</t>
        </is>
      </c>
      <c r="E131" t="inlineStr">
        <is>
          <t>DOROTEA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6489-2021</t>
        </is>
      </c>
      <c r="B132" s="1" t="n">
        <v>44235</v>
      </c>
      <c r="C132" s="1" t="n">
        <v>45510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11707-2021</t>
        </is>
      </c>
      <c r="B133" s="1" t="n">
        <v>44264</v>
      </c>
      <c r="C133" s="1" t="n">
        <v>45510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13059-2021</t>
        </is>
      </c>
      <c r="B134" s="1" t="n">
        <v>44271</v>
      </c>
      <c r="C134" s="1" t="n">
        <v>45510</v>
      </c>
      <c r="D134" t="inlineStr">
        <is>
          <t>VÄSTERBOTTENS LÄN</t>
        </is>
      </c>
      <c r="E134" t="inlineStr">
        <is>
          <t>DOROTEA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16777-2021</t>
        </is>
      </c>
      <c r="B135" s="1" t="n">
        <v>44294</v>
      </c>
      <c r="C135" s="1" t="n">
        <v>45510</v>
      </c>
      <c r="D135" t="inlineStr">
        <is>
          <t>VÄSTERBOTTENS LÄN</t>
        </is>
      </c>
      <c r="E135" t="inlineStr">
        <is>
          <t>DOROTEA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24203-2021</t>
        </is>
      </c>
      <c r="B136" s="1" t="n">
        <v>44336</v>
      </c>
      <c r="C136" s="1" t="n">
        <v>45510</v>
      </c>
      <c r="D136" t="inlineStr">
        <is>
          <t>VÄSTERBOTTENS LÄN</t>
        </is>
      </c>
      <c r="E136" t="inlineStr">
        <is>
          <t>DOROTEA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24207-2021</t>
        </is>
      </c>
      <c r="B137" s="1" t="n">
        <v>44336</v>
      </c>
      <c r="C137" s="1" t="n">
        <v>45510</v>
      </c>
      <c r="D137" t="inlineStr">
        <is>
          <t>VÄSTERBOTTENS LÄN</t>
        </is>
      </c>
      <c r="E137" t="inlineStr">
        <is>
          <t>DOROTEA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24206-2021</t>
        </is>
      </c>
      <c r="B138" s="1" t="n">
        <v>44336</v>
      </c>
      <c r="C138" s="1" t="n">
        <v>45510</v>
      </c>
      <c r="D138" t="inlineStr">
        <is>
          <t>VÄSTERBOTTENS LÄN</t>
        </is>
      </c>
      <c r="E138" t="inlineStr">
        <is>
          <t>DOROTEA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24364-2021</t>
        </is>
      </c>
      <c r="B139" s="1" t="n">
        <v>44337</v>
      </c>
      <c r="C139" s="1" t="n">
        <v>45510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27506-2021</t>
        </is>
      </c>
      <c r="B140" s="1" t="n">
        <v>44351</v>
      </c>
      <c r="C140" s="1" t="n">
        <v>45510</v>
      </c>
      <c r="D140" t="inlineStr">
        <is>
          <t>VÄSTERBOTTENS LÄN</t>
        </is>
      </c>
      <c r="E140" t="inlineStr">
        <is>
          <t>DOROTEA</t>
        </is>
      </c>
      <c r="F140" t="inlineStr">
        <is>
          <t>Kommuner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27511-2021</t>
        </is>
      </c>
      <c r="B141" s="1" t="n">
        <v>44351</v>
      </c>
      <c r="C141" s="1" t="n">
        <v>45510</v>
      </c>
      <c r="D141" t="inlineStr">
        <is>
          <t>VÄSTERBOTTENS LÄN</t>
        </is>
      </c>
      <c r="E141" t="inlineStr">
        <is>
          <t>DOROTEA</t>
        </is>
      </c>
      <c r="F141" t="inlineStr">
        <is>
          <t>Kommuner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27503-2021</t>
        </is>
      </c>
      <c r="B142" s="1" t="n">
        <v>44351</v>
      </c>
      <c r="C142" s="1" t="n">
        <v>45510</v>
      </c>
      <c r="D142" t="inlineStr">
        <is>
          <t>VÄSTERBOTTENS LÄN</t>
        </is>
      </c>
      <c r="E142" t="inlineStr">
        <is>
          <t>DOROTEA</t>
        </is>
      </c>
      <c r="F142" t="inlineStr">
        <is>
          <t>Kommuner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27509-2021</t>
        </is>
      </c>
      <c r="B143" s="1" t="n">
        <v>44351</v>
      </c>
      <c r="C143" s="1" t="n">
        <v>45510</v>
      </c>
      <c r="D143" t="inlineStr">
        <is>
          <t>VÄSTERBOTTENS LÄN</t>
        </is>
      </c>
      <c r="E143" t="inlineStr">
        <is>
          <t>DOROTEA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27508-2021</t>
        </is>
      </c>
      <c r="B144" s="1" t="n">
        <v>44351</v>
      </c>
      <c r="C144" s="1" t="n">
        <v>45510</v>
      </c>
      <c r="D144" t="inlineStr">
        <is>
          <t>VÄSTERBOTTENS LÄN</t>
        </is>
      </c>
      <c r="E144" t="inlineStr">
        <is>
          <t>DOROTEA</t>
        </is>
      </c>
      <c r="F144" t="inlineStr">
        <is>
          <t>Kommuner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27514-2021</t>
        </is>
      </c>
      <c r="B145" s="1" t="n">
        <v>44351</v>
      </c>
      <c r="C145" s="1" t="n">
        <v>45510</v>
      </c>
      <c r="D145" t="inlineStr">
        <is>
          <t>VÄSTERBOTTENS LÄN</t>
        </is>
      </c>
      <c r="E145" t="inlineStr">
        <is>
          <t>DOROTEA</t>
        </is>
      </c>
      <c r="F145" t="inlineStr">
        <is>
          <t>Kommuner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33218-2021</t>
        </is>
      </c>
      <c r="B146" s="1" t="n">
        <v>44377</v>
      </c>
      <c r="C146" s="1" t="n">
        <v>45510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33286-2021</t>
        </is>
      </c>
      <c r="B147" s="1" t="n">
        <v>44377</v>
      </c>
      <c r="C147" s="1" t="n">
        <v>45510</v>
      </c>
      <c r="D147" t="inlineStr">
        <is>
          <t>VÄSTERBOTTENS LÄN</t>
        </is>
      </c>
      <c r="E147" t="inlineStr">
        <is>
          <t>DOROTEA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33292-2021</t>
        </is>
      </c>
      <c r="B148" s="1" t="n">
        <v>44377</v>
      </c>
      <c r="C148" s="1" t="n">
        <v>45510</v>
      </c>
      <c r="D148" t="inlineStr">
        <is>
          <t>VÄSTERBOTTENS LÄN</t>
        </is>
      </c>
      <c r="E148" t="inlineStr">
        <is>
          <t>DOROTEA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33294-2021</t>
        </is>
      </c>
      <c r="B149" s="1" t="n">
        <v>44377</v>
      </c>
      <c r="C149" s="1" t="n">
        <v>45510</v>
      </c>
      <c r="D149" t="inlineStr">
        <is>
          <t>VÄSTERBOTTENS LÄN</t>
        </is>
      </c>
      <c r="E149" t="inlineStr">
        <is>
          <t>DOROTEA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35040-2021</t>
        </is>
      </c>
      <c r="B150" s="1" t="n">
        <v>44383</v>
      </c>
      <c r="C150" s="1" t="n">
        <v>45510</v>
      </c>
      <c r="D150" t="inlineStr">
        <is>
          <t>VÄSTERBOTTENS LÄN</t>
        </is>
      </c>
      <c r="E150" t="inlineStr">
        <is>
          <t>DOROTEA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38781-2021</t>
        </is>
      </c>
      <c r="B151" s="1" t="n">
        <v>44410</v>
      </c>
      <c r="C151" s="1" t="n">
        <v>45510</v>
      </c>
      <c r="D151" t="inlineStr">
        <is>
          <t>VÄSTERBOTTENS LÄN</t>
        </is>
      </c>
      <c r="E151" t="inlineStr">
        <is>
          <t>DOROTEA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39603-2021</t>
        </is>
      </c>
      <c r="B152" s="1" t="n">
        <v>44417</v>
      </c>
      <c r="C152" s="1" t="n">
        <v>45510</v>
      </c>
      <c r="D152" t="inlineStr">
        <is>
          <t>VÄSTERBOTTENS LÄN</t>
        </is>
      </c>
      <c r="E152" t="inlineStr">
        <is>
          <t>DOROTEA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43210-2021</t>
        </is>
      </c>
      <c r="B153" s="1" t="n">
        <v>44432</v>
      </c>
      <c r="C153" s="1" t="n">
        <v>45510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43211-2021</t>
        </is>
      </c>
      <c r="B154" s="1" t="n">
        <v>44431</v>
      </c>
      <c r="C154" s="1" t="n">
        <v>45510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52361-2021</t>
        </is>
      </c>
      <c r="B155" s="1" t="n">
        <v>44465</v>
      </c>
      <c r="C155" s="1" t="n">
        <v>45510</v>
      </c>
      <c r="D155" t="inlineStr">
        <is>
          <t>VÄSTERBOTTENS LÄN</t>
        </is>
      </c>
      <c r="E155" t="inlineStr">
        <is>
          <t>DOROTEA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52362-2021</t>
        </is>
      </c>
      <c r="B156" s="1" t="n">
        <v>44465</v>
      </c>
      <c r="C156" s="1" t="n">
        <v>45510</v>
      </c>
      <c r="D156" t="inlineStr">
        <is>
          <t>VÄSTERBOTTENS LÄN</t>
        </is>
      </c>
      <c r="E156" t="inlineStr">
        <is>
          <t>DOROTEA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52363-2021</t>
        </is>
      </c>
      <c r="B157" s="1" t="n">
        <v>44465</v>
      </c>
      <c r="C157" s="1" t="n">
        <v>45510</v>
      </c>
      <c r="D157" t="inlineStr">
        <is>
          <t>VÄSTERBOTTENS LÄN</t>
        </is>
      </c>
      <c r="E157" t="inlineStr">
        <is>
          <t>DOROTEA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56807-2021</t>
        </is>
      </c>
      <c r="B158" s="1" t="n">
        <v>44481</v>
      </c>
      <c r="C158" s="1" t="n">
        <v>45510</v>
      </c>
      <c r="D158" t="inlineStr">
        <is>
          <t>VÄSTERBOTTENS LÄN</t>
        </is>
      </c>
      <c r="E158" t="inlineStr">
        <is>
          <t>DOROTEA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57573-2021</t>
        </is>
      </c>
      <c r="B159" s="1" t="n">
        <v>44482</v>
      </c>
      <c r="C159" s="1" t="n">
        <v>45510</v>
      </c>
      <c r="D159" t="inlineStr">
        <is>
          <t>VÄSTERBOTTENS LÄN</t>
        </is>
      </c>
      <c r="E159" t="inlineStr">
        <is>
          <t>DOROTEA</t>
        </is>
      </c>
      <c r="F159" t="inlineStr">
        <is>
          <t>Övriga statliga verk och myndigheter</t>
        </is>
      </c>
      <c r="G159" t="n">
        <v>12.3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57580-2021</t>
        </is>
      </c>
      <c r="B160" s="1" t="n">
        <v>44482</v>
      </c>
      <c r="C160" s="1" t="n">
        <v>45510</v>
      </c>
      <c r="D160" t="inlineStr">
        <is>
          <t>VÄSTERBOTTENS LÄN</t>
        </is>
      </c>
      <c r="E160" t="inlineStr">
        <is>
          <t>DOROTEA</t>
        </is>
      </c>
      <c r="F160" t="inlineStr">
        <is>
          <t>Övriga statliga verk och myndigheter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57585-2021</t>
        </is>
      </c>
      <c r="B161" s="1" t="n">
        <v>44483</v>
      </c>
      <c r="C161" s="1" t="n">
        <v>45510</v>
      </c>
      <c r="D161" t="inlineStr">
        <is>
          <t>VÄSTERBOTTENS LÄN</t>
        </is>
      </c>
      <c r="E161" t="inlineStr">
        <is>
          <t>DOROTEA</t>
        </is>
      </c>
      <c r="F161" t="inlineStr">
        <is>
          <t>Övriga statliga verk och myndigheter</t>
        </is>
      </c>
      <c r="G161" t="n">
        <v>18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57579-2021</t>
        </is>
      </c>
      <c r="B162" s="1" t="n">
        <v>44483</v>
      </c>
      <c r="C162" s="1" t="n">
        <v>45510</v>
      </c>
      <c r="D162" t="inlineStr">
        <is>
          <t>VÄSTERBOTTENS LÄN</t>
        </is>
      </c>
      <c r="E162" t="inlineStr">
        <is>
          <t>DOROTEA</t>
        </is>
      </c>
      <c r="F162" t="inlineStr">
        <is>
          <t>Övriga statliga verk och myndigheter</t>
        </is>
      </c>
      <c r="G162" t="n">
        <v>22.9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57955-2021</t>
        </is>
      </c>
      <c r="B163" s="1" t="n">
        <v>44484</v>
      </c>
      <c r="C163" s="1" t="n">
        <v>45510</v>
      </c>
      <c r="D163" t="inlineStr">
        <is>
          <t>VÄSTERBOTTENS LÄN</t>
        </is>
      </c>
      <c r="E163" t="inlineStr">
        <is>
          <t>DOROTEA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57974-2021</t>
        </is>
      </c>
      <c r="B164" s="1" t="n">
        <v>44487</v>
      </c>
      <c r="C164" s="1" t="n">
        <v>45510</v>
      </c>
      <c r="D164" t="inlineStr">
        <is>
          <t>VÄSTERBOTTENS LÄN</t>
        </is>
      </c>
      <c r="E164" t="inlineStr">
        <is>
          <t>DOROTEA</t>
        </is>
      </c>
      <c r="F164" t="inlineStr">
        <is>
          <t>Övriga statliga verk och myndigheter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60145-2021</t>
        </is>
      </c>
      <c r="B165" s="1" t="n">
        <v>44494</v>
      </c>
      <c r="C165" s="1" t="n">
        <v>45510</v>
      </c>
      <c r="D165" t="inlineStr">
        <is>
          <t>VÄSTERBOTTENS LÄN</t>
        </is>
      </c>
      <c r="E165" t="inlineStr">
        <is>
          <t>DOROTEA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63152-2021</t>
        </is>
      </c>
      <c r="B166" s="1" t="n">
        <v>44505</v>
      </c>
      <c r="C166" s="1" t="n">
        <v>45510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64077-2021</t>
        </is>
      </c>
      <c r="B167" s="1" t="n">
        <v>44509</v>
      </c>
      <c r="C167" s="1" t="n">
        <v>45510</v>
      </c>
      <c r="D167" t="inlineStr">
        <is>
          <t>VÄSTERBOTTENS LÄN</t>
        </is>
      </c>
      <c r="E167" t="inlineStr">
        <is>
          <t>DOROTEA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64063-2021</t>
        </is>
      </c>
      <c r="B168" s="1" t="n">
        <v>44509</v>
      </c>
      <c r="C168" s="1" t="n">
        <v>45510</v>
      </c>
      <c r="D168" t="inlineStr">
        <is>
          <t>VÄSTERBOTTENS LÄN</t>
        </is>
      </c>
      <c r="E168" t="inlineStr">
        <is>
          <t>DOROTEA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65903-2021</t>
        </is>
      </c>
      <c r="B169" s="1" t="n">
        <v>44517</v>
      </c>
      <c r="C169" s="1" t="n">
        <v>45510</v>
      </c>
      <c r="D169" t="inlineStr">
        <is>
          <t>VÄSTERBOTTENS LÄN</t>
        </is>
      </c>
      <c r="E169" t="inlineStr">
        <is>
          <t>DOROTEA</t>
        </is>
      </c>
      <c r="G169" t="n">
        <v>15.9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67686-2021</t>
        </is>
      </c>
      <c r="B170" s="1" t="n">
        <v>44524</v>
      </c>
      <c r="C170" s="1" t="n">
        <v>45510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70182-2021</t>
        </is>
      </c>
      <c r="B171" s="1" t="n">
        <v>44533</v>
      </c>
      <c r="C171" s="1" t="n">
        <v>45510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70519-2021</t>
        </is>
      </c>
      <c r="B172" s="1" t="n">
        <v>44536</v>
      </c>
      <c r="C172" s="1" t="n">
        <v>45510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74013-2021</t>
        </is>
      </c>
      <c r="B173" s="1" t="n">
        <v>44557</v>
      </c>
      <c r="C173" s="1" t="n">
        <v>45510</v>
      </c>
      <c r="D173" t="inlineStr">
        <is>
          <t>VÄSTERBOTTENS LÄN</t>
        </is>
      </c>
      <c r="E173" t="inlineStr">
        <is>
          <t>DOROTEA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745-2022</t>
        </is>
      </c>
      <c r="B174" s="1" t="n">
        <v>44568</v>
      </c>
      <c r="C174" s="1" t="n">
        <v>45510</v>
      </c>
      <c r="D174" t="inlineStr">
        <is>
          <t>VÄSTERBOTTENS LÄN</t>
        </is>
      </c>
      <c r="E174" t="inlineStr">
        <is>
          <t>DOROTEA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2474-2022</t>
        </is>
      </c>
      <c r="B175" s="1" t="n">
        <v>44579</v>
      </c>
      <c r="C175" s="1" t="n">
        <v>45510</v>
      </c>
      <c r="D175" t="inlineStr">
        <is>
          <t>VÄSTERBOTTENS LÄN</t>
        </is>
      </c>
      <c r="E175" t="inlineStr">
        <is>
          <t>DOROTEA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3241-2022</t>
        </is>
      </c>
      <c r="B176" s="1" t="n">
        <v>44582</v>
      </c>
      <c r="C176" s="1" t="n">
        <v>45510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3240-2022</t>
        </is>
      </c>
      <c r="B177" s="1" t="n">
        <v>44582</v>
      </c>
      <c r="C177" s="1" t="n">
        <v>45510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4019-2022</t>
        </is>
      </c>
      <c r="B178" s="1" t="n">
        <v>44587</v>
      </c>
      <c r="C178" s="1" t="n">
        <v>45510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4518-2022</t>
        </is>
      </c>
      <c r="B179" s="1" t="n">
        <v>44589</v>
      </c>
      <c r="C179" s="1" t="n">
        <v>45510</v>
      </c>
      <c r="D179" t="inlineStr">
        <is>
          <t>VÄSTERBOTTENS LÄN</t>
        </is>
      </c>
      <c r="E179" t="inlineStr">
        <is>
          <t>DOROTEA</t>
        </is>
      </c>
      <c r="G179" t="n">
        <v>10.9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8983-2022</t>
        </is>
      </c>
      <c r="B180" s="1" t="n">
        <v>44614</v>
      </c>
      <c r="C180" s="1" t="n">
        <v>45510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8982-2022</t>
        </is>
      </c>
      <c r="B181" s="1" t="n">
        <v>44614</v>
      </c>
      <c r="C181" s="1" t="n">
        <v>45510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10316-2022</t>
        </is>
      </c>
      <c r="B182" s="1" t="n">
        <v>44622</v>
      </c>
      <c r="C182" s="1" t="n">
        <v>45510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10318-2022</t>
        </is>
      </c>
      <c r="B183" s="1" t="n">
        <v>44622</v>
      </c>
      <c r="C183" s="1" t="n">
        <v>45510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11309-2022</t>
        </is>
      </c>
      <c r="B184" s="1" t="n">
        <v>44629</v>
      </c>
      <c r="C184" s="1" t="n">
        <v>45510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13451-2022</t>
        </is>
      </c>
      <c r="B185" s="1" t="n">
        <v>44645</v>
      </c>
      <c r="C185" s="1" t="n">
        <v>45510</v>
      </c>
      <c r="D185" t="inlineStr">
        <is>
          <t>VÄSTERBOTTENS LÄN</t>
        </is>
      </c>
      <c r="E185" t="inlineStr">
        <is>
          <t>DOROTEA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13749-2022</t>
        </is>
      </c>
      <c r="B186" s="1" t="n">
        <v>44648</v>
      </c>
      <c r="C186" s="1" t="n">
        <v>45510</v>
      </c>
      <c r="D186" t="inlineStr">
        <is>
          <t>VÄSTERBOTTENS LÄN</t>
        </is>
      </c>
      <c r="E186" t="inlineStr">
        <is>
          <t>DOROTEA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18004-2022</t>
        </is>
      </c>
      <c r="B187" s="1" t="n">
        <v>44684</v>
      </c>
      <c r="C187" s="1" t="n">
        <v>45510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19204-2022</t>
        </is>
      </c>
      <c r="B188" s="1" t="n">
        <v>44692</v>
      </c>
      <c r="C188" s="1" t="n">
        <v>45510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19406-2022</t>
        </is>
      </c>
      <c r="B189" s="1" t="n">
        <v>44692</v>
      </c>
      <c r="C189" s="1" t="n">
        <v>45510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23213-2022</t>
        </is>
      </c>
      <c r="B190" s="1" t="n">
        <v>44720</v>
      </c>
      <c r="C190" s="1" t="n">
        <v>45510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23187-2022</t>
        </is>
      </c>
      <c r="B191" s="1" t="n">
        <v>44719</v>
      </c>
      <c r="C191" s="1" t="n">
        <v>45510</v>
      </c>
      <c r="D191" t="inlineStr">
        <is>
          <t>VÄSTERBOTTENS LÄN</t>
        </is>
      </c>
      <c r="E191" t="inlineStr">
        <is>
          <t>DOROTEA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23522-2022</t>
        </is>
      </c>
      <c r="B192" s="1" t="n">
        <v>44721</v>
      </c>
      <c r="C192" s="1" t="n">
        <v>45510</v>
      </c>
      <c r="D192" t="inlineStr">
        <is>
          <t>VÄSTERBOTTENS LÄN</t>
        </is>
      </c>
      <c r="E192" t="inlineStr">
        <is>
          <t>DOROTEA</t>
        </is>
      </c>
      <c r="F192" t="inlineStr">
        <is>
          <t>Övriga statliga verk och myndigheter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24183-2022</t>
        </is>
      </c>
      <c r="B193" s="1" t="n">
        <v>44725</v>
      </c>
      <c r="C193" s="1" t="n">
        <v>45510</v>
      </c>
      <c r="D193" t="inlineStr">
        <is>
          <t>VÄSTERBOTTENS LÄN</t>
        </is>
      </c>
      <c r="E193" t="inlineStr">
        <is>
          <t>DOROTEA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26419-2022</t>
        </is>
      </c>
      <c r="B194" s="1" t="n">
        <v>44736</v>
      </c>
      <c r="C194" s="1" t="n">
        <v>45510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27138-2022</t>
        </is>
      </c>
      <c r="B195" s="1" t="n">
        <v>44741</v>
      </c>
      <c r="C195" s="1" t="n">
        <v>45510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Sveaskog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27558-2022</t>
        </is>
      </c>
      <c r="B196" s="1" t="n">
        <v>44742</v>
      </c>
      <c r="C196" s="1" t="n">
        <v>45510</v>
      </c>
      <c r="D196" t="inlineStr">
        <is>
          <t>VÄSTERBOTTENS LÄN</t>
        </is>
      </c>
      <c r="E196" t="inlineStr">
        <is>
          <t>DOROTEA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27590-2022</t>
        </is>
      </c>
      <c r="B197" s="1" t="n">
        <v>44742</v>
      </c>
      <c r="C197" s="1" t="n">
        <v>45510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27589-2022</t>
        </is>
      </c>
      <c r="B198" s="1" t="n">
        <v>44742</v>
      </c>
      <c r="C198" s="1" t="n">
        <v>45510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28717-2022</t>
        </is>
      </c>
      <c r="B199" s="1" t="n">
        <v>44749</v>
      </c>
      <c r="C199" s="1" t="n">
        <v>45510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29048-2022</t>
        </is>
      </c>
      <c r="B200" s="1" t="n">
        <v>44750</v>
      </c>
      <c r="C200" s="1" t="n">
        <v>45510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29862-2022</t>
        </is>
      </c>
      <c r="B201" s="1" t="n">
        <v>44756</v>
      </c>
      <c r="C201" s="1" t="n">
        <v>45510</v>
      </c>
      <c r="D201" t="inlineStr">
        <is>
          <t>VÄSTERBOTTENS LÄN</t>
        </is>
      </c>
      <c r="E201" t="inlineStr">
        <is>
          <t>DOROTEA</t>
        </is>
      </c>
      <c r="G201" t="n">
        <v>13.6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30050-2022</t>
        </is>
      </c>
      <c r="B202" s="1" t="n">
        <v>44756</v>
      </c>
      <c r="C202" s="1" t="n">
        <v>45510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12.9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30049-2022</t>
        </is>
      </c>
      <c r="B203" s="1" t="n">
        <v>44757</v>
      </c>
      <c r="C203" s="1" t="n">
        <v>45510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30245-2022</t>
        </is>
      </c>
      <c r="B204" s="1" t="n">
        <v>44757</v>
      </c>
      <c r="C204" s="1" t="n">
        <v>45510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30456-2022</t>
        </is>
      </c>
      <c r="B205" s="1" t="n">
        <v>44761</v>
      </c>
      <c r="C205" s="1" t="n">
        <v>45510</v>
      </c>
      <c r="D205" t="inlineStr">
        <is>
          <t>VÄSTERBOTTENS LÄN</t>
        </is>
      </c>
      <c r="E205" t="inlineStr">
        <is>
          <t>DOROTEA</t>
        </is>
      </c>
      <c r="G205" t="n">
        <v>10.6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33521-2022</t>
        </is>
      </c>
      <c r="B206" s="1" t="n">
        <v>44789</v>
      </c>
      <c r="C206" s="1" t="n">
        <v>45510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34006-2022</t>
        </is>
      </c>
      <c r="B207" s="1" t="n">
        <v>44791</v>
      </c>
      <c r="C207" s="1" t="n">
        <v>45510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35476-2022</t>
        </is>
      </c>
      <c r="B208" s="1" t="n">
        <v>44799</v>
      </c>
      <c r="C208" s="1" t="n">
        <v>45510</v>
      </c>
      <c r="D208" t="inlineStr">
        <is>
          <t>VÄSTERBOTTENS LÄN</t>
        </is>
      </c>
      <c r="E208" t="inlineStr">
        <is>
          <t>DOROTEA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35748-2022</t>
        </is>
      </c>
      <c r="B209" s="1" t="n">
        <v>44799</v>
      </c>
      <c r="C209" s="1" t="n">
        <v>45510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36102-2022</t>
        </is>
      </c>
      <c r="B210" s="1" t="n">
        <v>44803</v>
      </c>
      <c r="C210" s="1" t="n">
        <v>45510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36103-2022</t>
        </is>
      </c>
      <c r="B211" s="1" t="n">
        <v>44802</v>
      </c>
      <c r="C211" s="1" t="n">
        <v>45510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37833-2022</t>
        </is>
      </c>
      <c r="B212" s="1" t="n">
        <v>44811</v>
      </c>
      <c r="C212" s="1" t="n">
        <v>45510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38469-2022</t>
        </is>
      </c>
      <c r="B213" s="1" t="n">
        <v>44813</v>
      </c>
      <c r="C213" s="1" t="n">
        <v>45510</v>
      </c>
      <c r="D213" t="inlineStr">
        <is>
          <t>VÄSTERBOTTENS LÄN</t>
        </is>
      </c>
      <c r="E213" t="inlineStr">
        <is>
          <t>DOROTEA</t>
        </is>
      </c>
      <c r="G213" t="n">
        <v>18.9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38968-2022</t>
        </is>
      </c>
      <c r="B214" s="1" t="n">
        <v>44816</v>
      </c>
      <c r="C214" s="1" t="n">
        <v>45510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Sveaskog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39375-2022</t>
        </is>
      </c>
      <c r="B215" s="1" t="n">
        <v>44817</v>
      </c>
      <c r="C215" s="1" t="n">
        <v>45510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41353-2022</t>
        </is>
      </c>
      <c r="B216" s="1" t="n">
        <v>44824</v>
      </c>
      <c r="C216" s="1" t="n">
        <v>45510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43138-2022</t>
        </is>
      </c>
      <c r="B217" s="1" t="n">
        <v>44834</v>
      </c>
      <c r="C217" s="1" t="n">
        <v>45510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43403-2022</t>
        </is>
      </c>
      <c r="B218" s="1" t="n">
        <v>44834</v>
      </c>
      <c r="C218" s="1" t="n">
        <v>45510</v>
      </c>
      <c r="D218" t="inlineStr">
        <is>
          <t>VÄSTERBOTTENS LÄN</t>
        </is>
      </c>
      <c r="E218" t="inlineStr">
        <is>
          <t>DOROTEA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43508-2022</t>
        </is>
      </c>
      <c r="B219" s="1" t="n">
        <v>44837</v>
      </c>
      <c r="C219" s="1" t="n">
        <v>45510</v>
      </c>
      <c r="D219" t="inlineStr">
        <is>
          <t>VÄSTERBOTTENS LÄN</t>
        </is>
      </c>
      <c r="E219" t="inlineStr">
        <is>
          <t>DOROTEA</t>
        </is>
      </c>
      <c r="F219" t="inlineStr">
        <is>
          <t>Kyrkan</t>
        </is>
      </c>
      <c r="G219" t="n">
        <v>17.6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43503-2022</t>
        </is>
      </c>
      <c r="B220" s="1" t="n">
        <v>44837</v>
      </c>
      <c r="C220" s="1" t="n">
        <v>45510</v>
      </c>
      <c r="D220" t="inlineStr">
        <is>
          <t>VÄSTERBOTTENS LÄN</t>
        </is>
      </c>
      <c r="E220" t="inlineStr">
        <is>
          <t>DOROTEA</t>
        </is>
      </c>
      <c r="F220" t="inlineStr">
        <is>
          <t>Kyrkan</t>
        </is>
      </c>
      <c r="G220" t="n">
        <v>13.9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43776-2022</t>
        </is>
      </c>
      <c r="B221" s="1" t="n">
        <v>44837</v>
      </c>
      <c r="C221" s="1" t="n">
        <v>45510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21.3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44037-2022</t>
        </is>
      </c>
      <c r="B222" s="1" t="n">
        <v>44838</v>
      </c>
      <c r="C222" s="1" t="n">
        <v>45510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44386-2022</t>
        </is>
      </c>
      <c r="B223" s="1" t="n">
        <v>44838</v>
      </c>
      <c r="C223" s="1" t="n">
        <v>45510</v>
      </c>
      <c r="D223" t="inlineStr">
        <is>
          <t>VÄSTERBOTTENS LÄN</t>
        </is>
      </c>
      <c r="E223" t="inlineStr">
        <is>
          <t>DOROTEA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44392-2022</t>
        </is>
      </c>
      <c r="B224" s="1" t="n">
        <v>44838</v>
      </c>
      <c r="C224" s="1" t="n">
        <v>45510</v>
      </c>
      <c r="D224" t="inlineStr">
        <is>
          <t>VÄSTERBOTTENS LÄN</t>
        </is>
      </c>
      <c r="E224" t="inlineStr">
        <is>
          <t>DOROTEA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44380-2022</t>
        </is>
      </c>
      <c r="B225" s="1" t="n">
        <v>44838</v>
      </c>
      <c r="C225" s="1" t="n">
        <v>45510</v>
      </c>
      <c r="D225" t="inlineStr">
        <is>
          <t>VÄSTERBOTTENS LÄN</t>
        </is>
      </c>
      <c r="E225" t="inlineStr">
        <is>
          <t>DOROTEA</t>
        </is>
      </c>
      <c r="G225" t="n">
        <v>12.5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44440-2022</t>
        </is>
      </c>
      <c r="B226" s="1" t="n">
        <v>44839</v>
      </c>
      <c r="C226" s="1" t="n">
        <v>45510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45080-2022</t>
        </is>
      </c>
      <c r="B227" s="1" t="n">
        <v>44841</v>
      </c>
      <c r="C227" s="1" t="n">
        <v>45510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46163-2022</t>
        </is>
      </c>
      <c r="B228" s="1" t="n">
        <v>44845</v>
      </c>
      <c r="C228" s="1" t="n">
        <v>45510</v>
      </c>
      <c r="D228" t="inlineStr">
        <is>
          <t>VÄSTERBOTTENS LÄN</t>
        </is>
      </c>
      <c r="E228" t="inlineStr">
        <is>
          <t>DOROTEA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45834-2022</t>
        </is>
      </c>
      <c r="B229" s="1" t="n">
        <v>44846</v>
      </c>
      <c r="C229" s="1" t="n">
        <v>45510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Sveaskog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46817-2022</t>
        </is>
      </c>
      <c r="B230" s="1" t="n">
        <v>44848</v>
      </c>
      <c r="C230" s="1" t="n">
        <v>45510</v>
      </c>
      <c r="D230" t="inlineStr">
        <is>
          <t>VÄSTERBOTTENS LÄN</t>
        </is>
      </c>
      <c r="E230" t="inlineStr">
        <is>
          <t>DOROTEA</t>
        </is>
      </c>
      <c r="G230" t="n">
        <v>29.8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46978-2022</t>
        </is>
      </c>
      <c r="B231" s="1" t="n">
        <v>44851</v>
      </c>
      <c r="C231" s="1" t="n">
        <v>45510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46982-2022</t>
        </is>
      </c>
      <c r="B232" s="1" t="n">
        <v>44851</v>
      </c>
      <c r="C232" s="1" t="n">
        <v>45510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47266-2022</t>
        </is>
      </c>
      <c r="B233" s="1" t="n">
        <v>44852</v>
      </c>
      <c r="C233" s="1" t="n">
        <v>45510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47263-2022</t>
        </is>
      </c>
      <c r="B234" s="1" t="n">
        <v>44853</v>
      </c>
      <c r="C234" s="1" t="n">
        <v>45510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47572-2022</t>
        </is>
      </c>
      <c r="B235" s="1" t="n">
        <v>44853</v>
      </c>
      <c r="C235" s="1" t="n">
        <v>45510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48087-2022</t>
        </is>
      </c>
      <c r="B236" s="1" t="n">
        <v>44856</v>
      </c>
      <c r="C236" s="1" t="n">
        <v>45510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48935-2022</t>
        </is>
      </c>
      <c r="B237" s="1" t="n">
        <v>44859</v>
      </c>
      <c r="C237" s="1" t="n">
        <v>45510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49077-2022</t>
        </is>
      </c>
      <c r="B238" s="1" t="n">
        <v>44860</v>
      </c>
      <c r="C238" s="1" t="n">
        <v>45510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Sveaskog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49536-2022</t>
        </is>
      </c>
      <c r="B239" s="1" t="n">
        <v>44861</v>
      </c>
      <c r="C239" s="1" t="n">
        <v>45510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49517-2022</t>
        </is>
      </c>
      <c r="B240" s="1" t="n">
        <v>44862</v>
      </c>
      <c r="C240" s="1" t="n">
        <v>45510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10.6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49534-2022</t>
        </is>
      </c>
      <c r="B241" s="1" t="n">
        <v>44861</v>
      </c>
      <c r="C241" s="1" t="n">
        <v>45510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49535-2022</t>
        </is>
      </c>
      <c r="B242" s="1" t="n">
        <v>44861</v>
      </c>
      <c r="C242" s="1" t="n">
        <v>45510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50769-2022</t>
        </is>
      </c>
      <c r="B243" s="1" t="n">
        <v>44867</v>
      </c>
      <c r="C243" s="1" t="n">
        <v>45510</v>
      </c>
      <c r="D243" t="inlineStr">
        <is>
          <t>VÄSTERBOTTENS LÄN</t>
        </is>
      </c>
      <c r="E243" t="inlineStr">
        <is>
          <t>DOROTEA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52343-2022</t>
        </is>
      </c>
      <c r="B244" s="1" t="n">
        <v>44873</v>
      </c>
      <c r="C244" s="1" t="n">
        <v>45510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53795-2022</t>
        </is>
      </c>
      <c r="B245" s="1" t="n">
        <v>44876</v>
      </c>
      <c r="C245" s="1" t="n">
        <v>45510</v>
      </c>
      <c r="D245" t="inlineStr">
        <is>
          <t>VÄSTERBOTTENS LÄN</t>
        </is>
      </c>
      <c r="E245" t="inlineStr">
        <is>
          <t>DOROTEA</t>
        </is>
      </c>
      <c r="G245" t="n">
        <v>12.3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53309-2022</t>
        </is>
      </c>
      <c r="B246" s="1" t="n">
        <v>44878</v>
      </c>
      <c r="C246" s="1" t="n">
        <v>45510</v>
      </c>
      <c r="D246" t="inlineStr">
        <is>
          <t>VÄSTERBOTTENS LÄN</t>
        </is>
      </c>
      <c r="E246" t="inlineStr">
        <is>
          <t>DOROTEA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55210-2022</t>
        </is>
      </c>
      <c r="B247" s="1" t="n">
        <v>44886</v>
      </c>
      <c r="C247" s="1" t="n">
        <v>45510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55888-2022</t>
        </is>
      </c>
      <c r="B248" s="1" t="n">
        <v>44888</v>
      </c>
      <c r="C248" s="1" t="n">
        <v>45510</v>
      </c>
      <c r="D248" t="inlineStr">
        <is>
          <t>VÄSTERBOTTENS LÄN</t>
        </is>
      </c>
      <c r="E248" t="inlineStr">
        <is>
          <t>DOROTEA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55889-2022</t>
        </is>
      </c>
      <c r="B249" s="1" t="n">
        <v>44888</v>
      </c>
      <c r="C249" s="1" t="n">
        <v>45510</v>
      </c>
      <c r="D249" t="inlineStr">
        <is>
          <t>VÄSTERBOTTENS LÄN</t>
        </is>
      </c>
      <c r="E249" t="inlineStr">
        <is>
          <t>DOROTEA</t>
        </is>
      </c>
      <c r="G249" t="n">
        <v>15.8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57431-2022</t>
        </is>
      </c>
      <c r="B250" s="1" t="n">
        <v>44889</v>
      </c>
      <c r="C250" s="1" t="n">
        <v>45510</v>
      </c>
      <c r="D250" t="inlineStr">
        <is>
          <t>VÄSTERBOTTENS LÄN</t>
        </is>
      </c>
      <c r="E250" t="inlineStr">
        <is>
          <t>DOROTEA</t>
        </is>
      </c>
      <c r="G250" t="n">
        <v>15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57236-2022</t>
        </is>
      </c>
      <c r="B251" s="1" t="n">
        <v>44889</v>
      </c>
      <c r="C251" s="1" t="n">
        <v>45510</v>
      </c>
      <c r="D251" t="inlineStr">
        <is>
          <t>VÄSTERBOTTENS LÄN</t>
        </is>
      </c>
      <c r="E251" t="inlineStr">
        <is>
          <t>DOROTEA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57376-2022</t>
        </is>
      </c>
      <c r="B252" s="1" t="n">
        <v>44889</v>
      </c>
      <c r="C252" s="1" t="n">
        <v>45510</v>
      </c>
      <c r="D252" t="inlineStr">
        <is>
          <t>VÄSTERBOTTENS LÄN</t>
        </is>
      </c>
      <c r="E252" t="inlineStr">
        <is>
          <t>DOROTEA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56738-2022</t>
        </is>
      </c>
      <c r="B253" s="1" t="n">
        <v>44893</v>
      </c>
      <c r="C253" s="1" t="n">
        <v>45510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73.2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58168-2022</t>
        </is>
      </c>
      <c r="B254" s="1" t="n">
        <v>44900</v>
      </c>
      <c r="C254" s="1" t="n">
        <v>45510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58719-2022</t>
        </is>
      </c>
      <c r="B255" s="1" t="n">
        <v>44902</v>
      </c>
      <c r="C255" s="1" t="n">
        <v>45510</v>
      </c>
      <c r="D255" t="inlineStr">
        <is>
          <t>VÄSTERBOTTENS LÄN</t>
        </is>
      </c>
      <c r="E255" t="inlineStr">
        <is>
          <t>DOROTEA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60304-2022</t>
        </is>
      </c>
      <c r="B256" s="1" t="n">
        <v>44910</v>
      </c>
      <c r="C256" s="1" t="n">
        <v>45510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60686-2022</t>
        </is>
      </c>
      <c r="B257" s="1" t="n">
        <v>44911</v>
      </c>
      <c r="C257" s="1" t="n">
        <v>45510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61393-2022</t>
        </is>
      </c>
      <c r="B258" s="1" t="n">
        <v>44915</v>
      </c>
      <c r="C258" s="1" t="n">
        <v>45510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51.9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62657-2022</t>
        </is>
      </c>
      <c r="B259" s="1" t="n">
        <v>44925</v>
      </c>
      <c r="C259" s="1" t="n">
        <v>45510</v>
      </c>
      <c r="D259" t="inlineStr">
        <is>
          <t>VÄSTERBOTTENS LÄN</t>
        </is>
      </c>
      <c r="E259" t="inlineStr">
        <is>
          <t>DOROTEA</t>
        </is>
      </c>
      <c r="G259" t="n">
        <v>22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711-2023</t>
        </is>
      </c>
      <c r="B260" s="1" t="n">
        <v>44930</v>
      </c>
      <c r="C260" s="1" t="n">
        <v>45510</v>
      </c>
      <c r="D260" t="inlineStr">
        <is>
          <t>VÄSTERBOTTENS LÄN</t>
        </is>
      </c>
      <c r="E260" t="inlineStr">
        <is>
          <t>DOROTEA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914-2023</t>
        </is>
      </c>
      <c r="B261" s="1" t="n">
        <v>44931</v>
      </c>
      <c r="C261" s="1" t="n">
        <v>45510</v>
      </c>
      <c r="D261" t="inlineStr">
        <is>
          <t>VÄSTERBOTTENS LÄN</t>
        </is>
      </c>
      <c r="E261" t="inlineStr">
        <is>
          <t>DOROTEA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912-2023</t>
        </is>
      </c>
      <c r="B262" s="1" t="n">
        <v>44931</v>
      </c>
      <c r="C262" s="1" t="n">
        <v>45510</v>
      </c>
      <c r="D262" t="inlineStr">
        <is>
          <t>VÄSTERBOTTENS LÄN</t>
        </is>
      </c>
      <c r="E262" t="inlineStr">
        <is>
          <t>DOROTEA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1218-2023</t>
        </is>
      </c>
      <c r="B263" s="1" t="n">
        <v>44935</v>
      </c>
      <c r="C263" s="1" t="n">
        <v>45510</v>
      </c>
      <c r="D263" t="inlineStr">
        <is>
          <t>VÄSTERBOTTENS LÄN</t>
        </is>
      </c>
      <c r="E263" t="inlineStr">
        <is>
          <t>DOROTEA</t>
        </is>
      </c>
      <c r="G263" t="n">
        <v>11.6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1648-2023</t>
        </is>
      </c>
      <c r="B264" s="1" t="n">
        <v>44937</v>
      </c>
      <c r="C264" s="1" t="n">
        <v>45510</v>
      </c>
      <c r="D264" t="inlineStr">
        <is>
          <t>VÄSTERBOTTENS LÄN</t>
        </is>
      </c>
      <c r="E264" t="inlineStr">
        <is>
          <t>DOROTEA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1862-2023</t>
        </is>
      </c>
      <c r="B265" s="1" t="n">
        <v>44938</v>
      </c>
      <c r="C265" s="1" t="n">
        <v>45510</v>
      </c>
      <c r="D265" t="inlineStr">
        <is>
          <t>VÄSTERBOTTENS LÄN</t>
        </is>
      </c>
      <c r="E265" t="inlineStr">
        <is>
          <t>DOROTEA</t>
        </is>
      </c>
      <c r="G265" t="n">
        <v>15.6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1865-2023</t>
        </is>
      </c>
      <c r="B266" s="1" t="n">
        <v>44938</v>
      </c>
      <c r="C266" s="1" t="n">
        <v>45510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1861-2023</t>
        </is>
      </c>
      <c r="B267" s="1" t="n">
        <v>44938</v>
      </c>
      <c r="C267" s="1" t="n">
        <v>45510</v>
      </c>
      <c r="D267" t="inlineStr">
        <is>
          <t>VÄSTERBOTTENS LÄN</t>
        </is>
      </c>
      <c r="E267" t="inlineStr">
        <is>
          <t>DOROTEA</t>
        </is>
      </c>
      <c r="G267" t="n">
        <v>11.6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2665-2023</t>
        </is>
      </c>
      <c r="B268" s="1" t="n">
        <v>44942</v>
      </c>
      <c r="C268" s="1" t="n">
        <v>45510</v>
      </c>
      <c r="D268" t="inlineStr">
        <is>
          <t>VÄSTERBOTTENS LÄN</t>
        </is>
      </c>
      <c r="E268" t="inlineStr">
        <is>
          <t>DOROTEA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2683-2023</t>
        </is>
      </c>
      <c r="B269" s="1" t="n">
        <v>44942</v>
      </c>
      <c r="C269" s="1" t="n">
        <v>45510</v>
      </c>
      <c r="D269" t="inlineStr">
        <is>
          <t>VÄSTERBOTTENS LÄN</t>
        </is>
      </c>
      <c r="E269" t="inlineStr">
        <is>
          <t>DOROTEA</t>
        </is>
      </c>
      <c r="G269" t="n">
        <v>22.7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4618-2023</t>
        </is>
      </c>
      <c r="B270" s="1" t="n">
        <v>44956</v>
      </c>
      <c r="C270" s="1" t="n">
        <v>45510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4616-2023</t>
        </is>
      </c>
      <c r="B271" s="1" t="n">
        <v>44956</v>
      </c>
      <c r="C271" s="1" t="n">
        <v>45510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4617-2023</t>
        </is>
      </c>
      <c r="B272" s="1" t="n">
        <v>44956</v>
      </c>
      <c r="C272" s="1" t="n">
        <v>45510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4958-2023</t>
        </is>
      </c>
      <c r="B273" s="1" t="n">
        <v>44956</v>
      </c>
      <c r="C273" s="1" t="n">
        <v>45510</v>
      </c>
      <c r="D273" t="inlineStr">
        <is>
          <t>VÄSTERBOTTENS LÄN</t>
        </is>
      </c>
      <c r="E273" t="inlineStr">
        <is>
          <t>DOROTEA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5834-2023</t>
        </is>
      </c>
      <c r="B274" s="1" t="n">
        <v>44958</v>
      </c>
      <c r="C274" s="1" t="n">
        <v>45510</v>
      </c>
      <c r="D274" t="inlineStr">
        <is>
          <t>VÄSTERBOTTENS LÄN</t>
        </is>
      </c>
      <c r="E274" t="inlineStr">
        <is>
          <t>DOROTEA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5716-2023</t>
        </is>
      </c>
      <c r="B275" s="1" t="n">
        <v>44960</v>
      </c>
      <c r="C275" s="1" t="n">
        <v>45510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15.2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5715-2023</t>
        </is>
      </c>
      <c r="B276" s="1" t="n">
        <v>44960</v>
      </c>
      <c r="C276" s="1" t="n">
        <v>45510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6621-2023</t>
        </is>
      </c>
      <c r="B277" s="1" t="n">
        <v>44960</v>
      </c>
      <c r="C277" s="1" t="n">
        <v>45510</v>
      </c>
      <c r="D277" t="inlineStr">
        <is>
          <t>VÄSTERBOTTENS LÄN</t>
        </is>
      </c>
      <c r="E277" t="inlineStr">
        <is>
          <t>DOROTEA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5733-2023</t>
        </is>
      </c>
      <c r="B278" s="1" t="n">
        <v>44962</v>
      </c>
      <c r="C278" s="1" t="n">
        <v>45510</v>
      </c>
      <c r="D278" t="inlineStr">
        <is>
          <t>VÄSTERBOTTENS LÄN</t>
        </is>
      </c>
      <c r="E278" t="inlineStr">
        <is>
          <t>DOROTEA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7329-2023</t>
        </is>
      </c>
      <c r="B279" s="1" t="n">
        <v>44970</v>
      </c>
      <c r="C279" s="1" t="n">
        <v>45510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7422-2023</t>
        </is>
      </c>
      <c r="B280" s="1" t="n">
        <v>44971</v>
      </c>
      <c r="C280" s="1" t="n">
        <v>45510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7429-2023</t>
        </is>
      </c>
      <c r="B281" s="1" t="n">
        <v>44971</v>
      </c>
      <c r="C281" s="1" t="n">
        <v>45510</v>
      </c>
      <c r="D281" t="inlineStr">
        <is>
          <t>VÄSTERBOTTENS LÄN</t>
        </is>
      </c>
      <c r="E281" t="inlineStr">
        <is>
          <t>DOROTEA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7719-2023</t>
        </is>
      </c>
      <c r="B282" s="1" t="n">
        <v>44972</v>
      </c>
      <c r="C282" s="1" t="n">
        <v>45510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8095-2023</t>
        </is>
      </c>
      <c r="B283" s="1" t="n">
        <v>44974</v>
      </c>
      <c r="C283" s="1" t="n">
        <v>45510</v>
      </c>
      <c r="D283" t="inlineStr">
        <is>
          <t>VÄSTERBOTTENS LÄN</t>
        </is>
      </c>
      <c r="E283" t="inlineStr">
        <is>
          <t>DOROTEA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8088-2023</t>
        </is>
      </c>
      <c r="B284" s="1" t="n">
        <v>44974</v>
      </c>
      <c r="C284" s="1" t="n">
        <v>45510</v>
      </c>
      <c r="D284" t="inlineStr">
        <is>
          <t>VÄSTERBOTTENS LÄN</t>
        </is>
      </c>
      <c r="E284" t="inlineStr">
        <is>
          <t>DOROTEA</t>
        </is>
      </c>
      <c r="G284" t="n">
        <v>14.8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8092-2023</t>
        </is>
      </c>
      <c r="B285" s="1" t="n">
        <v>44974</v>
      </c>
      <c r="C285" s="1" t="n">
        <v>45510</v>
      </c>
      <c r="D285" t="inlineStr">
        <is>
          <t>VÄSTERBOTTENS LÄN</t>
        </is>
      </c>
      <c r="E285" t="inlineStr">
        <is>
          <t>DOROTEA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9046-2023</t>
        </is>
      </c>
      <c r="B286" s="1" t="n">
        <v>44979</v>
      </c>
      <c r="C286" s="1" t="n">
        <v>45510</v>
      </c>
      <c r="D286" t="inlineStr">
        <is>
          <t>VÄSTERBOTTENS LÄN</t>
        </is>
      </c>
      <c r="E286" t="inlineStr">
        <is>
          <t>DOROTEA</t>
        </is>
      </c>
      <c r="G286" t="n">
        <v>35.4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9103-2023</t>
        </is>
      </c>
      <c r="B287" s="1" t="n">
        <v>44979</v>
      </c>
      <c r="C287" s="1" t="n">
        <v>45510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9102-2023</t>
        </is>
      </c>
      <c r="B288" s="1" t="n">
        <v>44979</v>
      </c>
      <c r="C288" s="1" t="n">
        <v>45510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9.4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10360-2023</t>
        </is>
      </c>
      <c r="B289" s="1" t="n">
        <v>44980</v>
      </c>
      <c r="C289" s="1" t="n">
        <v>45510</v>
      </c>
      <c r="D289" t="inlineStr">
        <is>
          <t>VÄSTERBOTTENS LÄN</t>
        </is>
      </c>
      <c r="E289" t="inlineStr">
        <is>
          <t>DOROTEA</t>
        </is>
      </c>
      <c r="G289" t="n">
        <v>18.6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10300-2023</t>
        </is>
      </c>
      <c r="B290" s="1" t="n">
        <v>44986</v>
      </c>
      <c r="C290" s="1" t="n">
        <v>45510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10317-2023</t>
        </is>
      </c>
      <c r="B291" s="1" t="n">
        <v>44986</v>
      </c>
      <c r="C291" s="1" t="n">
        <v>45510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11037-2023</t>
        </is>
      </c>
      <c r="B292" s="1" t="n">
        <v>44991</v>
      </c>
      <c r="C292" s="1" t="n">
        <v>45510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11304-2023</t>
        </is>
      </c>
      <c r="B293" s="1" t="n">
        <v>44993</v>
      </c>
      <c r="C293" s="1" t="n">
        <v>45510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12005-2023</t>
        </is>
      </c>
      <c r="B294" s="1" t="n">
        <v>44994</v>
      </c>
      <c r="C294" s="1" t="n">
        <v>45510</v>
      </c>
      <c r="D294" t="inlineStr">
        <is>
          <t>VÄSTERBOTTENS LÄN</t>
        </is>
      </c>
      <c r="E294" t="inlineStr">
        <is>
          <t>DOROTEA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12278-2023</t>
        </is>
      </c>
      <c r="B295" s="1" t="n">
        <v>44998</v>
      </c>
      <c r="C295" s="1" t="n">
        <v>45510</v>
      </c>
      <c r="D295" t="inlineStr">
        <is>
          <t>VÄSTERBOTTENS LÄN</t>
        </is>
      </c>
      <c r="E295" t="inlineStr">
        <is>
          <t>DOROTEA</t>
        </is>
      </c>
      <c r="G295" t="n">
        <v>12.5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12740-2023</t>
        </is>
      </c>
      <c r="B296" s="1" t="n">
        <v>45000</v>
      </c>
      <c r="C296" s="1" t="n">
        <v>45510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12751-2023</t>
        </is>
      </c>
      <c r="B297" s="1" t="n">
        <v>45000</v>
      </c>
      <c r="C297" s="1" t="n">
        <v>45510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13.6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12992-2023</t>
        </is>
      </c>
      <c r="B298" s="1" t="n">
        <v>45002</v>
      </c>
      <c r="C298" s="1" t="n">
        <v>45510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13265-2023</t>
        </is>
      </c>
      <c r="B299" s="1" t="n">
        <v>45002</v>
      </c>
      <c r="C299" s="1" t="n">
        <v>45510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20.7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13257-2023</t>
        </is>
      </c>
      <c r="B300" s="1" t="n">
        <v>45002</v>
      </c>
      <c r="C300" s="1" t="n">
        <v>45510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23.3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13490-2023</t>
        </is>
      </c>
      <c r="B301" s="1" t="n">
        <v>45005</v>
      </c>
      <c r="C301" s="1" t="n">
        <v>45510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14264-2023</t>
        </is>
      </c>
      <c r="B302" s="1" t="n">
        <v>45009</v>
      </c>
      <c r="C302" s="1" t="n">
        <v>45510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23.9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14806-2023</t>
        </is>
      </c>
      <c r="B303" s="1" t="n">
        <v>45013</v>
      </c>
      <c r="C303" s="1" t="n">
        <v>45510</v>
      </c>
      <c r="D303" t="inlineStr">
        <is>
          <t>VÄSTERBOTTENS LÄN</t>
        </is>
      </c>
      <c r="E303" t="inlineStr">
        <is>
          <t>DOROTEA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14672-2023</t>
        </is>
      </c>
      <c r="B304" s="1" t="n">
        <v>45014</v>
      </c>
      <c r="C304" s="1" t="n">
        <v>45510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14673-2023</t>
        </is>
      </c>
      <c r="B305" s="1" t="n">
        <v>45013</v>
      </c>
      <c r="C305" s="1" t="n">
        <v>45510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16.1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14882-2023</t>
        </is>
      </c>
      <c r="B306" s="1" t="n">
        <v>45015</v>
      </c>
      <c r="C306" s="1" t="n">
        <v>45510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15.5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14881-2023</t>
        </is>
      </c>
      <c r="B307" s="1" t="n">
        <v>45015</v>
      </c>
      <c r="C307" s="1" t="n">
        <v>45510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11.7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14883-2023</t>
        </is>
      </c>
      <c r="B308" s="1" t="n">
        <v>45015</v>
      </c>
      <c r="C308" s="1" t="n">
        <v>45510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17658-2023</t>
        </is>
      </c>
      <c r="B309" s="1" t="n">
        <v>45036</v>
      </c>
      <c r="C309" s="1" t="n">
        <v>45510</v>
      </c>
      <c r="D309" t="inlineStr">
        <is>
          <t>VÄSTERBOTTENS LÄN</t>
        </is>
      </c>
      <c r="E309" t="inlineStr">
        <is>
          <t>DOROTEA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17783-2023</t>
        </is>
      </c>
      <c r="B310" s="1" t="n">
        <v>45036</v>
      </c>
      <c r="C310" s="1" t="n">
        <v>45510</v>
      </c>
      <c r="D310" t="inlineStr">
        <is>
          <t>VÄSTERBOTTENS LÄN</t>
        </is>
      </c>
      <c r="E310" t="inlineStr">
        <is>
          <t>DOROTEA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17776-2023</t>
        </is>
      </c>
      <c r="B311" s="1" t="n">
        <v>45036</v>
      </c>
      <c r="C311" s="1" t="n">
        <v>45510</v>
      </c>
      <c r="D311" t="inlineStr">
        <is>
          <t>VÄSTERBOTTENS LÄN</t>
        </is>
      </c>
      <c r="E311" t="inlineStr">
        <is>
          <t>DOROTEA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17787-2023</t>
        </is>
      </c>
      <c r="B312" s="1" t="n">
        <v>45036</v>
      </c>
      <c r="C312" s="1" t="n">
        <v>45510</v>
      </c>
      <c r="D312" t="inlineStr">
        <is>
          <t>VÄSTERBOTTENS LÄN</t>
        </is>
      </c>
      <c r="E312" t="inlineStr">
        <is>
          <t>DOROTEA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18982-2023</t>
        </is>
      </c>
      <c r="B313" s="1" t="n">
        <v>45044</v>
      </c>
      <c r="C313" s="1" t="n">
        <v>45510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15.9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20759-2023</t>
        </is>
      </c>
      <c r="B314" s="1" t="n">
        <v>45055</v>
      </c>
      <c r="C314" s="1" t="n">
        <v>45510</v>
      </c>
      <c r="D314" t="inlineStr">
        <is>
          <t>VÄSTERBOTTENS LÄN</t>
        </is>
      </c>
      <c r="E314" t="inlineStr">
        <is>
          <t>DOROTEA</t>
        </is>
      </c>
      <c r="F314" t="inlineStr">
        <is>
          <t>Övriga statliga verk och myndigheter</t>
        </is>
      </c>
      <c r="G314" t="n">
        <v>13.9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20618-2023</t>
        </is>
      </c>
      <c r="B315" s="1" t="n">
        <v>45057</v>
      </c>
      <c r="C315" s="1" t="n">
        <v>45510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20600-2023</t>
        </is>
      </c>
      <c r="B316" s="1" t="n">
        <v>45057</v>
      </c>
      <c r="C316" s="1" t="n">
        <v>45510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21712-2023</t>
        </is>
      </c>
      <c r="B317" s="1" t="n">
        <v>45064</v>
      </c>
      <c r="C317" s="1" t="n">
        <v>45510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22580-2023</t>
        </is>
      </c>
      <c r="B318" s="1" t="n">
        <v>45069</v>
      </c>
      <c r="C318" s="1" t="n">
        <v>45510</v>
      </c>
      <c r="D318" t="inlineStr">
        <is>
          <t>VÄSTERBOTTENS LÄN</t>
        </is>
      </c>
      <c r="E318" t="inlineStr">
        <is>
          <t>DOROTEA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22733-2023</t>
        </is>
      </c>
      <c r="B319" s="1" t="n">
        <v>45071</v>
      </c>
      <c r="C319" s="1" t="n">
        <v>45510</v>
      </c>
      <c r="D319" t="inlineStr">
        <is>
          <t>VÄSTERBOTTENS LÄN</t>
        </is>
      </c>
      <c r="E319" t="inlineStr">
        <is>
          <t>DOROTEA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23300-2023</t>
        </is>
      </c>
      <c r="B320" s="1" t="n">
        <v>45075</v>
      </c>
      <c r="C320" s="1" t="n">
        <v>45510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23557-2023</t>
        </is>
      </c>
      <c r="B321" s="1" t="n">
        <v>45077</v>
      </c>
      <c r="C321" s="1" t="n">
        <v>45510</v>
      </c>
      <c r="D321" t="inlineStr">
        <is>
          <t>VÄSTERBOTTENS LÄN</t>
        </is>
      </c>
      <c r="E321" t="inlineStr">
        <is>
          <t>DOROTEA</t>
        </is>
      </c>
      <c r="G321" t="n">
        <v>16.8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23553-2023</t>
        </is>
      </c>
      <c r="B322" s="1" t="n">
        <v>45077</v>
      </c>
      <c r="C322" s="1" t="n">
        <v>45510</v>
      </c>
      <c r="D322" t="inlineStr">
        <is>
          <t>VÄSTERBOTTENS LÄN</t>
        </is>
      </c>
      <c r="E322" t="inlineStr">
        <is>
          <t>DOROTEA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24297-2023</t>
        </is>
      </c>
      <c r="B323" s="1" t="n">
        <v>45079</v>
      </c>
      <c r="C323" s="1" t="n">
        <v>45510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8.1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25836-2023</t>
        </is>
      </c>
      <c r="B324" s="1" t="n">
        <v>45090</v>
      </c>
      <c r="C324" s="1" t="n">
        <v>45510</v>
      </c>
      <c r="D324" t="inlineStr">
        <is>
          <t>VÄSTERBOTTENS LÄN</t>
        </is>
      </c>
      <c r="E324" t="inlineStr">
        <is>
          <t>DOROTEA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26359-2023</t>
        </is>
      </c>
      <c r="B325" s="1" t="n">
        <v>45091</v>
      </c>
      <c r="C325" s="1" t="n">
        <v>45510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27477-2023</t>
        </is>
      </c>
      <c r="B326" s="1" t="n">
        <v>45097</v>
      </c>
      <c r="C326" s="1" t="n">
        <v>45510</v>
      </c>
      <c r="D326" t="inlineStr">
        <is>
          <t>VÄSTERBOTTENS LÄN</t>
        </is>
      </c>
      <c r="E326" t="inlineStr">
        <is>
          <t>DOROTEA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29641-2023</t>
        </is>
      </c>
      <c r="B327" s="1" t="n">
        <v>45098</v>
      </c>
      <c r="C327" s="1" t="n">
        <v>45510</v>
      </c>
      <c r="D327" t="inlineStr">
        <is>
          <t>VÄSTERBOTTENS LÄN</t>
        </is>
      </c>
      <c r="E327" t="inlineStr">
        <is>
          <t>DOROTEA</t>
        </is>
      </c>
      <c r="G327" t="n">
        <v>23.6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29643-2023</t>
        </is>
      </c>
      <c r="B328" s="1" t="n">
        <v>45098</v>
      </c>
      <c r="C328" s="1" t="n">
        <v>45510</v>
      </c>
      <c r="D328" t="inlineStr">
        <is>
          <t>VÄSTERBOTTENS LÄN</t>
        </is>
      </c>
      <c r="E328" t="inlineStr">
        <is>
          <t>DOROTEA</t>
        </is>
      </c>
      <c r="G328" t="n">
        <v>21.6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29645-2023</t>
        </is>
      </c>
      <c r="B329" s="1" t="n">
        <v>45098</v>
      </c>
      <c r="C329" s="1" t="n">
        <v>45510</v>
      </c>
      <c r="D329" t="inlineStr">
        <is>
          <t>VÄSTERBOTTENS LÄN</t>
        </is>
      </c>
      <c r="E329" t="inlineStr">
        <is>
          <t>DOROTEA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28386-2023</t>
        </is>
      </c>
      <c r="B330" s="1" t="n">
        <v>45100</v>
      </c>
      <c r="C330" s="1" t="n">
        <v>45510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30166-2023</t>
        </is>
      </c>
      <c r="B331" s="1" t="n">
        <v>45099</v>
      </c>
      <c r="C331" s="1" t="n">
        <v>45510</v>
      </c>
      <c r="D331" t="inlineStr">
        <is>
          <t>VÄSTERBOTTENS LÄN</t>
        </is>
      </c>
      <c r="E331" t="inlineStr">
        <is>
          <t>DOROTEA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28549-2023</t>
        </is>
      </c>
      <c r="B332" s="1" t="n">
        <v>45103</v>
      </c>
      <c r="C332" s="1" t="n">
        <v>45510</v>
      </c>
      <c r="D332" t="inlineStr">
        <is>
          <t>VÄSTERBOTTENS LÄN</t>
        </is>
      </c>
      <c r="E332" t="inlineStr">
        <is>
          <t>DOROTEA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29953-2023</t>
        </is>
      </c>
      <c r="B333" s="1" t="n">
        <v>45107</v>
      </c>
      <c r="C333" s="1" t="n">
        <v>45510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30286-2023</t>
        </is>
      </c>
      <c r="B334" s="1" t="n">
        <v>45110</v>
      </c>
      <c r="C334" s="1" t="n">
        <v>45510</v>
      </c>
      <c r="D334" t="inlineStr">
        <is>
          <t>VÄSTERBOTTENS LÄN</t>
        </is>
      </c>
      <c r="E334" t="inlineStr">
        <is>
          <t>DOROTEA</t>
        </is>
      </c>
      <c r="G334" t="n">
        <v>21.2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30296-2023</t>
        </is>
      </c>
      <c r="B335" s="1" t="n">
        <v>45110</v>
      </c>
      <c r="C335" s="1" t="n">
        <v>45510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30561-2023</t>
        </is>
      </c>
      <c r="B336" s="1" t="n">
        <v>45112</v>
      </c>
      <c r="C336" s="1" t="n">
        <v>45510</v>
      </c>
      <c r="D336" t="inlineStr">
        <is>
          <t>VÄSTERBOTTENS LÄN</t>
        </is>
      </c>
      <c r="E336" t="inlineStr">
        <is>
          <t>DOROTEA</t>
        </is>
      </c>
      <c r="G336" t="n">
        <v>38.5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30570-2023</t>
        </is>
      </c>
      <c r="B337" s="1" t="n">
        <v>45111</v>
      </c>
      <c r="C337" s="1" t="n">
        <v>45510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31494-2023</t>
        </is>
      </c>
      <c r="B338" s="1" t="n">
        <v>45114</v>
      </c>
      <c r="C338" s="1" t="n">
        <v>45510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14.7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32474-2023</t>
        </is>
      </c>
      <c r="B339" s="1" t="n">
        <v>45120</v>
      </c>
      <c r="C339" s="1" t="n">
        <v>45510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11.7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32723-2023</t>
        </is>
      </c>
      <c r="B340" s="1" t="n">
        <v>45121</v>
      </c>
      <c r="C340" s="1" t="n">
        <v>45510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20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34101-2023</t>
        </is>
      </c>
      <c r="B341" s="1" t="n">
        <v>45125</v>
      </c>
      <c r="C341" s="1" t="n">
        <v>45510</v>
      </c>
      <c r="D341" t="inlineStr">
        <is>
          <t>VÄSTERBOTTENS LÄN</t>
        </is>
      </c>
      <c r="E341" t="inlineStr">
        <is>
          <t>DOROTEA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34107-2023</t>
        </is>
      </c>
      <c r="B342" s="1" t="n">
        <v>45125</v>
      </c>
      <c r="C342" s="1" t="n">
        <v>45510</v>
      </c>
      <c r="D342" t="inlineStr">
        <is>
          <t>VÄSTERBOTTENS LÄN</t>
        </is>
      </c>
      <c r="E342" t="inlineStr">
        <is>
          <t>DOROTEA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34312-2023</t>
        </is>
      </c>
      <c r="B343" s="1" t="n">
        <v>45139</v>
      </c>
      <c r="C343" s="1" t="n">
        <v>45510</v>
      </c>
      <c r="D343" t="inlineStr">
        <is>
          <t>VÄSTERBOTTENS LÄN</t>
        </is>
      </c>
      <c r="E343" t="inlineStr">
        <is>
          <t>DOROTEA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34697-2023</t>
        </is>
      </c>
      <c r="B344" s="1" t="n">
        <v>45141</v>
      </c>
      <c r="C344" s="1" t="n">
        <v>45510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34707-2023</t>
        </is>
      </c>
      <c r="B345" s="1" t="n">
        <v>45140</v>
      </c>
      <c r="C345" s="1" t="n">
        <v>45510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34702-2023</t>
        </is>
      </c>
      <c r="B346" s="1" t="n">
        <v>45140</v>
      </c>
      <c r="C346" s="1" t="n">
        <v>45510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34706-2023</t>
        </is>
      </c>
      <c r="B347" s="1" t="n">
        <v>45140</v>
      </c>
      <c r="C347" s="1" t="n">
        <v>45510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34700-2023</t>
        </is>
      </c>
      <c r="B348" s="1" t="n">
        <v>45141</v>
      </c>
      <c r="C348" s="1" t="n">
        <v>45510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34820-2023</t>
        </is>
      </c>
      <c r="B349" s="1" t="n">
        <v>45140</v>
      </c>
      <c r="C349" s="1" t="n">
        <v>45510</v>
      </c>
      <c r="D349" t="inlineStr">
        <is>
          <t>VÄSTERBOTTENS LÄN</t>
        </is>
      </c>
      <c r="E349" t="inlineStr">
        <is>
          <t>DOROTEA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34853-2023</t>
        </is>
      </c>
      <c r="B350" s="1" t="n">
        <v>45142</v>
      </c>
      <c r="C350" s="1" t="n">
        <v>45510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34854-2023</t>
        </is>
      </c>
      <c r="B351" s="1" t="n">
        <v>45142</v>
      </c>
      <c r="C351" s="1" t="n">
        <v>45510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34996-2023</t>
        </is>
      </c>
      <c r="B352" s="1" t="n">
        <v>45142</v>
      </c>
      <c r="C352" s="1" t="n">
        <v>45510</v>
      </c>
      <c r="D352" t="inlineStr">
        <is>
          <t>VÄSTERBOTTENS LÄN</t>
        </is>
      </c>
      <c r="E352" t="inlineStr">
        <is>
          <t>DOROTEA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35000-2023</t>
        </is>
      </c>
      <c r="B353" s="1" t="n">
        <v>45143</v>
      </c>
      <c r="C353" s="1" t="n">
        <v>45510</v>
      </c>
      <c r="D353" t="inlineStr">
        <is>
          <t>VÄSTERBOTTENS LÄN</t>
        </is>
      </c>
      <c r="E353" t="inlineStr">
        <is>
          <t>DOROTEA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34995-2023</t>
        </is>
      </c>
      <c r="B354" s="1" t="n">
        <v>45143</v>
      </c>
      <c r="C354" s="1" t="n">
        <v>45510</v>
      </c>
      <c r="D354" t="inlineStr">
        <is>
          <t>VÄSTERBOTTENS LÄN</t>
        </is>
      </c>
      <c r="E354" t="inlineStr">
        <is>
          <t>DOROTEA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35288-2023</t>
        </is>
      </c>
      <c r="B355" s="1" t="n">
        <v>45145</v>
      </c>
      <c r="C355" s="1" t="n">
        <v>45510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7.3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35287-2023</t>
        </is>
      </c>
      <c r="B356" s="1" t="n">
        <v>45145</v>
      </c>
      <c r="C356" s="1" t="n">
        <v>45510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35989-2023</t>
        </is>
      </c>
      <c r="B357" s="1" t="n">
        <v>45149</v>
      </c>
      <c r="C357" s="1" t="n">
        <v>45510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35990-2023</t>
        </is>
      </c>
      <c r="B358" s="1" t="n">
        <v>45149</v>
      </c>
      <c r="C358" s="1" t="n">
        <v>45510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36137-2023</t>
        </is>
      </c>
      <c r="B359" s="1" t="n">
        <v>45149</v>
      </c>
      <c r="C359" s="1" t="n">
        <v>45510</v>
      </c>
      <c r="D359" t="inlineStr">
        <is>
          <t>VÄSTERBOTTENS LÄN</t>
        </is>
      </c>
      <c r="E359" t="inlineStr">
        <is>
          <t>DOROTEA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36142-2023</t>
        </is>
      </c>
      <c r="B360" s="1" t="n">
        <v>45149</v>
      </c>
      <c r="C360" s="1" t="n">
        <v>45510</v>
      </c>
      <c r="D360" t="inlineStr">
        <is>
          <t>VÄSTERBOTTENS LÄN</t>
        </is>
      </c>
      <c r="E360" t="inlineStr">
        <is>
          <t>DOROTEA</t>
        </is>
      </c>
      <c r="G360" t="n">
        <v>17.9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36352-2023</t>
        </is>
      </c>
      <c r="B361" s="1" t="n">
        <v>45149</v>
      </c>
      <c r="C361" s="1" t="n">
        <v>45510</v>
      </c>
      <c r="D361" t="inlineStr">
        <is>
          <t>VÄSTERBOTTENS LÄN</t>
        </is>
      </c>
      <c r="E361" t="inlineStr">
        <is>
          <t>DOROTEA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36763-2023</t>
        </is>
      </c>
      <c r="B362" s="1" t="n">
        <v>45153</v>
      </c>
      <c r="C362" s="1" t="n">
        <v>45510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36762-2023</t>
        </is>
      </c>
      <c r="B363" s="1" t="n">
        <v>45154</v>
      </c>
      <c r="C363" s="1" t="n">
        <v>45510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36994-2023</t>
        </is>
      </c>
      <c r="B364" s="1" t="n">
        <v>45155</v>
      </c>
      <c r="C364" s="1" t="n">
        <v>45510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37254-2023</t>
        </is>
      </c>
      <c r="B365" s="1" t="n">
        <v>45155</v>
      </c>
      <c r="C365" s="1" t="n">
        <v>45510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37247-2023</t>
        </is>
      </c>
      <c r="B366" s="1" t="n">
        <v>45155</v>
      </c>
      <c r="C366" s="1" t="n">
        <v>45510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15.1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37539-2023</t>
        </is>
      </c>
      <c r="B367" s="1" t="n">
        <v>45159</v>
      </c>
      <c r="C367" s="1" t="n">
        <v>45510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37540-2023</t>
        </is>
      </c>
      <c r="B368" s="1" t="n">
        <v>45158</v>
      </c>
      <c r="C368" s="1" t="n">
        <v>45510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37541-2023</t>
        </is>
      </c>
      <c r="B369" s="1" t="n">
        <v>45158</v>
      </c>
      <c r="C369" s="1" t="n">
        <v>45510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38377-2023</t>
        </is>
      </c>
      <c r="B370" s="1" t="n">
        <v>45162</v>
      </c>
      <c r="C370" s="1" t="n">
        <v>45510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38676-2023</t>
        </is>
      </c>
      <c r="B371" s="1" t="n">
        <v>45162</v>
      </c>
      <c r="C371" s="1" t="n">
        <v>45510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40436-2023</t>
        </is>
      </c>
      <c r="B372" s="1" t="n">
        <v>45170</v>
      </c>
      <c r="C372" s="1" t="n">
        <v>45510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40435-2023</t>
        </is>
      </c>
      <c r="B373" s="1" t="n">
        <v>45169</v>
      </c>
      <c r="C373" s="1" t="n">
        <v>45510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40437-2023</t>
        </is>
      </c>
      <c r="B374" s="1" t="n">
        <v>45170</v>
      </c>
      <c r="C374" s="1" t="n">
        <v>45510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40438-2023</t>
        </is>
      </c>
      <c r="B375" s="1" t="n">
        <v>45170</v>
      </c>
      <c r="C375" s="1" t="n">
        <v>45510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40434-2023</t>
        </is>
      </c>
      <c r="B376" s="1" t="n">
        <v>45170</v>
      </c>
      <c r="C376" s="1" t="n">
        <v>45510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41107-2023</t>
        </is>
      </c>
      <c r="B377" s="1" t="n">
        <v>45170</v>
      </c>
      <c r="C377" s="1" t="n">
        <v>45510</v>
      </c>
      <c r="D377" t="inlineStr">
        <is>
          <t>VÄSTERBOTTENS LÄN</t>
        </is>
      </c>
      <c r="E377" t="inlineStr">
        <is>
          <t>DOROTEA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40759-2023</t>
        </is>
      </c>
      <c r="B378" s="1" t="n">
        <v>45171</v>
      </c>
      <c r="C378" s="1" t="n">
        <v>45510</v>
      </c>
      <c r="D378" t="inlineStr">
        <is>
          <t>VÄSTERBOTTENS LÄN</t>
        </is>
      </c>
      <c r="E378" t="inlineStr">
        <is>
          <t>DOROTEA</t>
        </is>
      </c>
      <c r="G378" t="n">
        <v>23.1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41104-2023</t>
        </is>
      </c>
      <c r="B379" s="1" t="n">
        <v>45170</v>
      </c>
      <c r="C379" s="1" t="n">
        <v>45510</v>
      </c>
      <c r="D379" t="inlineStr">
        <is>
          <t>VÄSTERBOTTENS LÄN</t>
        </is>
      </c>
      <c r="E379" t="inlineStr">
        <is>
          <t>DOROTEA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42515-2023</t>
        </is>
      </c>
      <c r="B380" s="1" t="n">
        <v>45180</v>
      </c>
      <c r="C380" s="1" t="n">
        <v>45510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27.7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43092-2023</t>
        </is>
      </c>
      <c r="B381" s="1" t="n">
        <v>45183</v>
      </c>
      <c r="C381" s="1" t="n">
        <v>45510</v>
      </c>
      <c r="D381" t="inlineStr">
        <is>
          <t>VÄSTERBOTTENS LÄN</t>
        </is>
      </c>
      <c r="E381" t="inlineStr">
        <is>
          <t>DOROTEA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43949-2023</t>
        </is>
      </c>
      <c r="B382" s="1" t="n">
        <v>45188</v>
      </c>
      <c r="C382" s="1" t="n">
        <v>45510</v>
      </c>
      <c r="D382" t="inlineStr">
        <is>
          <t>VÄSTERBOTTENS LÄN</t>
        </is>
      </c>
      <c r="E382" t="inlineStr">
        <is>
          <t>DOROTEA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44972-2023</t>
        </is>
      </c>
      <c r="B383" s="1" t="n">
        <v>45191</v>
      </c>
      <c r="C383" s="1" t="n">
        <v>45510</v>
      </c>
      <c r="D383" t="inlineStr">
        <is>
          <t>VÄSTERBOTTENS LÄN</t>
        </is>
      </c>
      <c r="E383" t="inlineStr">
        <is>
          <t>DOROTEA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44973-2023</t>
        </is>
      </c>
      <c r="B384" s="1" t="n">
        <v>45191</v>
      </c>
      <c r="C384" s="1" t="n">
        <v>45510</v>
      </c>
      <c r="D384" t="inlineStr">
        <is>
          <t>VÄSTERBOTTENS LÄN</t>
        </is>
      </c>
      <c r="E384" t="inlineStr">
        <is>
          <t>DOROTEA</t>
        </is>
      </c>
      <c r="G384" t="n">
        <v>23.9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45324-2023</t>
        </is>
      </c>
      <c r="B385" s="1" t="n">
        <v>45192</v>
      </c>
      <c r="C385" s="1" t="n">
        <v>45510</v>
      </c>
      <c r="D385" t="inlineStr">
        <is>
          <t>VÄSTERBOTTENS LÄN</t>
        </is>
      </c>
      <c r="E385" t="inlineStr">
        <is>
          <t>DOROTEA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45957-2023</t>
        </is>
      </c>
      <c r="B386" s="1" t="n">
        <v>45196</v>
      </c>
      <c r="C386" s="1" t="n">
        <v>45510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45948-2023</t>
        </is>
      </c>
      <c r="B387" s="1" t="n">
        <v>45196</v>
      </c>
      <c r="C387" s="1" t="n">
        <v>45510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45956-2023</t>
        </is>
      </c>
      <c r="B388" s="1" t="n">
        <v>45196</v>
      </c>
      <c r="C388" s="1" t="n">
        <v>45510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46819-2023</t>
        </is>
      </c>
      <c r="B389" s="1" t="n">
        <v>45198</v>
      </c>
      <c r="C389" s="1" t="n">
        <v>45510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48006-2023</t>
        </is>
      </c>
      <c r="B390" s="1" t="n">
        <v>45198</v>
      </c>
      <c r="C390" s="1" t="n">
        <v>45510</v>
      </c>
      <c r="D390" t="inlineStr">
        <is>
          <t>VÄSTERBOTTENS LÄN</t>
        </is>
      </c>
      <c r="E390" t="inlineStr">
        <is>
          <t>DOROTEA</t>
        </is>
      </c>
      <c r="F390" t="inlineStr">
        <is>
          <t>Övriga statliga verk och myndigheter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46818-2023</t>
        </is>
      </c>
      <c r="B391" s="1" t="n">
        <v>45198</v>
      </c>
      <c r="C391" s="1" t="n">
        <v>45510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47494-2023</t>
        </is>
      </c>
      <c r="B392" s="1" t="n">
        <v>45203</v>
      </c>
      <c r="C392" s="1" t="n">
        <v>45510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47493-2023</t>
        </is>
      </c>
      <c r="B393" s="1" t="n">
        <v>45202</v>
      </c>
      <c r="C393" s="1" t="n">
        <v>45510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47497-2023</t>
        </is>
      </c>
      <c r="B394" s="1" t="n">
        <v>45202</v>
      </c>
      <c r="C394" s="1" t="n">
        <v>45510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35.9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47492-2023</t>
        </is>
      </c>
      <c r="B395" s="1" t="n">
        <v>45203</v>
      </c>
      <c r="C395" s="1" t="n">
        <v>45510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47495-2023</t>
        </is>
      </c>
      <c r="B396" s="1" t="n">
        <v>45203</v>
      </c>
      <c r="C396" s="1" t="n">
        <v>45510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52276-2023</t>
        </is>
      </c>
      <c r="B397" s="1" t="n">
        <v>45217</v>
      </c>
      <c r="C397" s="1" t="n">
        <v>45510</v>
      </c>
      <c r="D397" t="inlineStr">
        <is>
          <t>VÄSTERBOTTENS LÄN</t>
        </is>
      </c>
      <c r="E397" t="inlineStr">
        <is>
          <t>DOROTEA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51102-2023</t>
        </is>
      </c>
      <c r="B398" s="1" t="n">
        <v>45218</v>
      </c>
      <c r="C398" s="1" t="n">
        <v>45510</v>
      </c>
      <c r="D398" t="inlineStr">
        <is>
          <t>VÄSTERBOTTENS LÄN</t>
        </is>
      </c>
      <c r="E398" t="inlineStr">
        <is>
          <t>DOROTEA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52135-2023</t>
        </is>
      </c>
      <c r="B399" s="1" t="n">
        <v>45223</v>
      </c>
      <c r="C399" s="1" t="n">
        <v>45510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52144-2023</t>
        </is>
      </c>
      <c r="B400" s="1" t="n">
        <v>45224</v>
      </c>
      <c r="C400" s="1" t="n">
        <v>45510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52125-2023</t>
        </is>
      </c>
      <c r="B401" s="1" t="n">
        <v>45224</v>
      </c>
      <c r="C401" s="1" t="n">
        <v>45510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52141-2023</t>
        </is>
      </c>
      <c r="B402" s="1" t="n">
        <v>45224</v>
      </c>
      <c r="C402" s="1" t="n">
        <v>45510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52126-2023</t>
        </is>
      </c>
      <c r="B403" s="1" t="n">
        <v>45224</v>
      </c>
      <c r="C403" s="1" t="n">
        <v>45510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52130-2023</t>
        </is>
      </c>
      <c r="B404" s="1" t="n">
        <v>45224</v>
      </c>
      <c r="C404" s="1" t="n">
        <v>45510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52138-2023</t>
        </is>
      </c>
      <c r="B405" s="1" t="n">
        <v>45224</v>
      </c>
      <c r="C405" s="1" t="n">
        <v>45510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52142-2023</t>
        </is>
      </c>
      <c r="B406" s="1" t="n">
        <v>45224</v>
      </c>
      <c r="C406" s="1" t="n">
        <v>45510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52150-2023</t>
        </is>
      </c>
      <c r="B407" s="1" t="n">
        <v>45224</v>
      </c>
      <c r="C407" s="1" t="n">
        <v>45510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7.3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52148-2023</t>
        </is>
      </c>
      <c r="B408" s="1" t="n">
        <v>45224</v>
      </c>
      <c r="C408" s="1" t="n">
        <v>45510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52143-2023</t>
        </is>
      </c>
      <c r="B409" s="1" t="n">
        <v>45224</v>
      </c>
      <c r="C409" s="1" t="n">
        <v>45510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52149-2023</t>
        </is>
      </c>
      <c r="B410" s="1" t="n">
        <v>45224</v>
      </c>
      <c r="C410" s="1" t="n">
        <v>45510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52393-2023</t>
        </is>
      </c>
      <c r="B411" s="1" t="n">
        <v>45225</v>
      </c>
      <c r="C411" s="1" t="n">
        <v>45510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53117-2023</t>
        </is>
      </c>
      <c r="B412" s="1" t="n">
        <v>45228</v>
      </c>
      <c r="C412" s="1" t="n">
        <v>45510</v>
      </c>
      <c r="D412" t="inlineStr">
        <is>
          <t>VÄSTERBOTTENS LÄN</t>
        </is>
      </c>
      <c r="E412" t="inlineStr">
        <is>
          <t>DOROTEA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53118-2023</t>
        </is>
      </c>
      <c r="B413" s="1" t="n">
        <v>45228</v>
      </c>
      <c r="C413" s="1" t="n">
        <v>45510</v>
      </c>
      <c r="D413" t="inlineStr">
        <is>
          <t>VÄSTERBOTTENS LÄN</t>
        </is>
      </c>
      <c r="E413" t="inlineStr">
        <is>
          <t>DOROTEA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53770-2023</t>
        </is>
      </c>
      <c r="B414" s="1" t="n">
        <v>45231</v>
      </c>
      <c r="C414" s="1" t="n">
        <v>45510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55155-2023</t>
        </is>
      </c>
      <c r="B415" s="1" t="n">
        <v>45230</v>
      </c>
      <c r="C415" s="1" t="n">
        <v>45510</v>
      </c>
      <c r="D415" t="inlineStr">
        <is>
          <t>VÄSTERBOTTENS LÄN</t>
        </is>
      </c>
      <c r="E415" t="inlineStr">
        <is>
          <t>DOROTEA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55146-2023</t>
        </is>
      </c>
      <c r="B416" s="1" t="n">
        <v>45230</v>
      </c>
      <c r="C416" s="1" t="n">
        <v>45510</v>
      </c>
      <c r="D416" t="inlineStr">
        <is>
          <t>VÄSTERBOTTENS LÄN</t>
        </is>
      </c>
      <c r="E416" t="inlineStr">
        <is>
          <t>DOROTEA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53856-2023</t>
        </is>
      </c>
      <c r="B417" s="1" t="n">
        <v>45231</v>
      </c>
      <c r="C417" s="1" t="n">
        <v>45510</v>
      </c>
      <c r="D417" t="inlineStr">
        <is>
          <t>VÄSTERBOTTENS LÄN</t>
        </is>
      </c>
      <c r="E417" t="inlineStr">
        <is>
          <t>DOROTEA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55738-2023</t>
        </is>
      </c>
      <c r="B418" s="1" t="n">
        <v>45232</v>
      </c>
      <c r="C418" s="1" t="n">
        <v>45510</v>
      </c>
      <c r="D418" t="inlineStr">
        <is>
          <t>VÄSTERBOTTENS LÄN</t>
        </is>
      </c>
      <c r="E418" t="inlineStr">
        <is>
          <t>DOROTEA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54603-2023</t>
        </is>
      </c>
      <c r="B419" s="1" t="n">
        <v>45233</v>
      </c>
      <c r="C419" s="1" t="n">
        <v>45510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54604-2023</t>
        </is>
      </c>
      <c r="B420" s="1" t="n">
        <v>45233</v>
      </c>
      <c r="C420" s="1" t="n">
        <v>45510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56316-2023</t>
        </is>
      </c>
      <c r="B421" s="1" t="n">
        <v>45236</v>
      </c>
      <c r="C421" s="1" t="n">
        <v>45510</v>
      </c>
      <c r="D421" t="inlineStr">
        <is>
          <t>VÄSTERBOTTENS LÄN</t>
        </is>
      </c>
      <c r="E421" t="inlineStr">
        <is>
          <t>DOROTEA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55919-2023</t>
        </is>
      </c>
      <c r="B422" s="1" t="n">
        <v>45240</v>
      </c>
      <c r="C422" s="1" t="n">
        <v>45510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7.2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56406-2023</t>
        </is>
      </c>
      <c r="B423" s="1" t="n">
        <v>45243</v>
      </c>
      <c r="C423" s="1" t="n">
        <v>45510</v>
      </c>
      <c r="D423" t="inlineStr">
        <is>
          <t>VÄSTERBOTTENS LÄN</t>
        </is>
      </c>
      <c r="E423" t="inlineStr">
        <is>
          <t>DOROTEA</t>
        </is>
      </c>
      <c r="G423" t="n">
        <v>17.7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57071-2023</t>
        </is>
      </c>
      <c r="B424" s="1" t="n">
        <v>45245</v>
      </c>
      <c r="C424" s="1" t="n">
        <v>45510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57074-2023</t>
        </is>
      </c>
      <c r="B425" s="1" t="n">
        <v>45245</v>
      </c>
      <c r="C425" s="1" t="n">
        <v>45510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57070-2023</t>
        </is>
      </c>
      <c r="B426" s="1" t="n">
        <v>45245</v>
      </c>
      <c r="C426" s="1" t="n">
        <v>45510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57379-2023</t>
        </is>
      </c>
      <c r="B427" s="1" t="n">
        <v>45245</v>
      </c>
      <c r="C427" s="1" t="n">
        <v>45510</v>
      </c>
      <c r="D427" t="inlineStr">
        <is>
          <t>VÄSTERBOTTENS LÄN</t>
        </is>
      </c>
      <c r="E427" t="inlineStr">
        <is>
          <t>DOROTEA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57793-2023</t>
        </is>
      </c>
      <c r="B428" s="1" t="n">
        <v>45247</v>
      </c>
      <c r="C428" s="1" t="n">
        <v>45510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57794-2023</t>
        </is>
      </c>
      <c r="B429" s="1" t="n">
        <v>45247</v>
      </c>
      <c r="C429" s="1" t="n">
        <v>45510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58465-2023</t>
        </is>
      </c>
      <c r="B430" s="1" t="n">
        <v>45251</v>
      </c>
      <c r="C430" s="1" t="n">
        <v>45510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25.5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58768-2023</t>
        </is>
      </c>
      <c r="B431" s="1" t="n">
        <v>45252</v>
      </c>
      <c r="C431" s="1" t="n">
        <v>45510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22.6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58761-2023</t>
        </is>
      </c>
      <c r="B432" s="1" t="n">
        <v>45251</v>
      </c>
      <c r="C432" s="1" t="n">
        <v>45510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59396-2023</t>
        </is>
      </c>
      <c r="B433" s="1" t="n">
        <v>45253</v>
      </c>
      <c r="C433" s="1" t="n">
        <v>45510</v>
      </c>
      <c r="D433" t="inlineStr">
        <is>
          <t>VÄSTERBOTTENS LÄN</t>
        </is>
      </c>
      <c r="E433" t="inlineStr">
        <is>
          <t>DOROTEA</t>
        </is>
      </c>
      <c r="G433" t="n">
        <v>27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59395-2023</t>
        </is>
      </c>
      <c r="B434" s="1" t="n">
        <v>45253</v>
      </c>
      <c r="C434" s="1" t="n">
        <v>45510</v>
      </c>
      <c r="D434" t="inlineStr">
        <is>
          <t>VÄSTERBOTTENS LÄN</t>
        </is>
      </c>
      <c r="E434" t="inlineStr">
        <is>
          <t>DOROTEA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59394-2023</t>
        </is>
      </c>
      <c r="B435" s="1" t="n">
        <v>45253</v>
      </c>
      <c r="C435" s="1" t="n">
        <v>45510</v>
      </c>
      <c r="D435" t="inlineStr">
        <is>
          <t>VÄSTERBOTTENS LÄN</t>
        </is>
      </c>
      <c r="E435" t="inlineStr">
        <is>
          <t>DOROTEA</t>
        </is>
      </c>
      <c r="G435" t="n">
        <v>28.8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59397-2023</t>
        </is>
      </c>
      <c r="B436" s="1" t="n">
        <v>45253</v>
      </c>
      <c r="C436" s="1" t="n">
        <v>45510</v>
      </c>
      <c r="D436" t="inlineStr">
        <is>
          <t>VÄSTERBOTTENS LÄN</t>
        </is>
      </c>
      <c r="E436" t="inlineStr">
        <is>
          <t>DOROTEA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59418-2023</t>
        </is>
      </c>
      <c r="B437" s="1" t="n">
        <v>45253</v>
      </c>
      <c r="C437" s="1" t="n">
        <v>45510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60015-2023</t>
        </is>
      </c>
      <c r="B438" s="1" t="n">
        <v>45258</v>
      </c>
      <c r="C438" s="1" t="n">
        <v>45510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60867-2023</t>
        </is>
      </c>
      <c r="B439" s="1" t="n">
        <v>45260</v>
      </c>
      <c r="C439" s="1" t="n">
        <v>45510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61148-2023</t>
        </is>
      </c>
      <c r="B440" s="1" t="n">
        <v>45261</v>
      </c>
      <c r="C440" s="1" t="n">
        <v>45510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62024-2023</t>
        </is>
      </c>
      <c r="B441" s="1" t="n">
        <v>45265</v>
      </c>
      <c r="C441" s="1" t="n">
        <v>45510</v>
      </c>
      <c r="D441" t="inlineStr">
        <is>
          <t>VÄSTERBOTTENS LÄN</t>
        </is>
      </c>
      <c r="E441" t="inlineStr">
        <is>
          <t>DOROTEA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62552-2023</t>
        </is>
      </c>
      <c r="B442" s="1" t="n">
        <v>45268</v>
      </c>
      <c r="C442" s="1" t="n">
        <v>45510</v>
      </c>
      <c r="D442" t="inlineStr">
        <is>
          <t>VÄSTERBOTTENS LÄN</t>
        </is>
      </c>
      <c r="E442" t="inlineStr">
        <is>
          <t>DOROTEA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62553-2023</t>
        </is>
      </c>
      <c r="B443" s="1" t="n">
        <v>45268</v>
      </c>
      <c r="C443" s="1" t="n">
        <v>45510</v>
      </c>
      <c r="D443" t="inlineStr">
        <is>
          <t>VÄSTERBOTTENS LÄN</t>
        </is>
      </c>
      <c r="E443" t="inlineStr">
        <is>
          <t>DOROTEA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63084-2023</t>
        </is>
      </c>
      <c r="B444" s="1" t="n">
        <v>45272</v>
      </c>
      <c r="C444" s="1" t="n">
        <v>45510</v>
      </c>
      <c r="D444" t="inlineStr">
        <is>
          <t>VÄSTERBOTTENS LÄN</t>
        </is>
      </c>
      <c r="E444" t="inlineStr">
        <is>
          <t>DOROTEA</t>
        </is>
      </c>
      <c r="G444" t="n">
        <v>11.4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63123-2023</t>
        </is>
      </c>
      <c r="B445" s="1" t="n">
        <v>45272</v>
      </c>
      <c r="C445" s="1" t="n">
        <v>45510</v>
      </c>
      <c r="D445" t="inlineStr">
        <is>
          <t>VÄSTERBOTTENS LÄN</t>
        </is>
      </c>
      <c r="E445" t="inlineStr">
        <is>
          <t>DOROTEA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63296-2023</t>
        </is>
      </c>
      <c r="B446" s="1" t="n">
        <v>45273</v>
      </c>
      <c r="C446" s="1" t="n">
        <v>45510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64033-2023</t>
        </is>
      </c>
      <c r="B447" s="1" t="n">
        <v>45278</v>
      </c>
      <c r="C447" s="1" t="n">
        <v>45510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65186-2023</t>
        </is>
      </c>
      <c r="B448" s="1" t="n">
        <v>45289</v>
      </c>
      <c r="C448" s="1" t="n">
        <v>45510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20.5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65187-2023</t>
        </is>
      </c>
      <c r="B449" s="1" t="n">
        <v>45289</v>
      </c>
      <c r="C449" s="1" t="n">
        <v>45510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25.7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65244-2023</t>
        </is>
      </c>
      <c r="B450" s="1" t="n">
        <v>45289</v>
      </c>
      <c r="C450" s="1" t="n">
        <v>45510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99-2024</t>
        </is>
      </c>
      <c r="B451" s="1" t="n">
        <v>45293</v>
      </c>
      <c r="C451" s="1" t="n">
        <v>45510</v>
      </c>
      <c r="D451" t="inlineStr">
        <is>
          <t>VÄSTERBOTTENS LÄN</t>
        </is>
      </c>
      <c r="E451" t="inlineStr">
        <is>
          <t>DOROTEA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361-2024</t>
        </is>
      </c>
      <c r="B452" s="1" t="n">
        <v>45295</v>
      </c>
      <c r="C452" s="1" t="n">
        <v>45510</v>
      </c>
      <c r="D452" t="inlineStr">
        <is>
          <t>VÄSTERBOTTENS LÄN</t>
        </is>
      </c>
      <c r="E452" t="inlineStr">
        <is>
          <t>DOROTEA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860-2024</t>
        </is>
      </c>
      <c r="B453" s="1" t="n">
        <v>45300</v>
      </c>
      <c r="C453" s="1" t="n">
        <v>45510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9.699999999999999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1108-2024</t>
        </is>
      </c>
      <c r="B454" s="1" t="n">
        <v>45302</v>
      </c>
      <c r="C454" s="1" t="n">
        <v>45510</v>
      </c>
      <c r="D454" t="inlineStr">
        <is>
          <t>VÄSTERBOTTENS LÄN</t>
        </is>
      </c>
      <c r="E454" t="inlineStr">
        <is>
          <t>DOROTEA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1684-2024</t>
        </is>
      </c>
      <c r="B455" s="1" t="n">
        <v>45307</v>
      </c>
      <c r="C455" s="1" t="n">
        <v>45510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11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3017-2024</t>
        </is>
      </c>
      <c r="B456" s="1" t="n">
        <v>45315</v>
      </c>
      <c r="C456" s="1" t="n">
        <v>45510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5153-2024</t>
        </is>
      </c>
      <c r="B457" s="1" t="n">
        <v>45329</v>
      </c>
      <c r="C457" s="1" t="n">
        <v>45510</v>
      </c>
      <c r="D457" t="inlineStr">
        <is>
          <t>VÄSTERBOTTENS LÄN</t>
        </is>
      </c>
      <c r="E457" t="inlineStr">
        <is>
          <t>DOROTEA</t>
        </is>
      </c>
      <c r="G457" t="n">
        <v>7.8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5251-2024</t>
        </is>
      </c>
      <c r="B458" s="1" t="n">
        <v>45330</v>
      </c>
      <c r="C458" s="1" t="n">
        <v>45510</v>
      </c>
      <c r="D458" t="inlineStr">
        <is>
          <t>VÄSTERBOTTENS LÄN</t>
        </is>
      </c>
      <c r="E458" t="inlineStr">
        <is>
          <t>DOROTEA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5495-2024</t>
        </is>
      </c>
      <c r="B459" s="1" t="n">
        <v>45331</v>
      </c>
      <c r="C459" s="1" t="n">
        <v>45510</v>
      </c>
      <c r="D459" t="inlineStr">
        <is>
          <t>VÄSTERBOTTENS LÄN</t>
        </is>
      </c>
      <c r="E459" t="inlineStr">
        <is>
          <t>DOROTEA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5735-2024</t>
        </is>
      </c>
      <c r="B460" s="1" t="n">
        <v>45334</v>
      </c>
      <c r="C460" s="1" t="n">
        <v>45510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20.4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6901-2024</t>
        </is>
      </c>
      <c r="B461" s="1" t="n">
        <v>45342</v>
      </c>
      <c r="C461" s="1" t="n">
        <v>45510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7847-2024</t>
        </is>
      </c>
      <c r="B462" s="1" t="n">
        <v>45350</v>
      </c>
      <c r="C462" s="1" t="n">
        <v>45510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8034-2024</t>
        </is>
      </c>
      <c r="B463" s="1" t="n">
        <v>45350</v>
      </c>
      <c r="C463" s="1" t="n">
        <v>45510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8246-2024</t>
        </is>
      </c>
      <c r="B464" s="1" t="n">
        <v>45352</v>
      </c>
      <c r="C464" s="1" t="n">
        <v>45510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8245-2024</t>
        </is>
      </c>
      <c r="B465" s="1" t="n">
        <v>45352</v>
      </c>
      <c r="C465" s="1" t="n">
        <v>45510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8247-2024</t>
        </is>
      </c>
      <c r="B466" s="1" t="n">
        <v>45352</v>
      </c>
      <c r="C466" s="1" t="n">
        <v>45510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8648-2024</t>
        </is>
      </c>
      <c r="B467" s="1" t="n">
        <v>45356</v>
      </c>
      <c r="C467" s="1" t="n">
        <v>45510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8852-2024</t>
        </is>
      </c>
      <c r="B468" s="1" t="n">
        <v>45356</v>
      </c>
      <c r="C468" s="1" t="n">
        <v>45510</v>
      </c>
      <c r="D468" t="inlineStr">
        <is>
          <t>VÄSTERBOTTENS LÄN</t>
        </is>
      </c>
      <c r="E468" t="inlineStr">
        <is>
          <t>DOROTEA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9258-2024</t>
        </is>
      </c>
      <c r="B469" s="1" t="n">
        <v>45357</v>
      </c>
      <c r="C469" s="1" t="n">
        <v>45510</v>
      </c>
      <c r="D469" t="inlineStr">
        <is>
          <t>VÄSTERBOTTENS LÄN</t>
        </is>
      </c>
      <c r="E469" t="inlineStr">
        <is>
          <t>DOROTEA</t>
        </is>
      </c>
      <c r="G469" t="n">
        <v>9.199999999999999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9832-2024</t>
        </is>
      </c>
      <c r="B470" s="1" t="n">
        <v>45363</v>
      </c>
      <c r="C470" s="1" t="n">
        <v>45510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9826-2024</t>
        </is>
      </c>
      <c r="B471" s="1" t="n">
        <v>45363</v>
      </c>
      <c r="C471" s="1" t="n">
        <v>45510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8.800000000000001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9827-2024</t>
        </is>
      </c>
      <c r="B472" s="1" t="n">
        <v>45363</v>
      </c>
      <c r="C472" s="1" t="n">
        <v>45510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16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10029-2024</t>
        </is>
      </c>
      <c r="B473" s="1" t="n">
        <v>45364</v>
      </c>
      <c r="C473" s="1" t="n">
        <v>45510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10624-2024</t>
        </is>
      </c>
      <c r="B474" s="1" t="n">
        <v>45367</v>
      </c>
      <c r="C474" s="1" t="n">
        <v>45510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11537-2024</t>
        </is>
      </c>
      <c r="B475" s="1" t="n">
        <v>45372</v>
      </c>
      <c r="C475" s="1" t="n">
        <v>45510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18.5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11757-2024</t>
        </is>
      </c>
      <c r="B476" s="1" t="n">
        <v>45373</v>
      </c>
      <c r="C476" s="1" t="n">
        <v>45510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11766-2024</t>
        </is>
      </c>
      <c r="B477" s="1" t="n">
        <v>45373</v>
      </c>
      <c r="C477" s="1" t="n">
        <v>45510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20.6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11759-2024</t>
        </is>
      </c>
      <c r="B478" s="1" t="n">
        <v>45373</v>
      </c>
      <c r="C478" s="1" t="n">
        <v>45510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11758-2024</t>
        </is>
      </c>
      <c r="B479" s="1" t="n">
        <v>45373</v>
      </c>
      <c r="C479" s="1" t="n">
        <v>45510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12356-2024</t>
        </is>
      </c>
      <c r="B480" s="1" t="n">
        <v>45378</v>
      </c>
      <c r="C480" s="1" t="n">
        <v>45510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12357-2024</t>
        </is>
      </c>
      <c r="B481" s="1" t="n">
        <v>45378</v>
      </c>
      <c r="C481" s="1" t="n">
        <v>45510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12358-2024</t>
        </is>
      </c>
      <c r="B482" s="1" t="n">
        <v>45378</v>
      </c>
      <c r="C482" s="1" t="n">
        <v>45510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13035-2024</t>
        </is>
      </c>
      <c r="B483" s="1" t="n">
        <v>45385</v>
      </c>
      <c r="C483" s="1" t="n">
        <v>45510</v>
      </c>
      <c r="D483" t="inlineStr">
        <is>
          <t>VÄSTERBOTTENS LÄN</t>
        </is>
      </c>
      <c r="E483" t="inlineStr">
        <is>
          <t>DOROTEA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13051-2024</t>
        </is>
      </c>
      <c r="B484" s="1" t="n">
        <v>45385</v>
      </c>
      <c r="C484" s="1" t="n">
        <v>45510</v>
      </c>
      <c r="D484" t="inlineStr">
        <is>
          <t>VÄSTERBOTTENS LÄN</t>
        </is>
      </c>
      <c r="E484" t="inlineStr">
        <is>
          <t>DOROTEA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13030-2024</t>
        </is>
      </c>
      <c r="B485" s="1" t="n">
        <v>45385</v>
      </c>
      <c r="C485" s="1" t="n">
        <v>45510</v>
      </c>
      <c r="D485" t="inlineStr">
        <is>
          <t>VÄSTERBOTTENS LÄN</t>
        </is>
      </c>
      <c r="E485" t="inlineStr">
        <is>
          <t>DOROTEA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13044-2024</t>
        </is>
      </c>
      <c r="B486" s="1" t="n">
        <v>45385</v>
      </c>
      <c r="C486" s="1" t="n">
        <v>45510</v>
      </c>
      <c r="D486" t="inlineStr">
        <is>
          <t>VÄSTERBOTTENS LÄN</t>
        </is>
      </c>
      <c r="E486" t="inlineStr">
        <is>
          <t>DOROTEA</t>
        </is>
      </c>
      <c r="G486" t="n">
        <v>16.5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13927-2024</t>
        </is>
      </c>
      <c r="B487" s="1" t="n">
        <v>45392</v>
      </c>
      <c r="C487" s="1" t="n">
        <v>45510</v>
      </c>
      <c r="D487" t="inlineStr">
        <is>
          <t>VÄSTERBOTTENS LÄN</t>
        </is>
      </c>
      <c r="E487" t="inlineStr">
        <is>
          <t>DOROTEA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13928-2024</t>
        </is>
      </c>
      <c r="B488" s="1" t="n">
        <v>45392</v>
      </c>
      <c r="C488" s="1" t="n">
        <v>45510</v>
      </c>
      <c r="D488" t="inlineStr">
        <is>
          <t>VÄSTERBOTTENS LÄN</t>
        </is>
      </c>
      <c r="E488" t="inlineStr">
        <is>
          <t>DOROTEA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14164-2024</t>
        </is>
      </c>
      <c r="B489" s="1" t="n">
        <v>45393</v>
      </c>
      <c r="C489" s="1" t="n">
        <v>45510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14163-2024</t>
        </is>
      </c>
      <c r="B490" s="1" t="n">
        <v>45393</v>
      </c>
      <c r="C490" s="1" t="n">
        <v>45510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14161-2024</t>
        </is>
      </c>
      <c r="B491" s="1" t="n">
        <v>45392</v>
      </c>
      <c r="C491" s="1" t="n">
        <v>45510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8.300000000000001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14320-2024</t>
        </is>
      </c>
      <c r="B492" s="1" t="n">
        <v>45393</v>
      </c>
      <c r="C492" s="1" t="n">
        <v>45510</v>
      </c>
      <c r="D492" t="inlineStr">
        <is>
          <t>VÄSTERBOTTENS LÄN</t>
        </is>
      </c>
      <c r="E492" t="inlineStr">
        <is>
          <t>DOROTEA</t>
        </is>
      </c>
      <c r="G492" t="n">
        <v>10.2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14935-2024</t>
        </is>
      </c>
      <c r="B493" s="1" t="n">
        <v>45399</v>
      </c>
      <c r="C493" s="1" t="n">
        <v>45510</v>
      </c>
      <c r="D493" t="inlineStr">
        <is>
          <t>VÄSTERBOTTENS LÄN</t>
        </is>
      </c>
      <c r="E493" t="inlineStr">
        <is>
          <t>DOROTEA</t>
        </is>
      </c>
      <c r="G493" t="n">
        <v>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15044-2024</t>
        </is>
      </c>
      <c r="B494" s="1" t="n">
        <v>45399</v>
      </c>
      <c r="C494" s="1" t="n">
        <v>45510</v>
      </c>
      <c r="D494" t="inlineStr">
        <is>
          <t>VÄSTERBOTTENS LÄN</t>
        </is>
      </c>
      <c r="E494" t="inlineStr">
        <is>
          <t>DOROTEA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15057-2024</t>
        </is>
      </c>
      <c r="B495" s="1" t="n">
        <v>45399</v>
      </c>
      <c r="C495" s="1" t="n">
        <v>45510</v>
      </c>
      <c r="D495" t="inlineStr">
        <is>
          <t>VÄSTERBOTTENS LÄN</t>
        </is>
      </c>
      <c r="E495" t="inlineStr">
        <is>
          <t>DOROTEA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16227-2024</t>
        </is>
      </c>
      <c r="B496" s="1" t="n">
        <v>45406</v>
      </c>
      <c r="C496" s="1" t="n">
        <v>45510</v>
      </c>
      <c r="D496" t="inlineStr">
        <is>
          <t>VÄSTERBOTTENS LÄN</t>
        </is>
      </c>
      <c r="E496" t="inlineStr">
        <is>
          <t>DOROTEA</t>
        </is>
      </c>
      <c r="G496" t="n">
        <v>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16230-2024</t>
        </is>
      </c>
      <c r="B497" s="1" t="n">
        <v>45407</v>
      </c>
      <c r="C497" s="1" t="n">
        <v>45510</v>
      </c>
      <c r="D497" t="inlineStr">
        <is>
          <t>VÄSTERBOTTENS LÄN</t>
        </is>
      </c>
      <c r="E497" t="inlineStr">
        <is>
          <t>DOROTEA</t>
        </is>
      </c>
      <c r="G497" t="n">
        <v>10.1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16234-2024</t>
        </is>
      </c>
      <c r="B498" s="1" t="n">
        <v>45407</v>
      </c>
      <c r="C498" s="1" t="n">
        <v>45510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20.5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16235-2024</t>
        </is>
      </c>
      <c r="B499" s="1" t="n">
        <v>45407</v>
      </c>
      <c r="C499" s="1" t="n">
        <v>45510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17419-2024</t>
        </is>
      </c>
      <c r="B500" s="1" t="n">
        <v>45415</v>
      </c>
      <c r="C500" s="1" t="n">
        <v>45510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9.300000000000001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17825-2024</t>
        </is>
      </c>
      <c r="B501" s="1" t="n">
        <v>45418</v>
      </c>
      <c r="C501" s="1" t="n">
        <v>45510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24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18599-2024</t>
        </is>
      </c>
      <c r="B502" s="1" t="n">
        <v>45425</v>
      </c>
      <c r="C502" s="1" t="n">
        <v>45510</v>
      </c>
      <c r="D502" t="inlineStr">
        <is>
          <t>VÄSTERBOTTENS LÄN</t>
        </is>
      </c>
      <c r="E502" t="inlineStr">
        <is>
          <t>DOROTEA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19589-2024</t>
        </is>
      </c>
      <c r="B503" s="1" t="n">
        <v>45430</v>
      </c>
      <c r="C503" s="1" t="n">
        <v>45510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19590-2024</t>
        </is>
      </c>
      <c r="B504" s="1" t="n">
        <v>45429</v>
      </c>
      <c r="C504" s="1" t="n">
        <v>45510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19592-2024</t>
        </is>
      </c>
      <c r="B505" s="1" t="n">
        <v>45430</v>
      </c>
      <c r="C505" s="1" t="n">
        <v>45510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20775-2024</t>
        </is>
      </c>
      <c r="B506" s="1" t="n">
        <v>45436</v>
      </c>
      <c r="C506" s="1" t="n">
        <v>45510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16.8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22450-2024</t>
        </is>
      </c>
      <c r="B507" s="1" t="n">
        <v>45447</v>
      </c>
      <c r="C507" s="1" t="n">
        <v>45510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22944-2024</t>
        </is>
      </c>
      <c r="B508" s="1" t="n">
        <v>45449</v>
      </c>
      <c r="C508" s="1" t="n">
        <v>45510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22946-2024</t>
        </is>
      </c>
      <c r="B509" s="1" t="n">
        <v>45449</v>
      </c>
      <c r="C509" s="1" t="n">
        <v>45510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22942-2024</t>
        </is>
      </c>
      <c r="B510" s="1" t="n">
        <v>45449</v>
      </c>
      <c r="C510" s="1" t="n">
        <v>45510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22943-2024</t>
        </is>
      </c>
      <c r="B511" s="1" t="n">
        <v>45449</v>
      </c>
      <c r="C511" s="1" t="n">
        <v>45510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22931-2024</t>
        </is>
      </c>
      <c r="B512" s="1" t="n">
        <v>45449</v>
      </c>
      <c r="C512" s="1" t="n">
        <v>45510</v>
      </c>
      <c r="D512" t="inlineStr">
        <is>
          <t>VÄSTERBOTTENS LÄN</t>
        </is>
      </c>
      <c r="E512" t="inlineStr">
        <is>
          <t>DOROTEA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22993-2024</t>
        </is>
      </c>
      <c r="B513" s="1" t="n">
        <v>45450</v>
      </c>
      <c r="C513" s="1" t="n">
        <v>45510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24458-2024</t>
        </is>
      </c>
      <c r="B514" s="1" t="n">
        <v>45457</v>
      </c>
      <c r="C514" s="1" t="n">
        <v>45510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24445-2024</t>
        </is>
      </c>
      <c r="B515" s="1" t="n">
        <v>45458</v>
      </c>
      <c r="C515" s="1" t="n">
        <v>45510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25028-2024</t>
        </is>
      </c>
      <c r="B516" s="1" t="n">
        <v>45462</v>
      </c>
      <c r="C516" s="1" t="n">
        <v>45510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25027-2024</t>
        </is>
      </c>
      <c r="B517" s="1" t="n">
        <v>45461</v>
      </c>
      <c r="C517" s="1" t="n">
        <v>45510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25031-2024</t>
        </is>
      </c>
      <c r="B518" s="1" t="n">
        <v>45462</v>
      </c>
      <c r="C518" s="1" t="n">
        <v>45510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25029-2024</t>
        </is>
      </c>
      <c r="B519" s="1" t="n">
        <v>45462</v>
      </c>
      <c r="C519" s="1" t="n">
        <v>45510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25030-2024</t>
        </is>
      </c>
      <c r="B520" s="1" t="n">
        <v>45462</v>
      </c>
      <c r="C520" s="1" t="n">
        <v>45510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25714-2024</t>
        </is>
      </c>
      <c r="B521" s="1" t="n">
        <v>45464</v>
      </c>
      <c r="C521" s="1" t="n">
        <v>45510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25719-2024</t>
        </is>
      </c>
      <c r="B522" s="1" t="n">
        <v>45463</v>
      </c>
      <c r="C522" s="1" t="n">
        <v>45510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16.2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26637-2024</t>
        </is>
      </c>
      <c r="B523" s="1" t="n">
        <v>45470</v>
      </c>
      <c r="C523" s="1" t="n">
        <v>45510</v>
      </c>
      <c r="D523" t="inlineStr">
        <is>
          <t>VÄSTERBOTTENS LÄN</t>
        </is>
      </c>
      <c r="E523" t="inlineStr">
        <is>
          <t>DOROTEA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26964-2024</t>
        </is>
      </c>
      <c r="B524" s="1" t="n">
        <v>45471</v>
      </c>
      <c r="C524" s="1" t="n">
        <v>45510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6.4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26777-2024</t>
        </is>
      </c>
      <c r="B525" s="1" t="n">
        <v>45470</v>
      </c>
      <c r="C525" s="1" t="n">
        <v>45510</v>
      </c>
      <c r="D525" t="inlineStr">
        <is>
          <t>VÄSTERBOTTENS LÄN</t>
        </is>
      </c>
      <c r="E525" t="inlineStr">
        <is>
          <t>DOROTEA</t>
        </is>
      </c>
      <c r="G525" t="n">
        <v>10.1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27305-2024</t>
        </is>
      </c>
      <c r="B526" s="1" t="n">
        <v>45472</v>
      </c>
      <c r="C526" s="1" t="n">
        <v>45510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27317-2024</t>
        </is>
      </c>
      <c r="B527" s="1" t="n">
        <v>45472</v>
      </c>
      <c r="C527" s="1" t="n">
        <v>45510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27662-2024</t>
        </is>
      </c>
      <c r="B528" s="1" t="n">
        <v>45475</v>
      </c>
      <c r="C528" s="1" t="n">
        <v>45510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27909-2024</t>
        </is>
      </c>
      <c r="B529" s="1" t="n">
        <v>45475</v>
      </c>
      <c r="C529" s="1" t="n">
        <v>45510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28856-2024</t>
        </is>
      </c>
      <c r="B530" s="1" t="n">
        <v>45479</v>
      </c>
      <c r="C530" s="1" t="n">
        <v>45510</v>
      </c>
      <c r="D530" t="inlineStr">
        <is>
          <t>VÄSTERBOTTENS LÄN</t>
        </is>
      </c>
      <c r="E530" t="inlineStr">
        <is>
          <t>DOROTEA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29089-2024</t>
        </is>
      </c>
      <c r="B531" s="1" t="n">
        <v>45481</v>
      </c>
      <c r="C531" s="1" t="n">
        <v>45510</v>
      </c>
      <c r="D531" t="inlineStr">
        <is>
          <t>VÄSTERBOTTENS LÄN</t>
        </is>
      </c>
      <c r="E531" t="inlineStr">
        <is>
          <t>DOROTEA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29090-2024</t>
        </is>
      </c>
      <c r="B532" s="1" t="n">
        <v>45481</v>
      </c>
      <c r="C532" s="1" t="n">
        <v>45510</v>
      </c>
      <c r="D532" t="inlineStr">
        <is>
          <t>VÄSTERBOTTENS LÄN</t>
        </is>
      </c>
      <c r="E532" t="inlineStr">
        <is>
          <t>DOROTEA</t>
        </is>
      </c>
      <c r="G532" t="n">
        <v>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29239-2024</t>
        </is>
      </c>
      <c r="B533" s="1" t="n">
        <v>45483</v>
      </c>
      <c r="C533" s="1" t="n">
        <v>45510</v>
      </c>
      <c r="D533" t="inlineStr">
        <is>
          <t>VÄSTERBOTTENS LÄN</t>
        </is>
      </c>
      <c r="E533" t="inlineStr">
        <is>
          <t>DOROTEA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29454-2024</t>
        </is>
      </c>
      <c r="B534" s="1" t="n">
        <v>45484</v>
      </c>
      <c r="C534" s="1" t="n">
        <v>45510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12.4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29617-2024</t>
        </is>
      </c>
      <c r="B535" s="1" t="n">
        <v>45484</v>
      </c>
      <c r="C535" s="1" t="n">
        <v>45510</v>
      </c>
      <c r="D535" t="inlineStr">
        <is>
          <t>VÄSTERBOTTENS LÄN</t>
        </is>
      </c>
      <c r="E535" t="inlineStr">
        <is>
          <t>DOROTEA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29639-2024</t>
        </is>
      </c>
      <c r="B536" s="1" t="n">
        <v>45484</v>
      </c>
      <c r="C536" s="1" t="n">
        <v>45510</v>
      </c>
      <c r="D536" t="inlineStr">
        <is>
          <t>VÄSTERBOTTENS LÄN</t>
        </is>
      </c>
      <c r="E536" t="inlineStr">
        <is>
          <t>DOROTEA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29737-2024</t>
        </is>
      </c>
      <c r="B537" s="1" t="n">
        <v>45485</v>
      </c>
      <c r="C537" s="1" t="n">
        <v>45510</v>
      </c>
      <c r="D537" t="inlineStr">
        <is>
          <t>VÄSTERBOTTENS LÄN</t>
        </is>
      </c>
      <c r="E537" t="inlineStr">
        <is>
          <t>DOROTEA</t>
        </is>
      </c>
      <c r="G537" t="n">
        <v>10.2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30057-2024</t>
        </is>
      </c>
      <c r="B538" s="1" t="n">
        <v>45489</v>
      </c>
      <c r="C538" s="1" t="n">
        <v>45510</v>
      </c>
      <c r="D538" t="inlineStr">
        <is>
          <t>VÄSTERBOTTENS LÄN</t>
        </is>
      </c>
      <c r="E538" t="inlineStr">
        <is>
          <t>DOROTEA</t>
        </is>
      </c>
      <c r="G538" t="n">
        <v>8.300000000000001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30059-2024</t>
        </is>
      </c>
      <c r="B539" s="1" t="n">
        <v>45489</v>
      </c>
      <c r="C539" s="1" t="n">
        <v>45510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30370-2024</t>
        </is>
      </c>
      <c r="B540" s="1" t="n">
        <v>45491</v>
      </c>
      <c r="C540" s="1" t="n">
        <v>45510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Sveaskog</t>
        </is>
      </c>
      <c r="G540" t="n">
        <v>10.5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30468-2024</t>
        </is>
      </c>
      <c r="B541" s="1" t="n">
        <v>45491</v>
      </c>
      <c r="C541" s="1" t="n">
        <v>45510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20.4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30461-2024</t>
        </is>
      </c>
      <c r="B542" s="1" t="n">
        <v>45492</v>
      </c>
      <c r="C542" s="1" t="n">
        <v>45510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30471-2024</t>
        </is>
      </c>
      <c r="B543" s="1" t="n">
        <v>45492</v>
      </c>
      <c r="C543" s="1" t="n">
        <v>45510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30679-2024</t>
        </is>
      </c>
      <c r="B544" s="1" t="n">
        <v>45495</v>
      </c>
      <c r="C544" s="1" t="n">
        <v>45510</v>
      </c>
      <c r="D544" t="inlineStr">
        <is>
          <t>VÄSTERBOTTENS LÄN</t>
        </is>
      </c>
      <c r="E544" t="inlineStr">
        <is>
          <t>DOROTEA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31497-2024</t>
        </is>
      </c>
      <c r="B545" s="1" t="n">
        <v>45506</v>
      </c>
      <c r="C545" s="1" t="n">
        <v>45510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31501-2024</t>
        </is>
      </c>
      <c r="B546" s="1" t="n">
        <v>45506</v>
      </c>
      <c r="C546" s="1" t="n">
        <v>45510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31494-2024</t>
        </is>
      </c>
      <c r="B547" s="1" t="n">
        <v>45506</v>
      </c>
      <c r="C547" s="1" t="n">
        <v>45510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11.6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31495-2024</t>
        </is>
      </c>
      <c r="B548" s="1" t="n">
        <v>45506</v>
      </c>
      <c r="C548" s="1" t="n">
        <v>45510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27.5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>
      <c r="A549" t="inlineStr">
        <is>
          <t>A 31820-2024</t>
        </is>
      </c>
      <c r="B549" s="1" t="n">
        <v>45509</v>
      </c>
      <c r="C549" s="1" t="n">
        <v>45510</v>
      </c>
      <c r="D549" t="inlineStr">
        <is>
          <t>VÄSTERBOTTENS LÄN</t>
        </is>
      </c>
      <c r="E549" t="inlineStr">
        <is>
          <t>DOROTEA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2024-08-06T11:01:08Z</dcterms:created>
  <dcterms:modified xmlns:dcterms="http://purl.org/dc/terms/" xmlns:xsi="http://www.w3.org/2001/XMLSchema-instance" xsi:type="dcterms:W3CDTF">2024-08-06T11:01:08Z</dcterms:modified>
</cp:coreProperties>
</file>