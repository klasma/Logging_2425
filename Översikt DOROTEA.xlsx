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31476-2024</t>
        </is>
      </c>
      <c r="B2" s="1" t="n">
        <v>45505</v>
      </c>
      <c r="C2" s="1" t="n">
        <v>45570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7</v>
      </c>
      <c r="H2" t="n">
        <v>1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11</v>
      </c>
      <c r="R2" s="2" t="inlineStr">
        <is>
          <t>Ostticka
Garnlav
Granticka
Harticka
Lunglav
Rosenticka
Skrovellav
Tretåig hackspett
Ullticka
Luddlav
Stuplav</t>
        </is>
      </c>
      <c r="S2">
        <f>HYPERLINK("https://klasma.github.io/Logging_2425/artfynd/A 31476-2024 artfynd.xlsx", "A 31476-2024")</f>
        <v/>
      </c>
      <c r="T2">
        <f>HYPERLINK("https://klasma.github.io/Logging_2425/kartor/A 31476-2024 karta.png", "A 31476-2024")</f>
        <v/>
      </c>
      <c r="V2">
        <f>HYPERLINK("https://klasma.github.io/Logging_2425/klagomål/A 31476-2024 FSC-klagomål.docx", "A 31476-2024")</f>
        <v/>
      </c>
      <c r="W2">
        <f>HYPERLINK("https://klasma.github.io/Logging_2425/klagomålsmail/A 31476-2024 FSC-klagomål mail.docx", "A 31476-2024")</f>
        <v/>
      </c>
      <c r="X2">
        <f>HYPERLINK("https://klasma.github.io/Logging_2425/tillsyn/A 31476-2024 tillsynsbegäran.docx", "A 31476-2024")</f>
        <v/>
      </c>
      <c r="Y2">
        <f>HYPERLINK("https://klasma.github.io/Logging_2425/tillsynsmail/A 31476-2024 tillsynsbegäran mail.docx", "A 31476-2024")</f>
        <v/>
      </c>
      <c r="Z2">
        <f>HYPERLINK("https://klasma.github.io/Logging_2425/fåglar/A 31476-2024 prioriterade fågelarter.docx", "A 31476-2024")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45570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2227-2024</t>
        </is>
      </c>
      <c r="B4" s="1" t="n">
        <v>45309</v>
      </c>
      <c r="C4" s="1" t="n">
        <v>45570</v>
      </c>
      <c r="D4" t="inlineStr">
        <is>
          <t>VÄSTERBOTTENS LÄN</t>
        </is>
      </c>
      <c r="E4" t="inlineStr">
        <is>
          <t>DOROTEA</t>
        </is>
      </c>
      <c r="G4" t="n">
        <v>17.1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Garnlav
Lunglav
Skrovellav
Kransrams
Luddlav
Spindelblomster
Stuplav
Ögonpyrola
Fläcknycklar</t>
        </is>
      </c>
      <c r="S4">
        <f>HYPERLINK("https://klasma.github.io/Logging_2425/artfynd/A 2227-2024 artfynd.xlsx", "A 2227-2024")</f>
        <v/>
      </c>
      <c r="T4">
        <f>HYPERLINK("https://klasma.github.io/Logging_2425/kartor/A 2227-2024 karta.png", "A 2227-2024")</f>
        <v/>
      </c>
      <c r="V4">
        <f>HYPERLINK("https://klasma.github.io/Logging_2425/klagomål/A 2227-2024 FSC-klagomål.docx", "A 2227-2024")</f>
        <v/>
      </c>
      <c r="W4">
        <f>HYPERLINK("https://klasma.github.io/Logging_2425/klagomålsmail/A 2227-2024 FSC-klagomål mail.docx", "A 2227-2024")</f>
        <v/>
      </c>
      <c r="X4">
        <f>HYPERLINK("https://klasma.github.io/Logging_2425/tillsyn/A 2227-2024 tillsynsbegäran.docx", "A 2227-2024")</f>
        <v/>
      </c>
      <c r="Y4">
        <f>HYPERLINK("https://klasma.github.io/Logging_2425/tillsynsmail/A 2227-2024 tillsynsbegäran mail.docx", "A 2227-2024")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45570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45570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45570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45570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45570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45570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45570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54981-2021</t>
        </is>
      </c>
      <c r="B12" s="1" t="n">
        <v>44474</v>
      </c>
      <c r="C12" s="1" t="n">
        <v>45570</v>
      </c>
      <c r="D12" t="inlineStr">
        <is>
          <t>VÄSTERBOTTENS LÄN</t>
        </is>
      </c>
      <c r="E12" t="inlineStr">
        <is>
          <t>DOROTEA</t>
        </is>
      </c>
      <c r="F12" t="inlineStr">
        <is>
          <t>Övriga statliga verk och myndigheter</t>
        </is>
      </c>
      <c r="G12" t="n">
        <v>15.6</v>
      </c>
      <c r="H12" t="n">
        <v>0</v>
      </c>
      <c r="I12" t="n">
        <v>0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5</v>
      </c>
      <c r="R12" s="2" t="inlineStr">
        <is>
          <t>Urskogsporing
Gräddporing
Lateritticka
Nordtagging
Stjärntagging</t>
        </is>
      </c>
      <c r="S12">
        <f>HYPERLINK("https://klasma.github.io/Logging_2425/artfynd/A 54981-2021 artfynd.xlsx", "A 54981-2021")</f>
        <v/>
      </c>
      <c r="T12">
        <f>HYPERLINK("https://klasma.github.io/Logging_2425/kartor/A 54981-2021 karta.png", "A 54981-2021")</f>
        <v/>
      </c>
      <c r="V12">
        <f>HYPERLINK("https://klasma.github.io/Logging_2425/klagomål/A 54981-2021 FSC-klagomål.docx", "A 54981-2021")</f>
        <v/>
      </c>
      <c r="W12">
        <f>HYPERLINK("https://klasma.github.io/Logging_2425/klagomålsmail/A 54981-2021 FSC-klagomål mail.docx", "A 54981-2021")</f>
        <v/>
      </c>
      <c r="X12">
        <f>HYPERLINK("https://klasma.github.io/Logging_2425/tillsyn/A 54981-2021 tillsynsbegäran.docx", "A 54981-2021")</f>
        <v/>
      </c>
      <c r="Y12">
        <f>HYPERLINK("https://klasma.github.io/Logging_2425/tillsynsmail/A 54981-2021 tillsynsbegäran mail.docx", "A 54981-2021")</f>
        <v/>
      </c>
    </row>
    <row r="13" ht="15" customHeight="1">
      <c r="A13" t="inlineStr">
        <is>
          <t>A 9196-2022</t>
        </is>
      </c>
      <c r="B13" s="1" t="n">
        <v>44615</v>
      </c>
      <c r="C13" s="1" t="n">
        <v>45570</v>
      </c>
      <c r="D13" t="inlineStr">
        <is>
          <t>VÄSTERBOTTENS LÄN</t>
        </is>
      </c>
      <c r="E13" t="inlineStr">
        <is>
          <t>DOROTEA</t>
        </is>
      </c>
      <c r="G13" t="n">
        <v>12.7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Gränsticka
Rosenticka
Ullticka
Vedticka</t>
        </is>
      </c>
      <c r="S13">
        <f>HYPERLINK("https://klasma.github.io/Logging_2425/artfynd/A 9196-2022 artfynd.xlsx", "A 9196-2022")</f>
        <v/>
      </c>
      <c r="T13">
        <f>HYPERLINK("https://klasma.github.io/Logging_2425/kartor/A 9196-2022 karta.png", "A 9196-2022")</f>
        <v/>
      </c>
      <c r="V13">
        <f>HYPERLINK("https://klasma.github.io/Logging_2425/klagomål/A 9196-2022 FSC-klagomål.docx", "A 9196-2022")</f>
        <v/>
      </c>
      <c r="W13">
        <f>HYPERLINK("https://klasma.github.io/Logging_2425/klagomålsmail/A 9196-2022 FSC-klagomål mail.docx", "A 9196-2022")</f>
        <v/>
      </c>
      <c r="X13">
        <f>HYPERLINK("https://klasma.github.io/Logging_2425/tillsyn/A 9196-2022 tillsynsbegäran.docx", "A 9196-2022")</f>
        <v/>
      </c>
      <c r="Y13">
        <f>HYPERLINK("https://klasma.github.io/Logging_2425/tillsynsmail/A 9196-2022 tillsynsbegäran mail.docx", "A 9196-2022")</f>
        <v/>
      </c>
    </row>
    <row r="14" ht="15" customHeight="1">
      <c r="A14" t="inlineStr">
        <is>
          <t>A 47955-2022</t>
        </is>
      </c>
      <c r="B14" s="1" t="n">
        <v>44853</v>
      </c>
      <c r="C14" s="1" t="n">
        <v>45570</v>
      </c>
      <c r="D14" t="inlineStr">
        <is>
          <t>VÄSTERBOTTENS LÄN</t>
        </is>
      </c>
      <c r="E14" t="inlineStr">
        <is>
          <t>DOROTEA</t>
        </is>
      </c>
      <c r="G14" t="n">
        <v>16.3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Doftskinn
Granticka
Gränsticka
Harticka
Ullticka</t>
        </is>
      </c>
      <c r="S14">
        <f>HYPERLINK("https://klasma.github.io/Logging_2425/artfynd/A 47955-2022 artfynd.xlsx", "A 47955-2022")</f>
        <v/>
      </c>
      <c r="T14">
        <f>HYPERLINK("https://klasma.github.io/Logging_2425/kartor/A 47955-2022 karta.png", "A 47955-2022")</f>
        <v/>
      </c>
      <c r="V14">
        <f>HYPERLINK("https://klasma.github.io/Logging_2425/klagomål/A 47955-2022 FSC-klagomål.docx", "A 47955-2022")</f>
        <v/>
      </c>
      <c r="W14">
        <f>HYPERLINK("https://klasma.github.io/Logging_2425/klagomålsmail/A 47955-2022 FSC-klagomål mail.docx", "A 47955-2022")</f>
        <v/>
      </c>
      <c r="X14">
        <f>HYPERLINK("https://klasma.github.io/Logging_2425/tillsyn/A 47955-2022 tillsynsbegäran.docx", "A 47955-2022")</f>
        <v/>
      </c>
      <c r="Y14">
        <f>HYPERLINK("https://klasma.github.io/Logging_2425/tillsynsmail/A 47955-2022 tillsynsbegäran mail.docx", "A 47955-2022")</f>
        <v/>
      </c>
    </row>
    <row r="15" ht="15" customHeight="1">
      <c r="A15" t="inlineStr">
        <is>
          <t>A 54047-2023</t>
        </is>
      </c>
      <c r="B15" s="1" t="n">
        <v>45231</v>
      </c>
      <c r="C15" s="1" t="n">
        <v>45570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Skrovellav
Tretåig hackspett
Luddlav</t>
        </is>
      </c>
      <c r="S15">
        <f>HYPERLINK("https://klasma.github.io/Logging_2425/artfynd/A 54047-2023 artfynd.xlsx", "A 54047-2023")</f>
        <v/>
      </c>
      <c r="T15">
        <f>HYPERLINK("https://klasma.github.io/Logging_2425/kartor/A 54047-2023 karta.png", "A 54047-2023")</f>
        <v/>
      </c>
      <c r="V15">
        <f>HYPERLINK("https://klasma.github.io/Logging_2425/klagomål/A 54047-2023 FSC-klagomål.docx", "A 54047-2023")</f>
        <v/>
      </c>
      <c r="W15">
        <f>HYPERLINK("https://klasma.github.io/Logging_2425/klagomålsmail/A 54047-2023 FSC-klagomål mail.docx", "A 54047-2023")</f>
        <v/>
      </c>
      <c r="X15">
        <f>HYPERLINK("https://klasma.github.io/Logging_2425/tillsyn/A 54047-2023 tillsynsbegäran.docx", "A 54047-2023")</f>
        <v/>
      </c>
      <c r="Y15">
        <f>HYPERLINK("https://klasma.github.io/Logging_2425/tillsynsmail/A 54047-2023 tillsynsbegäran mail.docx", "A 54047-2023")</f>
        <v/>
      </c>
      <c r="Z15">
        <f>HYPERLINK("https://klasma.github.io/Logging_2425/fåglar/A 54047-2023 prioriterade fågelarter.docx", "A 54047-2023")</f>
        <v/>
      </c>
    </row>
    <row r="16" ht="15" customHeight="1">
      <c r="A16" t="inlineStr">
        <is>
          <t>A 11338-2024</t>
        </is>
      </c>
      <c r="B16" s="1" t="n">
        <v>45372</v>
      </c>
      <c r="C16" s="1" t="n">
        <v>45570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15.3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Granticka
Lunglav
Spindelblomster
Stuplav
Tibast</t>
        </is>
      </c>
      <c r="S16">
        <f>HYPERLINK("https://klasma.github.io/Logging_2425/artfynd/A 11338-2024 artfynd.xlsx", "A 11338-2024")</f>
        <v/>
      </c>
      <c r="T16">
        <f>HYPERLINK("https://klasma.github.io/Logging_2425/kartor/A 11338-2024 karta.png", "A 11338-2024")</f>
        <v/>
      </c>
      <c r="V16">
        <f>HYPERLINK("https://klasma.github.io/Logging_2425/klagomål/A 11338-2024 FSC-klagomål.docx", "A 11338-2024")</f>
        <v/>
      </c>
      <c r="W16">
        <f>HYPERLINK("https://klasma.github.io/Logging_2425/klagomålsmail/A 11338-2024 FSC-klagomål mail.docx", "A 11338-2024")</f>
        <v/>
      </c>
      <c r="X16">
        <f>HYPERLINK("https://klasma.github.io/Logging_2425/tillsyn/A 11338-2024 tillsynsbegäran.docx", "A 11338-2024")</f>
        <v/>
      </c>
      <c r="Y16">
        <f>HYPERLINK("https://klasma.github.io/Logging_2425/tillsynsmail/A 11338-2024 tillsynsbegäran mail.docx", "A 11338-2024")</f>
        <v/>
      </c>
    </row>
    <row r="17" ht="15" customHeight="1">
      <c r="A17" t="inlineStr">
        <is>
          <t>A 22947-2024</t>
        </is>
      </c>
      <c r="B17" s="1" t="n">
        <v>45448</v>
      </c>
      <c r="C17" s="1" t="n">
        <v>45570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6.7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Gränsticka
Lunglav
Skrovellav
Stuplav</t>
        </is>
      </c>
      <c r="S17">
        <f>HYPERLINK("https://klasma.github.io/Logging_2425/artfynd/A 22947-2024 artfynd.xlsx", "A 22947-2024")</f>
        <v/>
      </c>
      <c r="T17">
        <f>HYPERLINK("https://klasma.github.io/Logging_2425/kartor/A 22947-2024 karta.png", "A 22947-2024")</f>
        <v/>
      </c>
      <c r="V17">
        <f>HYPERLINK("https://klasma.github.io/Logging_2425/klagomål/A 22947-2024 FSC-klagomål.docx", "A 22947-2024")</f>
        <v/>
      </c>
      <c r="W17">
        <f>HYPERLINK("https://klasma.github.io/Logging_2425/klagomålsmail/A 22947-2024 FSC-klagomål mail.docx", "A 22947-2024")</f>
        <v/>
      </c>
      <c r="X17">
        <f>HYPERLINK("https://klasma.github.io/Logging_2425/tillsyn/A 22947-2024 tillsynsbegäran.docx", "A 22947-2024")</f>
        <v/>
      </c>
      <c r="Y17">
        <f>HYPERLINK("https://klasma.github.io/Logging_2425/tillsynsmail/A 22947-2024 tillsynsbegäran mail.docx", "A 22947-2024")</f>
        <v/>
      </c>
    </row>
    <row r="18" ht="15" customHeight="1">
      <c r="A18" t="inlineStr">
        <is>
          <t>A 60124-2021</t>
        </is>
      </c>
      <c r="B18" s="1" t="n">
        <v>44494</v>
      </c>
      <c r="C18" s="1" t="n">
        <v>45570</v>
      </c>
      <c r="D18" t="inlineStr">
        <is>
          <t>VÄSTERBOTTENS LÄN</t>
        </is>
      </c>
      <c r="E18" t="inlineStr">
        <is>
          <t>DOROTEA</t>
        </is>
      </c>
      <c r="G18" t="n">
        <v>22.6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Harticka
Lunglav
Stuplav
Trådticka</t>
        </is>
      </c>
      <c r="S18">
        <f>HYPERLINK("https://klasma.github.io/Logging_2425/artfynd/A 60124-2021 artfynd.xlsx", "A 60124-2021")</f>
        <v/>
      </c>
      <c r="T18">
        <f>HYPERLINK("https://klasma.github.io/Logging_2425/kartor/A 60124-2021 karta.png", "A 60124-2021")</f>
        <v/>
      </c>
      <c r="V18">
        <f>HYPERLINK("https://klasma.github.io/Logging_2425/klagomål/A 60124-2021 FSC-klagomål.docx", "A 60124-2021")</f>
        <v/>
      </c>
      <c r="W18">
        <f>HYPERLINK("https://klasma.github.io/Logging_2425/klagomålsmail/A 60124-2021 FSC-klagomål mail.docx", "A 60124-2021")</f>
        <v/>
      </c>
      <c r="X18">
        <f>HYPERLINK("https://klasma.github.io/Logging_2425/tillsyn/A 60124-2021 tillsynsbegäran.docx", "A 60124-2021")</f>
        <v/>
      </c>
      <c r="Y18">
        <f>HYPERLINK("https://klasma.github.io/Logging_2425/tillsynsmail/A 60124-2021 tillsynsbegäran mail.docx", "A 60124-2021")</f>
        <v/>
      </c>
    </row>
    <row r="19" ht="15" customHeight="1">
      <c r="A19" t="inlineStr">
        <is>
          <t>A 4828-2023</t>
        </is>
      </c>
      <c r="B19" s="1" t="n">
        <v>44957</v>
      </c>
      <c r="C19" s="1" t="n">
        <v>45570</v>
      </c>
      <c r="D19" t="inlineStr">
        <is>
          <t>VÄSTERBOTTENS LÄN</t>
        </is>
      </c>
      <c r="E19" t="inlineStr">
        <is>
          <t>DOROTEA</t>
        </is>
      </c>
      <c r="G19" t="n">
        <v>8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Granticka
Vitgrynig nållav
Spindelblomster</t>
        </is>
      </c>
      <c r="S19">
        <f>HYPERLINK("https://klasma.github.io/Logging_2425/artfynd/A 4828-2023 artfynd.xlsx", "A 4828-2023")</f>
        <v/>
      </c>
      <c r="T19">
        <f>HYPERLINK("https://klasma.github.io/Logging_2425/kartor/A 4828-2023 karta.png", "A 4828-2023")</f>
        <v/>
      </c>
      <c r="V19">
        <f>HYPERLINK("https://klasma.github.io/Logging_2425/klagomål/A 4828-2023 FSC-klagomål.docx", "A 4828-2023")</f>
        <v/>
      </c>
      <c r="W19">
        <f>HYPERLINK("https://klasma.github.io/Logging_2425/klagomålsmail/A 4828-2023 FSC-klagomål mail.docx", "A 4828-2023")</f>
        <v/>
      </c>
      <c r="X19">
        <f>HYPERLINK("https://klasma.github.io/Logging_2425/tillsyn/A 4828-2023 tillsynsbegäran.docx", "A 4828-2023")</f>
        <v/>
      </c>
      <c r="Y19">
        <f>HYPERLINK("https://klasma.github.io/Logging_2425/tillsynsmail/A 4828-2023 tillsynsbegäran mail.docx", "A 4828-2023")</f>
        <v/>
      </c>
    </row>
    <row r="20" ht="15" customHeight="1">
      <c r="A20" t="inlineStr">
        <is>
          <t>A 23555-2024</t>
        </is>
      </c>
      <c r="B20" s="1" t="n">
        <v>45453</v>
      </c>
      <c r="C20" s="1" t="n">
        <v>45570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16.3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Vanlig groda
Fläcknycklar</t>
        </is>
      </c>
      <c r="S20">
        <f>HYPERLINK("https://klasma.github.io/Logging_2425/artfynd/A 23555-2024 artfynd.xlsx", "A 23555-2024")</f>
        <v/>
      </c>
      <c r="T20">
        <f>HYPERLINK("https://klasma.github.io/Logging_2425/kartor/A 23555-2024 karta.png", "A 23555-2024")</f>
        <v/>
      </c>
      <c r="V20">
        <f>HYPERLINK("https://klasma.github.io/Logging_2425/klagomål/A 23555-2024 FSC-klagomål.docx", "A 23555-2024")</f>
        <v/>
      </c>
      <c r="W20">
        <f>HYPERLINK("https://klasma.github.io/Logging_2425/klagomålsmail/A 23555-2024 FSC-klagomål mail.docx", "A 23555-2024")</f>
        <v/>
      </c>
      <c r="X20">
        <f>HYPERLINK("https://klasma.github.io/Logging_2425/tillsyn/A 23555-2024 tillsynsbegäran.docx", "A 23555-2024")</f>
        <v/>
      </c>
      <c r="Y20">
        <f>HYPERLINK("https://klasma.github.io/Logging_2425/tillsynsmail/A 23555-2024 tillsynsbegäran mail.docx", "A 23555-2024")</f>
        <v/>
      </c>
    </row>
    <row r="21" ht="15" customHeight="1">
      <c r="A21" t="inlineStr">
        <is>
          <t>A 51376-2020</t>
        </is>
      </c>
      <c r="B21" s="1" t="n">
        <v>44112</v>
      </c>
      <c r="C21" s="1" t="n">
        <v>45570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Harticka
Knottrig blåslav</t>
        </is>
      </c>
      <c r="S21">
        <f>HYPERLINK("https://klasma.github.io/Logging_2425/artfynd/A 51376-2020 artfynd.xlsx", "A 51376-2020")</f>
        <v/>
      </c>
      <c r="T21">
        <f>HYPERLINK("https://klasma.github.io/Logging_2425/kartor/A 51376-2020 karta.png", "A 51376-2020")</f>
        <v/>
      </c>
      <c r="V21">
        <f>HYPERLINK("https://klasma.github.io/Logging_2425/klagomål/A 51376-2020 FSC-klagomål.docx", "A 51376-2020")</f>
        <v/>
      </c>
      <c r="W21">
        <f>HYPERLINK("https://klasma.github.io/Logging_2425/klagomålsmail/A 51376-2020 FSC-klagomål mail.docx", "A 51376-2020")</f>
        <v/>
      </c>
      <c r="X21">
        <f>HYPERLINK("https://klasma.github.io/Logging_2425/tillsyn/A 51376-2020 tillsynsbegäran.docx", "A 51376-2020")</f>
        <v/>
      </c>
      <c r="Y21">
        <f>HYPERLINK("https://klasma.github.io/Logging_2425/tillsynsmail/A 51376-2020 tillsynsbegäran mail.docx", "A 51376-2020")</f>
        <v/>
      </c>
    </row>
    <row r="22" ht="15" customHeight="1">
      <c r="A22" t="inlineStr">
        <is>
          <t>A 21672-2023</t>
        </is>
      </c>
      <c r="B22" s="1" t="n">
        <v>45063</v>
      </c>
      <c r="C22" s="1" t="n">
        <v>45570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7.4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Doftskinn
Skrovellav
Ullticka</t>
        </is>
      </c>
      <c r="S22">
        <f>HYPERLINK("https://klasma.github.io/Logging_2425/artfynd/A 21672-2023 artfynd.xlsx", "A 21672-2023")</f>
        <v/>
      </c>
      <c r="T22">
        <f>HYPERLINK("https://klasma.github.io/Logging_2425/kartor/A 21672-2023 karta.png", "A 21672-2023")</f>
        <v/>
      </c>
      <c r="V22">
        <f>HYPERLINK("https://klasma.github.io/Logging_2425/klagomål/A 21672-2023 FSC-klagomål.docx", "A 21672-2023")</f>
        <v/>
      </c>
      <c r="W22">
        <f>HYPERLINK("https://klasma.github.io/Logging_2425/klagomålsmail/A 21672-2023 FSC-klagomål mail.docx", "A 21672-2023")</f>
        <v/>
      </c>
      <c r="X22">
        <f>HYPERLINK("https://klasma.github.io/Logging_2425/tillsyn/A 21672-2023 tillsynsbegäran.docx", "A 21672-2023")</f>
        <v/>
      </c>
      <c r="Y22">
        <f>HYPERLINK("https://klasma.github.io/Logging_2425/tillsynsmail/A 21672-2023 tillsynsbegäran mail.docx", "A 21672-2023")</f>
        <v/>
      </c>
    </row>
    <row r="23" ht="15" customHeight="1">
      <c r="A23" t="inlineStr">
        <is>
          <t>A 47496-2023</t>
        </is>
      </c>
      <c r="B23" s="1" t="n">
        <v>45202</v>
      </c>
      <c r="C23" s="1" t="n">
        <v>45570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7.4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Aspgelélav
Gammelgransskål
Tretåig hackspett</t>
        </is>
      </c>
      <c r="S23">
        <f>HYPERLINK("https://klasma.github.io/Logging_2425/artfynd/A 47496-2023 artfynd.xlsx", "A 47496-2023")</f>
        <v/>
      </c>
      <c r="T23">
        <f>HYPERLINK("https://klasma.github.io/Logging_2425/kartor/A 47496-2023 karta.png", "A 47496-2023")</f>
        <v/>
      </c>
      <c r="V23">
        <f>HYPERLINK("https://klasma.github.io/Logging_2425/klagomål/A 47496-2023 FSC-klagomål.docx", "A 47496-2023")</f>
        <v/>
      </c>
      <c r="W23">
        <f>HYPERLINK("https://klasma.github.io/Logging_2425/klagomålsmail/A 47496-2023 FSC-klagomål mail.docx", "A 47496-2023")</f>
        <v/>
      </c>
      <c r="X23">
        <f>HYPERLINK("https://klasma.github.io/Logging_2425/tillsyn/A 47496-2023 tillsynsbegäran.docx", "A 47496-2023")</f>
        <v/>
      </c>
      <c r="Y23">
        <f>HYPERLINK("https://klasma.github.io/Logging_2425/tillsynsmail/A 47496-2023 tillsynsbegäran mail.docx", "A 47496-2023")</f>
        <v/>
      </c>
      <c r="Z23">
        <f>HYPERLINK("https://klasma.github.io/Logging_2425/fåglar/A 47496-2023 prioriterade fågelarter.docx", "A 47496-2023")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45570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Luddlav
Stuplav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</row>
    <row r="25" ht="15" customHeight="1">
      <c r="A25" t="inlineStr">
        <is>
          <t>A 65569-2019</t>
        </is>
      </c>
      <c r="B25" s="1" t="n">
        <v>43803</v>
      </c>
      <c r="C25" s="1" t="n">
        <v>45570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Knottrig blåslav</t>
        </is>
      </c>
      <c r="S25">
        <f>HYPERLINK("https://klasma.github.io/Logging_2425/artfynd/A 65569-2019 artfynd.xlsx", "A 65569-2019")</f>
        <v/>
      </c>
      <c r="T25">
        <f>HYPERLINK("https://klasma.github.io/Logging_2425/kartor/A 65569-2019 karta.png", "A 65569-2019")</f>
        <v/>
      </c>
      <c r="V25">
        <f>HYPERLINK("https://klasma.github.io/Logging_2425/klagomål/A 65569-2019 FSC-klagomål.docx", "A 65569-2019")</f>
        <v/>
      </c>
      <c r="W25">
        <f>HYPERLINK("https://klasma.github.io/Logging_2425/klagomålsmail/A 65569-2019 FSC-klagomål mail.docx", "A 65569-2019")</f>
        <v/>
      </c>
      <c r="X25">
        <f>HYPERLINK("https://klasma.github.io/Logging_2425/tillsyn/A 65569-2019 tillsynsbegäran.docx", "A 65569-2019")</f>
        <v/>
      </c>
      <c r="Y25">
        <f>HYPERLINK("https://klasma.github.io/Logging_2425/tillsynsmail/A 65569-2019 tillsynsbegäran mail.docx", "A 65569-2019")</f>
        <v/>
      </c>
    </row>
    <row r="26" ht="15" customHeight="1">
      <c r="A26" t="inlineStr">
        <is>
          <t>A 65564-2019</t>
        </is>
      </c>
      <c r="B26" s="1" t="n">
        <v>43803</v>
      </c>
      <c r="C26" s="1" t="n">
        <v>45570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Doftskinn
Knottrig blåslav</t>
        </is>
      </c>
      <c r="S26">
        <f>HYPERLINK("https://klasma.github.io/Logging_2425/artfynd/A 65564-2019 artfynd.xlsx", "A 65564-2019")</f>
        <v/>
      </c>
      <c r="T26">
        <f>HYPERLINK("https://klasma.github.io/Logging_2425/kartor/A 65564-2019 karta.png", "A 65564-2019")</f>
        <v/>
      </c>
      <c r="V26">
        <f>HYPERLINK("https://klasma.github.io/Logging_2425/klagomål/A 65564-2019 FSC-klagomål.docx", "A 65564-2019")</f>
        <v/>
      </c>
      <c r="W26">
        <f>HYPERLINK("https://klasma.github.io/Logging_2425/klagomålsmail/A 65564-2019 FSC-klagomål mail.docx", "A 65564-2019")</f>
        <v/>
      </c>
      <c r="X26">
        <f>HYPERLINK("https://klasma.github.io/Logging_2425/tillsyn/A 65564-2019 tillsynsbegäran.docx", "A 65564-2019")</f>
        <v/>
      </c>
      <c r="Y26">
        <f>HYPERLINK("https://klasma.github.io/Logging_2425/tillsynsmail/A 65564-2019 tillsynsbegäran mail.docx", "A 65564-2019")</f>
        <v/>
      </c>
    </row>
    <row r="27" ht="15" customHeight="1">
      <c r="A27" t="inlineStr">
        <is>
          <t>A 20878-2020</t>
        </is>
      </c>
      <c r="B27" s="1" t="n">
        <v>43949</v>
      </c>
      <c r="C27" s="1" t="n">
        <v>45570</v>
      </c>
      <c r="D27" t="inlineStr">
        <is>
          <t>VÄSTERBOTTENS LÄN</t>
        </is>
      </c>
      <c r="E27" t="inlineStr">
        <is>
          <t>DOROTEA</t>
        </is>
      </c>
      <c r="G27" t="n">
        <v>8.800000000000001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20878-2020 artfynd.xlsx", "A 20878-2020")</f>
        <v/>
      </c>
      <c r="T27">
        <f>HYPERLINK("https://klasma.github.io/Logging_2425/kartor/A 20878-2020 karta.png", "A 20878-2020")</f>
        <v/>
      </c>
      <c r="V27">
        <f>HYPERLINK("https://klasma.github.io/Logging_2425/klagomål/A 20878-2020 FSC-klagomål.docx", "A 20878-2020")</f>
        <v/>
      </c>
      <c r="W27">
        <f>HYPERLINK("https://klasma.github.io/Logging_2425/klagomålsmail/A 20878-2020 FSC-klagomål mail.docx", "A 20878-2020")</f>
        <v/>
      </c>
      <c r="X27">
        <f>HYPERLINK("https://klasma.github.io/Logging_2425/tillsyn/A 20878-2020 tillsynsbegäran.docx", "A 20878-2020")</f>
        <v/>
      </c>
      <c r="Y27">
        <f>HYPERLINK("https://klasma.github.io/Logging_2425/tillsynsmail/A 20878-2020 tillsynsbegäran mail.docx", "A 20878-2020")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45570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58736-2022</t>
        </is>
      </c>
      <c r="B29" s="1" t="n">
        <v>44902</v>
      </c>
      <c r="C29" s="1" t="n">
        <v>45570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Skrovellav</t>
        </is>
      </c>
      <c r="S29">
        <f>HYPERLINK("https://klasma.github.io/Logging_2425/artfynd/A 58736-2022 artfynd.xlsx", "A 58736-2022")</f>
        <v/>
      </c>
      <c r="T29">
        <f>HYPERLINK("https://klasma.github.io/Logging_2425/kartor/A 58736-2022 karta.png", "A 58736-2022")</f>
        <v/>
      </c>
      <c r="V29">
        <f>HYPERLINK("https://klasma.github.io/Logging_2425/klagomål/A 58736-2022 FSC-klagomål.docx", "A 58736-2022")</f>
        <v/>
      </c>
      <c r="W29">
        <f>HYPERLINK("https://klasma.github.io/Logging_2425/klagomålsmail/A 58736-2022 FSC-klagomål mail.docx", "A 58736-2022")</f>
        <v/>
      </c>
      <c r="X29">
        <f>HYPERLINK("https://klasma.github.io/Logging_2425/tillsyn/A 58736-2022 tillsynsbegäran.docx", "A 58736-2022")</f>
        <v/>
      </c>
      <c r="Y29">
        <f>HYPERLINK("https://klasma.github.io/Logging_2425/tillsynsmail/A 58736-2022 tillsynsbegäran mail.docx", "A 58736-2022")</f>
        <v/>
      </c>
    </row>
    <row r="30" ht="15" customHeight="1">
      <c r="A30" t="inlineStr">
        <is>
          <t>A 33663-2023</t>
        </is>
      </c>
      <c r="B30" s="1" t="n">
        <v>45119</v>
      </c>
      <c r="C30" s="1" t="n">
        <v>45570</v>
      </c>
      <c r="D30" t="inlineStr">
        <is>
          <t>VÄSTERBOTTENS LÄN</t>
        </is>
      </c>
      <c r="E30" t="inlineStr">
        <is>
          <t>DOROTEA</t>
        </is>
      </c>
      <c r="F30" t="inlineStr">
        <is>
          <t>Allmännings- och besparingsskogar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Harticka</t>
        </is>
      </c>
      <c r="S30">
        <f>HYPERLINK("https://klasma.github.io/Logging_2425/artfynd/A 33663-2023 artfynd.xlsx", "A 33663-2023")</f>
        <v/>
      </c>
      <c r="T30">
        <f>HYPERLINK("https://klasma.github.io/Logging_2425/kartor/A 33663-2023 karta.png", "A 33663-2023")</f>
        <v/>
      </c>
      <c r="V30">
        <f>HYPERLINK("https://klasma.github.io/Logging_2425/klagomål/A 33663-2023 FSC-klagomål.docx", "A 33663-2023")</f>
        <v/>
      </c>
      <c r="W30">
        <f>HYPERLINK("https://klasma.github.io/Logging_2425/klagomålsmail/A 33663-2023 FSC-klagomål mail.docx", "A 33663-2023")</f>
        <v/>
      </c>
      <c r="X30">
        <f>HYPERLINK("https://klasma.github.io/Logging_2425/tillsyn/A 33663-2023 tillsynsbegäran.docx", "A 33663-2023")</f>
        <v/>
      </c>
      <c r="Y30">
        <f>HYPERLINK("https://klasma.github.io/Logging_2425/tillsynsmail/A 33663-2023 tillsynsbegäran mail.docx", "A 33663-2023")</f>
        <v/>
      </c>
    </row>
    <row r="31" ht="15" customHeight="1">
      <c r="A31" t="inlineStr">
        <is>
          <t>A 35988-2023</t>
        </is>
      </c>
      <c r="B31" s="1" t="n">
        <v>45148</v>
      </c>
      <c r="C31" s="1" t="n">
        <v>45570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Luddfingersvamp
Ögonpyrola</t>
        </is>
      </c>
      <c r="S31">
        <f>HYPERLINK("https://klasma.github.io/Logging_2425/artfynd/A 35988-2023 artfynd.xlsx", "A 35988-2023")</f>
        <v/>
      </c>
      <c r="T31">
        <f>HYPERLINK("https://klasma.github.io/Logging_2425/kartor/A 35988-2023 karta.png", "A 35988-2023")</f>
        <v/>
      </c>
      <c r="V31">
        <f>HYPERLINK("https://klasma.github.io/Logging_2425/klagomål/A 35988-2023 FSC-klagomål.docx", "A 35988-2023")</f>
        <v/>
      </c>
      <c r="W31">
        <f>HYPERLINK("https://klasma.github.io/Logging_2425/klagomålsmail/A 35988-2023 FSC-klagomål mail.docx", "A 35988-2023")</f>
        <v/>
      </c>
      <c r="X31">
        <f>HYPERLINK("https://klasma.github.io/Logging_2425/tillsyn/A 35988-2023 tillsynsbegäran.docx", "A 35988-2023")</f>
        <v/>
      </c>
      <c r="Y31">
        <f>HYPERLINK("https://klasma.github.io/Logging_2425/tillsynsmail/A 35988-2023 tillsynsbegäran mail.docx", "A 35988-2023")</f>
        <v/>
      </c>
    </row>
    <row r="32" ht="15" customHeight="1">
      <c r="A32" t="inlineStr">
        <is>
          <t>A 37542-2023</t>
        </is>
      </c>
      <c r="B32" s="1" t="n">
        <v>45158</v>
      </c>
      <c r="C32" s="1" t="n">
        <v>45570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Tibast</t>
        </is>
      </c>
      <c r="S32">
        <f>HYPERLINK("https://klasma.github.io/Logging_2425/artfynd/A 37542-2023 artfynd.xlsx", "A 37542-2023")</f>
        <v/>
      </c>
      <c r="T32">
        <f>HYPERLINK("https://klasma.github.io/Logging_2425/kartor/A 37542-2023 karta.png", "A 37542-2023")</f>
        <v/>
      </c>
      <c r="V32">
        <f>HYPERLINK("https://klasma.github.io/Logging_2425/klagomål/A 37542-2023 FSC-klagomål.docx", "A 37542-2023")</f>
        <v/>
      </c>
      <c r="W32">
        <f>HYPERLINK("https://klasma.github.io/Logging_2425/klagomålsmail/A 37542-2023 FSC-klagomål mail.docx", "A 37542-2023")</f>
        <v/>
      </c>
      <c r="X32">
        <f>HYPERLINK("https://klasma.github.io/Logging_2425/tillsyn/A 37542-2023 tillsynsbegäran.docx", "A 37542-2023")</f>
        <v/>
      </c>
      <c r="Y32">
        <f>HYPERLINK("https://klasma.github.io/Logging_2425/tillsynsmail/A 37542-2023 tillsynsbegäran mail.docx", "A 37542-2023")</f>
        <v/>
      </c>
    </row>
    <row r="33" ht="15" customHeight="1">
      <c r="A33" t="inlineStr">
        <is>
          <t>A 52738-2023</t>
        </is>
      </c>
      <c r="B33" s="1" t="n">
        <v>45225</v>
      </c>
      <c r="C33" s="1" t="n">
        <v>45570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8.800000000000001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Doftticka
Trådticka</t>
        </is>
      </c>
      <c r="S33">
        <f>HYPERLINK("https://klasma.github.io/Logging_2425/artfynd/A 52738-2023 artfynd.xlsx", "A 52738-2023")</f>
        <v/>
      </c>
      <c r="T33">
        <f>HYPERLINK("https://klasma.github.io/Logging_2425/kartor/A 52738-2023 karta.png", "A 52738-2023")</f>
        <v/>
      </c>
      <c r="V33">
        <f>HYPERLINK("https://klasma.github.io/Logging_2425/klagomål/A 52738-2023 FSC-klagomål.docx", "A 52738-2023")</f>
        <v/>
      </c>
      <c r="W33">
        <f>HYPERLINK("https://klasma.github.io/Logging_2425/klagomålsmail/A 52738-2023 FSC-klagomål mail.docx", "A 52738-2023")</f>
        <v/>
      </c>
      <c r="X33">
        <f>HYPERLINK("https://klasma.github.io/Logging_2425/tillsyn/A 52738-2023 tillsynsbegäran.docx", "A 52738-2023")</f>
        <v/>
      </c>
      <c r="Y33">
        <f>HYPERLINK("https://klasma.github.io/Logging_2425/tillsynsmail/A 52738-2023 tillsynsbegäran mail.docx", "A 52738-2023")</f>
        <v/>
      </c>
    </row>
    <row r="34" ht="15" customHeight="1">
      <c r="A34" t="inlineStr">
        <is>
          <t>A 53753-2023</t>
        </is>
      </c>
      <c r="B34" s="1" t="n">
        <v>45230</v>
      </c>
      <c r="C34" s="1" t="n">
        <v>45570</v>
      </c>
      <c r="D34" t="inlineStr">
        <is>
          <t>VÄSTERBOTTENS LÄN</t>
        </is>
      </c>
      <c r="E34" t="inlineStr">
        <is>
          <t>DOROTEA</t>
        </is>
      </c>
      <c r="G34" t="n">
        <v>19.6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Skogsrör</t>
        </is>
      </c>
      <c r="S34">
        <f>HYPERLINK("https://klasma.github.io/Logging_2425/artfynd/A 53753-2023 artfynd.xlsx", "A 53753-2023")</f>
        <v/>
      </c>
      <c r="T34">
        <f>HYPERLINK("https://klasma.github.io/Logging_2425/kartor/A 53753-2023 karta.png", "A 53753-2023")</f>
        <v/>
      </c>
      <c r="V34">
        <f>HYPERLINK("https://klasma.github.io/Logging_2425/klagomål/A 53753-2023 FSC-klagomål.docx", "A 53753-2023")</f>
        <v/>
      </c>
      <c r="W34">
        <f>HYPERLINK("https://klasma.github.io/Logging_2425/klagomålsmail/A 53753-2023 FSC-klagomål mail.docx", "A 53753-2023")</f>
        <v/>
      </c>
      <c r="X34">
        <f>HYPERLINK("https://klasma.github.io/Logging_2425/tillsyn/A 53753-2023 tillsynsbegäran.docx", "A 53753-2023")</f>
        <v/>
      </c>
      <c r="Y34">
        <f>HYPERLINK("https://klasma.github.io/Logging_2425/tillsynsmail/A 53753-2023 tillsynsbegäran mail.docx", "A 53753-2023")</f>
        <v/>
      </c>
    </row>
    <row r="35" ht="15" customHeight="1">
      <c r="A35" t="inlineStr">
        <is>
          <t>A 1278-2024</t>
        </is>
      </c>
      <c r="B35" s="1" t="n">
        <v>45302</v>
      </c>
      <c r="C35" s="1" t="n">
        <v>45570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Gräddticka
Granticka</t>
        </is>
      </c>
      <c r="S35">
        <f>HYPERLINK("https://klasma.github.io/Logging_2425/artfynd/A 1278-2024 artfynd.xlsx", "A 1278-2024")</f>
        <v/>
      </c>
      <c r="T35">
        <f>HYPERLINK("https://klasma.github.io/Logging_2425/kartor/A 1278-2024 karta.png", "A 1278-2024")</f>
        <v/>
      </c>
      <c r="V35">
        <f>HYPERLINK("https://klasma.github.io/Logging_2425/klagomål/A 1278-2024 FSC-klagomål.docx", "A 1278-2024")</f>
        <v/>
      </c>
      <c r="W35">
        <f>HYPERLINK("https://klasma.github.io/Logging_2425/klagomålsmail/A 1278-2024 FSC-klagomål mail.docx", "A 1278-2024")</f>
        <v/>
      </c>
      <c r="X35">
        <f>HYPERLINK("https://klasma.github.io/Logging_2425/tillsyn/A 1278-2024 tillsynsbegäran.docx", "A 1278-2024")</f>
        <v/>
      </c>
      <c r="Y35">
        <f>HYPERLINK("https://klasma.github.io/Logging_2425/tillsynsmail/A 1278-2024 tillsynsbegäran mail.docx", "A 1278-2024")</f>
        <v/>
      </c>
    </row>
    <row r="36" ht="15" customHeight="1">
      <c r="A36" t="inlineStr">
        <is>
          <t>A 23064-2019</t>
        </is>
      </c>
      <c r="B36" s="1" t="n">
        <v>43591</v>
      </c>
      <c r="C36" s="1" t="n">
        <v>45570</v>
      </c>
      <c r="D36" t="inlineStr">
        <is>
          <t>VÄSTERBOTTENS LÄN</t>
        </is>
      </c>
      <c r="E36" t="inlineStr">
        <is>
          <t>DOROTEA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23064-2019 artfynd.xlsx", "A 23064-2019")</f>
        <v/>
      </c>
      <c r="T36">
        <f>HYPERLINK("https://klasma.github.io/Logging_2425/kartor/A 23064-2019 karta.png", "A 23064-2019")</f>
        <v/>
      </c>
      <c r="V36">
        <f>HYPERLINK("https://klasma.github.io/Logging_2425/klagomål/A 23064-2019 FSC-klagomål.docx", "A 23064-2019")</f>
        <v/>
      </c>
      <c r="W36">
        <f>HYPERLINK("https://klasma.github.io/Logging_2425/klagomålsmail/A 23064-2019 FSC-klagomål mail.docx", "A 23064-2019")</f>
        <v/>
      </c>
      <c r="X36">
        <f>HYPERLINK("https://klasma.github.io/Logging_2425/tillsyn/A 23064-2019 tillsynsbegäran.docx", "A 23064-2019")</f>
        <v/>
      </c>
      <c r="Y36">
        <f>HYPERLINK("https://klasma.github.io/Logging_2425/tillsynsmail/A 23064-2019 tillsynsbegäran mail.docx", "A 23064-2019")</f>
        <v/>
      </c>
    </row>
    <row r="37" ht="15" customHeight="1">
      <c r="A37" t="inlineStr">
        <is>
          <t>A 1978-2020</t>
        </is>
      </c>
      <c r="B37" s="1" t="n">
        <v>43838</v>
      </c>
      <c r="C37" s="1" t="n">
        <v>45570</v>
      </c>
      <c r="D37" t="inlineStr">
        <is>
          <t>VÄSTERBOTTENS LÄN</t>
        </is>
      </c>
      <c r="E37" t="inlineStr">
        <is>
          <t>DOROTEA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Rosenfink</t>
        </is>
      </c>
      <c r="S37">
        <f>HYPERLINK("https://klasma.github.io/Logging_2425/artfynd/A 1978-2020 artfynd.xlsx", "A 1978-2020")</f>
        <v/>
      </c>
      <c r="T37">
        <f>HYPERLINK("https://klasma.github.io/Logging_2425/kartor/A 1978-2020 karta.png", "A 1978-2020")</f>
        <v/>
      </c>
      <c r="V37">
        <f>HYPERLINK("https://klasma.github.io/Logging_2425/klagomål/A 1978-2020 FSC-klagomål.docx", "A 1978-2020")</f>
        <v/>
      </c>
      <c r="W37">
        <f>HYPERLINK("https://klasma.github.io/Logging_2425/klagomålsmail/A 1978-2020 FSC-klagomål mail.docx", "A 1978-2020")</f>
        <v/>
      </c>
      <c r="X37">
        <f>HYPERLINK("https://klasma.github.io/Logging_2425/tillsyn/A 1978-2020 tillsynsbegäran.docx", "A 1978-2020")</f>
        <v/>
      </c>
      <c r="Y37">
        <f>HYPERLINK("https://klasma.github.io/Logging_2425/tillsynsmail/A 1978-2020 tillsynsbegäran mail.docx", "A 1978-2020")</f>
        <v/>
      </c>
      <c r="Z37">
        <f>HYPERLINK("https://klasma.github.io/Logging_2425/fåglar/A 1978-2020 prioriterade fågelarter.docx", "A 1978-2020")</f>
        <v/>
      </c>
    </row>
    <row r="38" ht="15" customHeight="1">
      <c r="A38" t="inlineStr">
        <is>
          <t>A 49683-2020</t>
        </is>
      </c>
      <c r="B38" s="1" t="n">
        <v>44104</v>
      </c>
      <c r="C38" s="1" t="n">
        <v>45570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49683-2020 artfynd.xlsx", "A 49683-2020")</f>
        <v/>
      </c>
      <c r="T38">
        <f>HYPERLINK("https://klasma.github.io/Logging_2425/kartor/A 49683-2020 karta.png", "A 49683-2020")</f>
        <v/>
      </c>
      <c r="V38">
        <f>HYPERLINK("https://klasma.github.io/Logging_2425/klagomål/A 49683-2020 FSC-klagomål.docx", "A 49683-2020")</f>
        <v/>
      </c>
      <c r="W38">
        <f>HYPERLINK("https://klasma.github.io/Logging_2425/klagomålsmail/A 49683-2020 FSC-klagomål mail.docx", "A 49683-2020")</f>
        <v/>
      </c>
      <c r="X38">
        <f>HYPERLINK("https://klasma.github.io/Logging_2425/tillsyn/A 49683-2020 tillsynsbegäran.docx", "A 49683-2020")</f>
        <v/>
      </c>
      <c r="Y38">
        <f>HYPERLINK("https://klasma.github.io/Logging_2425/tillsynsmail/A 49683-2020 tillsynsbegäran mail.docx", "A 49683-2020")</f>
        <v/>
      </c>
    </row>
    <row r="39" ht="15" customHeight="1">
      <c r="A39" t="inlineStr">
        <is>
          <t>A 44036-2022</t>
        </is>
      </c>
      <c r="B39" s="1" t="n">
        <v>44838</v>
      </c>
      <c r="C39" s="1" t="n">
        <v>45570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44036-2022 artfynd.xlsx", "A 44036-2022")</f>
        <v/>
      </c>
      <c r="T39">
        <f>HYPERLINK("https://klasma.github.io/Logging_2425/kartor/A 44036-2022 karta.png", "A 44036-2022")</f>
        <v/>
      </c>
      <c r="V39">
        <f>HYPERLINK("https://klasma.github.io/Logging_2425/klagomål/A 44036-2022 FSC-klagomål.docx", "A 44036-2022")</f>
        <v/>
      </c>
      <c r="W39">
        <f>HYPERLINK("https://klasma.github.io/Logging_2425/klagomålsmail/A 44036-2022 FSC-klagomål mail.docx", "A 44036-2022")</f>
        <v/>
      </c>
      <c r="X39">
        <f>HYPERLINK("https://klasma.github.io/Logging_2425/tillsyn/A 44036-2022 tillsynsbegäran.docx", "A 44036-2022")</f>
        <v/>
      </c>
      <c r="Y39">
        <f>HYPERLINK("https://klasma.github.io/Logging_2425/tillsynsmail/A 44036-2022 tillsynsbegäran mail.docx", "A 44036-2022")</f>
        <v/>
      </c>
    </row>
    <row r="40" ht="15" customHeight="1">
      <c r="A40" t="inlineStr">
        <is>
          <t>A 44389-2022</t>
        </is>
      </c>
      <c r="B40" s="1" t="n">
        <v>44838</v>
      </c>
      <c r="C40" s="1" t="n">
        <v>45570</v>
      </c>
      <c r="D40" t="inlineStr">
        <is>
          <t>VÄSTERBOTTENS LÄN</t>
        </is>
      </c>
      <c r="E40" t="inlineStr">
        <is>
          <t>DOROTEA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44389-2022 artfynd.xlsx", "A 44389-2022")</f>
        <v/>
      </c>
      <c r="T40">
        <f>HYPERLINK("https://klasma.github.io/Logging_2425/kartor/A 44389-2022 karta.png", "A 44389-2022")</f>
        <v/>
      </c>
      <c r="V40">
        <f>HYPERLINK("https://klasma.github.io/Logging_2425/klagomål/A 44389-2022 FSC-klagomål.docx", "A 44389-2022")</f>
        <v/>
      </c>
      <c r="W40">
        <f>HYPERLINK("https://klasma.github.io/Logging_2425/klagomålsmail/A 44389-2022 FSC-klagomål mail.docx", "A 44389-2022")</f>
        <v/>
      </c>
      <c r="X40">
        <f>HYPERLINK("https://klasma.github.io/Logging_2425/tillsyn/A 44389-2022 tillsynsbegäran.docx", "A 44389-2022")</f>
        <v/>
      </c>
      <c r="Y40">
        <f>HYPERLINK("https://klasma.github.io/Logging_2425/tillsynsmail/A 44389-2022 tillsynsbegäran mail.docx", "A 44389-2022")</f>
        <v/>
      </c>
    </row>
    <row r="41" ht="15" customHeight="1">
      <c r="A41" t="inlineStr">
        <is>
          <t>A 48089-2022</t>
        </is>
      </c>
      <c r="B41" s="1" t="n">
        <v>44855</v>
      </c>
      <c r="C41" s="1" t="n">
        <v>45570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HYPERLINK("https://klasma.github.io/Logging_2425/artfynd/A 48089-2022 artfynd.xlsx", "A 48089-2022")</f>
        <v/>
      </c>
      <c r="T41">
        <f>HYPERLINK("https://klasma.github.io/Logging_2425/kartor/A 48089-2022 karta.png", "A 48089-2022")</f>
        <v/>
      </c>
      <c r="V41">
        <f>HYPERLINK("https://klasma.github.io/Logging_2425/klagomål/A 48089-2022 FSC-klagomål.docx", "A 48089-2022")</f>
        <v/>
      </c>
      <c r="W41">
        <f>HYPERLINK("https://klasma.github.io/Logging_2425/klagomålsmail/A 48089-2022 FSC-klagomål mail.docx", "A 48089-2022")</f>
        <v/>
      </c>
      <c r="X41">
        <f>HYPERLINK("https://klasma.github.io/Logging_2425/tillsyn/A 48089-2022 tillsynsbegäran.docx", "A 48089-2022")</f>
        <v/>
      </c>
      <c r="Y41">
        <f>HYPERLINK("https://klasma.github.io/Logging_2425/tillsynsmail/A 48089-2022 tillsynsbegäran mail.docx", "A 48089-2022")</f>
        <v/>
      </c>
    </row>
    <row r="42" ht="15" customHeight="1">
      <c r="A42" t="inlineStr">
        <is>
          <t>A 4341-2023</t>
        </is>
      </c>
      <c r="B42" s="1" t="n">
        <v>44953</v>
      </c>
      <c r="C42" s="1" t="n">
        <v>45570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4341-2023 artfynd.xlsx", "A 4341-2023")</f>
        <v/>
      </c>
      <c r="T42">
        <f>HYPERLINK("https://klasma.github.io/Logging_2425/kartor/A 4341-2023 karta.png", "A 4341-2023")</f>
        <v/>
      </c>
      <c r="V42">
        <f>HYPERLINK("https://klasma.github.io/Logging_2425/klagomål/A 4341-2023 FSC-klagomål.docx", "A 4341-2023")</f>
        <v/>
      </c>
      <c r="W42">
        <f>HYPERLINK("https://klasma.github.io/Logging_2425/klagomålsmail/A 4341-2023 FSC-klagomål mail.docx", "A 4341-2023")</f>
        <v/>
      </c>
      <c r="X42">
        <f>HYPERLINK("https://klasma.github.io/Logging_2425/tillsyn/A 4341-2023 tillsynsbegäran.docx", "A 4341-2023")</f>
        <v/>
      </c>
      <c r="Y42">
        <f>HYPERLINK("https://klasma.github.io/Logging_2425/tillsynsmail/A 4341-2023 tillsynsbegäran mail.docx", "A 4341-2023")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45570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45570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18973-2024</t>
        </is>
      </c>
      <c r="B45" s="1" t="n">
        <v>45427</v>
      </c>
      <c r="C45" s="1" t="n">
        <v>45570</v>
      </c>
      <c r="D45" t="inlineStr">
        <is>
          <t>VÄSTERBOTTENS LÄN</t>
        </is>
      </c>
      <c r="E45" t="inlineStr">
        <is>
          <t>DOROTEA</t>
        </is>
      </c>
      <c r="G45" t="n">
        <v>19.7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Brudsporre</t>
        </is>
      </c>
      <c r="S45">
        <f>HYPERLINK("https://klasma.github.io/Logging_2425/artfynd/A 18973-2024 artfynd.xlsx", "A 18973-2024")</f>
        <v/>
      </c>
      <c r="T45">
        <f>HYPERLINK("https://klasma.github.io/Logging_2425/kartor/A 18973-2024 karta.png", "A 18973-2024")</f>
        <v/>
      </c>
      <c r="V45">
        <f>HYPERLINK("https://klasma.github.io/Logging_2425/klagomål/A 18973-2024 FSC-klagomål.docx", "A 18973-2024")</f>
        <v/>
      </c>
      <c r="W45">
        <f>HYPERLINK("https://klasma.github.io/Logging_2425/klagomålsmail/A 18973-2024 FSC-klagomål mail.docx", "A 18973-2024")</f>
        <v/>
      </c>
      <c r="X45">
        <f>HYPERLINK("https://klasma.github.io/Logging_2425/tillsyn/A 18973-2024 tillsynsbegäran.docx", "A 18973-2024")</f>
        <v/>
      </c>
      <c r="Y45">
        <f>HYPERLINK("https://klasma.github.io/Logging_2425/tillsynsmail/A 18973-2024 tillsynsbegäran mail.docx", "A 18973-2024")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45570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30373-2024</t>
        </is>
      </c>
      <c r="B47" s="1" t="n">
        <v>45491</v>
      </c>
      <c r="C47" s="1" t="n">
        <v>45570</v>
      </c>
      <c r="D47" t="inlineStr">
        <is>
          <t>VÄSTERBOTTENS LÄN</t>
        </is>
      </c>
      <c r="E47" t="inlineStr">
        <is>
          <t>DOROTEA</t>
        </is>
      </c>
      <c r="F47" t="inlineStr">
        <is>
          <t>Sveaskog</t>
        </is>
      </c>
      <c r="G47" t="n">
        <v>13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HYPERLINK("https://klasma.github.io/Logging_2425/artfynd/A 30373-2024 artfynd.xlsx", "A 30373-2024")</f>
        <v/>
      </c>
      <c r="T47">
        <f>HYPERLINK("https://klasma.github.io/Logging_2425/kartor/A 30373-2024 karta.png", "A 30373-2024")</f>
        <v/>
      </c>
      <c r="V47">
        <f>HYPERLINK("https://klasma.github.io/Logging_2425/klagomål/A 30373-2024 FSC-klagomål.docx", "A 30373-2024")</f>
        <v/>
      </c>
      <c r="W47">
        <f>HYPERLINK("https://klasma.github.io/Logging_2425/klagomålsmail/A 30373-2024 FSC-klagomål mail.docx", "A 30373-2024")</f>
        <v/>
      </c>
      <c r="X47">
        <f>HYPERLINK("https://klasma.github.io/Logging_2425/tillsyn/A 30373-2024 tillsynsbegäran.docx", "A 30373-2024")</f>
        <v/>
      </c>
      <c r="Y47">
        <f>HYPERLINK("https://klasma.github.io/Logging_2425/tillsynsmail/A 30373-2024 tillsynsbegäran mail.docx", "A 30373-2024")</f>
        <v/>
      </c>
    </row>
    <row r="48" ht="15" customHeight="1">
      <c r="A48" t="inlineStr">
        <is>
          <t>A 34750-2024</t>
        </is>
      </c>
      <c r="B48" s="1" t="n">
        <v>45526</v>
      </c>
      <c r="C48" s="1" t="n">
        <v>45570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34750-2024 artfynd.xlsx", "A 34750-2024")</f>
        <v/>
      </c>
      <c r="T48">
        <f>HYPERLINK("https://klasma.github.io/Logging_2425/kartor/A 34750-2024 karta.png", "A 34750-2024")</f>
        <v/>
      </c>
      <c r="V48">
        <f>HYPERLINK("https://klasma.github.io/Logging_2425/klagomål/A 34750-2024 FSC-klagomål.docx", "A 34750-2024")</f>
        <v/>
      </c>
      <c r="W48">
        <f>HYPERLINK("https://klasma.github.io/Logging_2425/klagomålsmail/A 34750-2024 FSC-klagomål mail.docx", "A 34750-2024")</f>
        <v/>
      </c>
      <c r="X48">
        <f>HYPERLINK("https://klasma.github.io/Logging_2425/tillsyn/A 34750-2024 tillsynsbegäran.docx", "A 34750-2024")</f>
        <v/>
      </c>
      <c r="Y48">
        <f>HYPERLINK("https://klasma.github.io/Logging_2425/tillsynsmail/A 34750-2024 tillsynsbegäran mail.docx", "A 34750-2024")</f>
        <v/>
      </c>
    </row>
    <row r="49" ht="15" customHeight="1">
      <c r="A49" t="inlineStr">
        <is>
          <t>A 36318-2024</t>
        </is>
      </c>
      <c r="B49" s="1" t="n">
        <v>45534</v>
      </c>
      <c r="C49" s="1" t="n">
        <v>45570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36318-2024 artfynd.xlsx", "A 36318-2024")</f>
        <v/>
      </c>
      <c r="T49">
        <f>HYPERLINK("https://klasma.github.io/Logging_2425/kartor/A 36318-2024 karta.png", "A 36318-2024")</f>
        <v/>
      </c>
      <c r="V49">
        <f>HYPERLINK("https://klasma.github.io/Logging_2425/klagomål/A 36318-2024 FSC-klagomål.docx", "A 36318-2024")</f>
        <v/>
      </c>
      <c r="W49">
        <f>HYPERLINK("https://klasma.github.io/Logging_2425/klagomålsmail/A 36318-2024 FSC-klagomål mail.docx", "A 36318-2024")</f>
        <v/>
      </c>
      <c r="X49">
        <f>HYPERLINK("https://klasma.github.io/Logging_2425/tillsyn/A 36318-2024 tillsynsbegäran.docx", "A 36318-2024")</f>
        <v/>
      </c>
      <c r="Y49">
        <f>HYPERLINK("https://klasma.github.io/Logging_2425/tillsynsmail/A 36318-2024 tillsynsbegäran mail.docx", "A 36318-2024")</f>
        <v/>
      </c>
    </row>
    <row r="50" ht="15" customHeight="1">
      <c r="A50" t="inlineStr">
        <is>
          <t>A 18757-2019</t>
        </is>
      </c>
      <c r="B50" s="1" t="n">
        <v>43560</v>
      </c>
      <c r="C50" s="1" t="n">
        <v>45570</v>
      </c>
      <c r="D50" t="inlineStr">
        <is>
          <t>VÄSTERBOTTENS LÄN</t>
        </is>
      </c>
      <c r="E50" t="inlineStr">
        <is>
          <t>DOROTEA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19709-2019</t>
        </is>
      </c>
      <c r="B51" s="1" t="n">
        <v>43566</v>
      </c>
      <c r="C51" s="1" t="n">
        <v>45570</v>
      </c>
      <c r="D51" t="inlineStr">
        <is>
          <t>VÄSTERBOTTENS LÄN</t>
        </is>
      </c>
      <c r="E51" t="inlineStr">
        <is>
          <t>DOROTEA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22272-2019</t>
        </is>
      </c>
      <c r="B52" s="1" t="n">
        <v>43585</v>
      </c>
      <c r="C52" s="1" t="n">
        <v>45570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22590-2019</t>
        </is>
      </c>
      <c r="B53" s="1" t="n">
        <v>43587</v>
      </c>
      <c r="C53" s="1" t="n">
        <v>45570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23508-2019</t>
        </is>
      </c>
      <c r="B54" s="1" t="n">
        <v>43593</v>
      </c>
      <c r="C54" s="1" t="n">
        <v>45570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25717-2019</t>
        </is>
      </c>
      <c r="B55" s="1" t="n">
        <v>43607</v>
      </c>
      <c r="C55" s="1" t="n">
        <v>45570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26020-2019</t>
        </is>
      </c>
      <c r="B56" s="1" t="n">
        <v>43608</v>
      </c>
      <c r="C56" s="1" t="n">
        <v>45570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26019-2019</t>
        </is>
      </c>
      <c r="B57" s="1" t="n">
        <v>43608</v>
      </c>
      <c r="C57" s="1" t="n">
        <v>45570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26942-2019</t>
        </is>
      </c>
      <c r="B58" s="1" t="n">
        <v>43613</v>
      </c>
      <c r="C58" s="1" t="n">
        <v>45570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28219-2019</t>
        </is>
      </c>
      <c r="B59" s="1" t="n">
        <v>43621</v>
      </c>
      <c r="C59" s="1" t="n">
        <v>45570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30300-2019</t>
        </is>
      </c>
      <c r="B60" s="1" t="n">
        <v>43633</v>
      </c>
      <c r="C60" s="1" t="n">
        <v>45570</v>
      </c>
      <c r="D60" t="inlineStr">
        <is>
          <t>VÄSTERBOTTENS LÄN</t>
        </is>
      </c>
      <c r="E60" t="inlineStr">
        <is>
          <t>DOROTEA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32374-2019</t>
        </is>
      </c>
      <c r="B61" s="1" t="n">
        <v>43636</v>
      </c>
      <c r="C61" s="1" t="n">
        <v>45570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32496-2019</t>
        </is>
      </c>
      <c r="B62" s="1" t="n">
        <v>43644</v>
      </c>
      <c r="C62" s="1" t="n">
        <v>45570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35571-2019</t>
        </is>
      </c>
      <c r="B63" s="1" t="n">
        <v>43664</v>
      </c>
      <c r="C63" s="1" t="n">
        <v>45570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30.2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35732-2019</t>
        </is>
      </c>
      <c r="B64" s="1" t="n">
        <v>43664</v>
      </c>
      <c r="C64" s="1" t="n">
        <v>45570</v>
      </c>
      <c r="D64" t="inlineStr">
        <is>
          <t>VÄSTERBOTTENS LÄN</t>
        </is>
      </c>
      <c r="E64" t="inlineStr">
        <is>
          <t>DOROTEA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37844-2019</t>
        </is>
      </c>
      <c r="B65" s="1" t="n">
        <v>43682</v>
      </c>
      <c r="C65" s="1" t="n">
        <v>45570</v>
      </c>
      <c r="D65" t="inlineStr">
        <is>
          <t>VÄSTERBOTTENS LÄN</t>
        </is>
      </c>
      <c r="E65" t="inlineStr">
        <is>
          <t>DOROTEA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40501-2019</t>
        </is>
      </c>
      <c r="B66" s="1" t="n">
        <v>43696</v>
      </c>
      <c r="C66" s="1" t="n">
        <v>45570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43176-2019</t>
        </is>
      </c>
      <c r="B67" s="1" t="n">
        <v>43705</v>
      </c>
      <c r="C67" s="1" t="n">
        <v>45570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43175-2019</t>
        </is>
      </c>
      <c r="B68" s="1" t="n">
        <v>43705</v>
      </c>
      <c r="C68" s="1" t="n">
        <v>45570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19.3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43177-2019</t>
        </is>
      </c>
      <c r="B69" s="1" t="n">
        <v>43705</v>
      </c>
      <c r="C69" s="1" t="n">
        <v>45570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44555-2019</t>
        </is>
      </c>
      <c r="B70" s="1" t="n">
        <v>43706</v>
      </c>
      <c r="C70" s="1" t="n">
        <v>45570</v>
      </c>
      <c r="D70" t="inlineStr">
        <is>
          <t>VÄSTERBOTTENS LÄN</t>
        </is>
      </c>
      <c r="E70" t="inlineStr">
        <is>
          <t>DOROTEA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43952-2019</t>
        </is>
      </c>
      <c r="B71" s="1" t="n">
        <v>43707</v>
      </c>
      <c r="C71" s="1" t="n">
        <v>45570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45921-2019</t>
        </is>
      </c>
      <c r="B72" s="1" t="n">
        <v>43717</v>
      </c>
      <c r="C72" s="1" t="n">
        <v>45570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46748-2019</t>
        </is>
      </c>
      <c r="B73" s="1" t="n">
        <v>43719</v>
      </c>
      <c r="C73" s="1" t="n">
        <v>45570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46746-2019</t>
        </is>
      </c>
      <c r="B74" s="1" t="n">
        <v>43719</v>
      </c>
      <c r="C74" s="1" t="n">
        <v>45570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47784-2019</t>
        </is>
      </c>
      <c r="B75" s="1" t="n">
        <v>43724</v>
      </c>
      <c r="C75" s="1" t="n">
        <v>45570</v>
      </c>
      <c r="D75" t="inlineStr">
        <is>
          <t>VÄSTERBOTTENS LÄN</t>
        </is>
      </c>
      <c r="E75" t="inlineStr">
        <is>
          <t>DOROTEA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48506-2019</t>
        </is>
      </c>
      <c r="B76" s="1" t="n">
        <v>43727</v>
      </c>
      <c r="C76" s="1" t="n">
        <v>45570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49360-2019</t>
        </is>
      </c>
      <c r="B77" s="1" t="n">
        <v>43731</v>
      </c>
      <c r="C77" s="1" t="n">
        <v>45570</v>
      </c>
      <c r="D77" t="inlineStr">
        <is>
          <t>VÄSTERBOTTENS LÄN</t>
        </is>
      </c>
      <c r="E77" t="inlineStr">
        <is>
          <t>DOROTEA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53754-2019</t>
        </is>
      </c>
      <c r="B78" s="1" t="n">
        <v>43749</v>
      </c>
      <c r="C78" s="1" t="n">
        <v>45570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54426-2019</t>
        </is>
      </c>
      <c r="B79" s="1" t="n">
        <v>43754</v>
      </c>
      <c r="C79" s="1" t="n">
        <v>45570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55251-2019</t>
        </is>
      </c>
      <c r="B80" s="1" t="n">
        <v>43755</v>
      </c>
      <c r="C80" s="1" t="n">
        <v>45570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57264-2019</t>
        </is>
      </c>
      <c r="B81" s="1" t="n">
        <v>43759</v>
      </c>
      <c r="C81" s="1" t="n">
        <v>45570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57129-2019</t>
        </is>
      </c>
      <c r="B82" s="1" t="n">
        <v>43759</v>
      </c>
      <c r="C82" s="1" t="n">
        <v>45570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55899-2019</t>
        </is>
      </c>
      <c r="B83" s="1" t="n">
        <v>43761</v>
      </c>
      <c r="C83" s="1" t="n">
        <v>45570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55895-2019</t>
        </is>
      </c>
      <c r="B84" s="1" t="n">
        <v>43761</v>
      </c>
      <c r="C84" s="1" t="n">
        <v>45570</v>
      </c>
      <c r="D84" t="inlineStr">
        <is>
          <t>VÄSTERBOTTENS LÄN</t>
        </is>
      </c>
      <c r="E84" t="inlineStr">
        <is>
          <t>DOROTEA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56120-2019</t>
        </is>
      </c>
      <c r="B85" s="1" t="n">
        <v>43761</v>
      </c>
      <c r="C85" s="1" t="n">
        <v>45570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59008-2019</t>
        </is>
      </c>
      <c r="B86" s="1" t="n">
        <v>43768</v>
      </c>
      <c r="C86" s="1" t="n">
        <v>45570</v>
      </c>
      <c r="D86" t="inlineStr">
        <is>
          <t>VÄSTERBOTTENS LÄN</t>
        </is>
      </c>
      <c r="E86" t="inlineStr">
        <is>
          <t>DOROTEA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59071-2019</t>
        </is>
      </c>
      <c r="B87" s="1" t="n">
        <v>43774</v>
      </c>
      <c r="C87" s="1" t="n">
        <v>45570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62526-2019</t>
        </is>
      </c>
      <c r="B88" s="1" t="n">
        <v>43783</v>
      </c>
      <c r="C88" s="1" t="n">
        <v>45570</v>
      </c>
      <c r="D88" t="inlineStr">
        <is>
          <t>VÄSTERBOTTENS LÄN</t>
        </is>
      </c>
      <c r="E88" t="inlineStr">
        <is>
          <t>DOROTEA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63896-2019</t>
        </is>
      </c>
      <c r="B89" s="1" t="n">
        <v>43795</v>
      </c>
      <c r="C89" s="1" t="n">
        <v>45570</v>
      </c>
      <c r="D89" t="inlineStr">
        <is>
          <t>VÄSTERBOTTENS LÄN</t>
        </is>
      </c>
      <c r="E89" t="inlineStr">
        <is>
          <t>DOROTEA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64464-2019</t>
        </is>
      </c>
      <c r="B90" s="1" t="n">
        <v>43797</v>
      </c>
      <c r="C90" s="1" t="n">
        <v>45570</v>
      </c>
      <c r="D90" t="inlineStr">
        <is>
          <t>VÄSTERBOTTENS LÄN</t>
        </is>
      </c>
      <c r="E90" t="inlineStr">
        <is>
          <t>DOROTEA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66150-2019</t>
        </is>
      </c>
      <c r="B91" s="1" t="n">
        <v>43801</v>
      </c>
      <c r="C91" s="1" t="n">
        <v>45570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65557-2019</t>
        </is>
      </c>
      <c r="B92" s="1" t="n">
        <v>43803</v>
      </c>
      <c r="C92" s="1" t="n">
        <v>45570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65556-2019</t>
        </is>
      </c>
      <c r="B93" s="1" t="n">
        <v>43803</v>
      </c>
      <c r="C93" s="1" t="n">
        <v>45570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66922-2019</t>
        </is>
      </c>
      <c r="B94" s="1" t="n">
        <v>43804</v>
      </c>
      <c r="C94" s="1" t="n">
        <v>45570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66382-2019</t>
        </is>
      </c>
      <c r="B95" s="1" t="n">
        <v>43808</v>
      </c>
      <c r="C95" s="1" t="n">
        <v>45570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67223-2019</t>
        </is>
      </c>
      <c r="B96" s="1" t="n">
        <v>43811</v>
      </c>
      <c r="C96" s="1" t="n">
        <v>45570</v>
      </c>
      <c r="D96" t="inlineStr">
        <is>
          <t>VÄSTERBOTTENS LÄN</t>
        </is>
      </c>
      <c r="E96" t="inlineStr">
        <is>
          <t>DOROTEA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293-2020</t>
        </is>
      </c>
      <c r="B97" s="1" t="n">
        <v>43837</v>
      </c>
      <c r="C97" s="1" t="n">
        <v>45570</v>
      </c>
      <c r="D97" t="inlineStr">
        <is>
          <t>VÄSTERBOTTENS LÄN</t>
        </is>
      </c>
      <c r="E97" t="inlineStr">
        <is>
          <t>DOROTEA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1276-2020</t>
        </is>
      </c>
      <c r="B98" s="1" t="n">
        <v>43841</v>
      </c>
      <c r="C98" s="1" t="n">
        <v>45570</v>
      </c>
      <c r="D98" t="inlineStr">
        <is>
          <t>VÄSTERBOTTENS LÄN</t>
        </is>
      </c>
      <c r="E98" t="inlineStr">
        <is>
          <t>DOROTEA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3770-2020</t>
        </is>
      </c>
      <c r="B99" s="1" t="n">
        <v>43854</v>
      </c>
      <c r="C99" s="1" t="n">
        <v>45570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6570-2020</t>
        </is>
      </c>
      <c r="B100" s="1" t="n">
        <v>43864</v>
      </c>
      <c r="C100" s="1" t="n">
        <v>45570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10073-2020</t>
        </is>
      </c>
      <c r="B101" s="1" t="n">
        <v>43884</v>
      </c>
      <c r="C101" s="1" t="n">
        <v>45570</v>
      </c>
      <c r="D101" t="inlineStr">
        <is>
          <t>VÄSTERBOTTENS LÄN</t>
        </is>
      </c>
      <c r="E101" t="inlineStr">
        <is>
          <t>DOROTEA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12589-2020</t>
        </is>
      </c>
      <c r="B102" s="1" t="n">
        <v>43899</v>
      </c>
      <c r="C102" s="1" t="n">
        <v>45570</v>
      </c>
      <c r="D102" t="inlineStr">
        <is>
          <t>VÄSTERBOTTENS LÄN</t>
        </is>
      </c>
      <c r="E102" t="inlineStr">
        <is>
          <t>DOROTEA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12870-2020</t>
        </is>
      </c>
      <c r="B103" s="1" t="n">
        <v>43899</v>
      </c>
      <c r="C103" s="1" t="n">
        <v>45570</v>
      </c>
      <c r="D103" t="inlineStr">
        <is>
          <t>VÄSTERBOTTENS LÄN</t>
        </is>
      </c>
      <c r="E103" t="inlineStr">
        <is>
          <t>DOROTEA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21025-2020</t>
        </is>
      </c>
      <c r="B104" s="1" t="n">
        <v>43950</v>
      </c>
      <c r="C104" s="1" t="n">
        <v>45570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21398-2020</t>
        </is>
      </c>
      <c r="B105" s="1" t="n">
        <v>43955</v>
      </c>
      <c r="C105" s="1" t="n">
        <v>45570</v>
      </c>
      <c r="D105" t="inlineStr">
        <is>
          <t>VÄSTERBOTTENS LÄN</t>
        </is>
      </c>
      <c r="E105" t="inlineStr">
        <is>
          <t>DOROTEA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28210-2020</t>
        </is>
      </c>
      <c r="B106" s="1" t="n">
        <v>43997</v>
      </c>
      <c r="C106" s="1" t="n">
        <v>45570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28790-2020</t>
        </is>
      </c>
      <c r="B107" s="1" t="n">
        <v>44000</v>
      </c>
      <c r="C107" s="1" t="n">
        <v>45570</v>
      </c>
      <c r="D107" t="inlineStr">
        <is>
          <t>VÄSTERBOTTENS LÄN</t>
        </is>
      </c>
      <c r="E107" t="inlineStr">
        <is>
          <t>DOROTEA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29468-2020</t>
        </is>
      </c>
      <c r="B108" s="1" t="n">
        <v>44004</v>
      </c>
      <c r="C108" s="1" t="n">
        <v>45570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29778-2020</t>
        </is>
      </c>
      <c r="B109" s="1" t="n">
        <v>44005</v>
      </c>
      <c r="C109" s="1" t="n">
        <v>45570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29799-2020</t>
        </is>
      </c>
      <c r="B110" s="1" t="n">
        <v>44005</v>
      </c>
      <c r="C110" s="1" t="n">
        <v>45570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31019-2020</t>
        </is>
      </c>
      <c r="B111" s="1" t="n">
        <v>44011</v>
      </c>
      <c r="C111" s="1" t="n">
        <v>45570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31017-2020</t>
        </is>
      </c>
      <c r="B112" s="1" t="n">
        <v>44011</v>
      </c>
      <c r="C112" s="1" t="n">
        <v>45570</v>
      </c>
      <c r="D112" t="inlineStr">
        <is>
          <t>VÄSTERBOTTENS LÄN</t>
        </is>
      </c>
      <c r="E112" t="inlineStr">
        <is>
          <t>DOROTEA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31296-2020</t>
        </is>
      </c>
      <c r="B113" s="1" t="n">
        <v>44012</v>
      </c>
      <c r="C113" s="1" t="n">
        <v>45570</v>
      </c>
      <c r="D113" t="inlineStr">
        <is>
          <t>VÄSTERBOTTENS LÄN</t>
        </is>
      </c>
      <c r="E113" t="inlineStr">
        <is>
          <t>DOROTEA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32298-2020</t>
        </is>
      </c>
      <c r="B114" s="1" t="n">
        <v>44015</v>
      </c>
      <c r="C114" s="1" t="n">
        <v>45570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40417-2020</t>
        </is>
      </c>
      <c r="B115" s="1" t="n">
        <v>44068</v>
      </c>
      <c r="C115" s="1" t="n">
        <v>45570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43616-2020</t>
        </is>
      </c>
      <c r="B116" s="1" t="n">
        <v>44078</v>
      </c>
      <c r="C116" s="1" t="n">
        <v>45570</v>
      </c>
      <c r="D116" t="inlineStr">
        <is>
          <t>VÄSTERBOTTENS LÄN</t>
        </is>
      </c>
      <c r="E116" t="inlineStr">
        <is>
          <t>DOROTEA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44250-2020</t>
        </is>
      </c>
      <c r="B117" s="1" t="n">
        <v>44082</v>
      </c>
      <c r="C117" s="1" t="n">
        <v>45570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Övriga statliga verk och myndigheter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46761-2020</t>
        </is>
      </c>
      <c r="B118" s="1" t="n">
        <v>44095</v>
      </c>
      <c r="C118" s="1" t="n">
        <v>45570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46762-2020</t>
        </is>
      </c>
      <c r="B119" s="1" t="n">
        <v>44095</v>
      </c>
      <c r="C119" s="1" t="n">
        <v>45570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49150-2020</t>
        </is>
      </c>
      <c r="B120" s="1" t="n">
        <v>44104</v>
      </c>
      <c r="C120" s="1" t="n">
        <v>45570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49675-2020</t>
        </is>
      </c>
      <c r="B121" s="1" t="n">
        <v>44104</v>
      </c>
      <c r="C121" s="1" t="n">
        <v>45570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52575-2020</t>
        </is>
      </c>
      <c r="B122" s="1" t="n">
        <v>44118</v>
      </c>
      <c r="C122" s="1" t="n">
        <v>45570</v>
      </c>
      <c r="D122" t="inlineStr">
        <is>
          <t>VÄSTERBOTTENS LÄN</t>
        </is>
      </c>
      <c r="E122" t="inlineStr">
        <is>
          <t>DOROTEA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52969-2020</t>
        </is>
      </c>
      <c r="B123" s="1" t="n">
        <v>44120</v>
      </c>
      <c r="C123" s="1" t="n">
        <v>45570</v>
      </c>
      <c r="D123" t="inlineStr">
        <is>
          <t>VÄSTERBOTTENS LÄN</t>
        </is>
      </c>
      <c r="E123" t="inlineStr">
        <is>
          <t>DOROTEA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55930-2020</t>
        </is>
      </c>
      <c r="B124" s="1" t="n">
        <v>44132</v>
      </c>
      <c r="C124" s="1" t="n">
        <v>45570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56560-2020</t>
        </is>
      </c>
      <c r="B125" s="1" t="n">
        <v>44133</v>
      </c>
      <c r="C125" s="1" t="n">
        <v>45570</v>
      </c>
      <c r="D125" t="inlineStr">
        <is>
          <t>VÄSTERBOTTENS LÄN</t>
        </is>
      </c>
      <c r="E125" t="inlineStr">
        <is>
          <t>DOROTEA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60041-2020</t>
        </is>
      </c>
      <c r="B126" s="1" t="n">
        <v>44151</v>
      </c>
      <c r="C126" s="1" t="n">
        <v>45570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60399-2020</t>
        </is>
      </c>
      <c r="B127" s="1" t="n">
        <v>44152</v>
      </c>
      <c r="C127" s="1" t="n">
        <v>45570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60398-2020</t>
        </is>
      </c>
      <c r="B128" s="1" t="n">
        <v>44152</v>
      </c>
      <c r="C128" s="1" t="n">
        <v>45570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64473-2020</t>
        </is>
      </c>
      <c r="B129" s="1" t="n">
        <v>44168</v>
      </c>
      <c r="C129" s="1" t="n">
        <v>45570</v>
      </c>
      <c r="D129" t="inlineStr">
        <is>
          <t>VÄSTERBOTTENS LÄN</t>
        </is>
      </c>
      <c r="E129" t="inlineStr">
        <is>
          <t>DOROTEA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64497-2020</t>
        </is>
      </c>
      <c r="B130" s="1" t="n">
        <v>44168</v>
      </c>
      <c r="C130" s="1" t="n">
        <v>45570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64496-2020</t>
        </is>
      </c>
      <c r="B131" s="1" t="n">
        <v>44168</v>
      </c>
      <c r="C131" s="1" t="n">
        <v>45570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65441-2020</t>
        </is>
      </c>
      <c r="B132" s="1" t="n">
        <v>44169</v>
      </c>
      <c r="C132" s="1" t="n">
        <v>45570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4164-2021</t>
        </is>
      </c>
      <c r="B133" s="1" t="n">
        <v>44223</v>
      </c>
      <c r="C133" s="1" t="n">
        <v>45570</v>
      </c>
      <c r="D133" t="inlineStr">
        <is>
          <t>VÄSTERBOTTENS LÄN</t>
        </is>
      </c>
      <c r="E133" t="inlineStr">
        <is>
          <t>DOROTEA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6489-2021</t>
        </is>
      </c>
      <c r="B134" s="1" t="n">
        <v>44235</v>
      </c>
      <c r="C134" s="1" t="n">
        <v>45570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11707-2021</t>
        </is>
      </c>
      <c r="B135" s="1" t="n">
        <v>44264</v>
      </c>
      <c r="C135" s="1" t="n">
        <v>45570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13059-2021</t>
        </is>
      </c>
      <c r="B136" s="1" t="n">
        <v>44271</v>
      </c>
      <c r="C136" s="1" t="n">
        <v>45570</v>
      </c>
      <c r="D136" t="inlineStr">
        <is>
          <t>VÄSTERBOTTENS LÄN</t>
        </is>
      </c>
      <c r="E136" t="inlineStr">
        <is>
          <t>DOROTEA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16777-2021</t>
        </is>
      </c>
      <c r="B137" s="1" t="n">
        <v>44294</v>
      </c>
      <c r="C137" s="1" t="n">
        <v>45570</v>
      </c>
      <c r="D137" t="inlineStr">
        <is>
          <t>VÄSTERBOTTENS LÄN</t>
        </is>
      </c>
      <c r="E137" t="inlineStr">
        <is>
          <t>DOROTEA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24203-2021</t>
        </is>
      </c>
      <c r="B138" s="1" t="n">
        <v>44336</v>
      </c>
      <c r="C138" s="1" t="n">
        <v>45570</v>
      </c>
      <c r="D138" t="inlineStr">
        <is>
          <t>VÄSTERBOTTENS LÄN</t>
        </is>
      </c>
      <c r="E138" t="inlineStr">
        <is>
          <t>DOROTEA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24207-2021</t>
        </is>
      </c>
      <c r="B139" s="1" t="n">
        <v>44336</v>
      </c>
      <c r="C139" s="1" t="n">
        <v>45570</v>
      </c>
      <c r="D139" t="inlineStr">
        <is>
          <t>VÄSTERBOTTENS LÄN</t>
        </is>
      </c>
      <c r="E139" t="inlineStr">
        <is>
          <t>DOROTEA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24206-2021</t>
        </is>
      </c>
      <c r="B140" s="1" t="n">
        <v>44336</v>
      </c>
      <c r="C140" s="1" t="n">
        <v>45570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24364-2021</t>
        </is>
      </c>
      <c r="B141" s="1" t="n">
        <v>44337</v>
      </c>
      <c r="C141" s="1" t="n">
        <v>45570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27506-2021</t>
        </is>
      </c>
      <c r="B142" s="1" t="n">
        <v>44351</v>
      </c>
      <c r="C142" s="1" t="n">
        <v>45570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27511-2021</t>
        </is>
      </c>
      <c r="B143" s="1" t="n">
        <v>44351</v>
      </c>
      <c r="C143" s="1" t="n">
        <v>45570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27503-2021</t>
        </is>
      </c>
      <c r="B144" s="1" t="n">
        <v>44351</v>
      </c>
      <c r="C144" s="1" t="n">
        <v>45570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27509-2021</t>
        </is>
      </c>
      <c r="B145" s="1" t="n">
        <v>44351</v>
      </c>
      <c r="C145" s="1" t="n">
        <v>45570</v>
      </c>
      <c r="D145" t="inlineStr">
        <is>
          <t>VÄSTERBOTTENS LÄN</t>
        </is>
      </c>
      <c r="E145" t="inlineStr">
        <is>
          <t>DOROTEA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27508-2021</t>
        </is>
      </c>
      <c r="B146" s="1" t="n">
        <v>44351</v>
      </c>
      <c r="C146" s="1" t="n">
        <v>45570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27514-2021</t>
        </is>
      </c>
      <c r="B147" s="1" t="n">
        <v>44351</v>
      </c>
      <c r="C147" s="1" t="n">
        <v>45570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33218-2021</t>
        </is>
      </c>
      <c r="B148" s="1" t="n">
        <v>44377</v>
      </c>
      <c r="C148" s="1" t="n">
        <v>45570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33286-2021</t>
        </is>
      </c>
      <c r="B149" s="1" t="n">
        <v>44377</v>
      </c>
      <c r="C149" s="1" t="n">
        <v>45570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33292-2021</t>
        </is>
      </c>
      <c r="B150" s="1" t="n">
        <v>44377</v>
      </c>
      <c r="C150" s="1" t="n">
        <v>45570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33294-2021</t>
        </is>
      </c>
      <c r="B151" s="1" t="n">
        <v>44377</v>
      </c>
      <c r="C151" s="1" t="n">
        <v>45570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35040-2021</t>
        </is>
      </c>
      <c r="B152" s="1" t="n">
        <v>44383</v>
      </c>
      <c r="C152" s="1" t="n">
        <v>45570</v>
      </c>
      <c r="D152" t="inlineStr">
        <is>
          <t>VÄSTERBOTTENS LÄN</t>
        </is>
      </c>
      <c r="E152" t="inlineStr">
        <is>
          <t>DOROTEA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38781-2021</t>
        </is>
      </c>
      <c r="B153" s="1" t="n">
        <v>44410</v>
      </c>
      <c r="C153" s="1" t="n">
        <v>45570</v>
      </c>
      <c r="D153" t="inlineStr">
        <is>
          <t>VÄSTERBOTTENS LÄN</t>
        </is>
      </c>
      <c r="E153" t="inlineStr">
        <is>
          <t>DOROTEA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39603-2021</t>
        </is>
      </c>
      <c r="B154" s="1" t="n">
        <v>44417</v>
      </c>
      <c r="C154" s="1" t="n">
        <v>45570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43210-2021</t>
        </is>
      </c>
      <c r="B155" s="1" t="n">
        <v>44432</v>
      </c>
      <c r="C155" s="1" t="n">
        <v>45570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43211-2021</t>
        </is>
      </c>
      <c r="B156" s="1" t="n">
        <v>44431</v>
      </c>
      <c r="C156" s="1" t="n">
        <v>45570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52361-2021</t>
        </is>
      </c>
      <c r="B157" s="1" t="n">
        <v>44465</v>
      </c>
      <c r="C157" s="1" t="n">
        <v>45570</v>
      </c>
      <c r="D157" t="inlineStr">
        <is>
          <t>VÄSTERBOTTENS LÄN</t>
        </is>
      </c>
      <c r="E157" t="inlineStr">
        <is>
          <t>DOROTEA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52362-2021</t>
        </is>
      </c>
      <c r="B158" s="1" t="n">
        <v>44465</v>
      </c>
      <c r="C158" s="1" t="n">
        <v>45570</v>
      </c>
      <c r="D158" t="inlineStr">
        <is>
          <t>VÄSTERBOTTENS LÄN</t>
        </is>
      </c>
      <c r="E158" t="inlineStr">
        <is>
          <t>DOROTEA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52363-2021</t>
        </is>
      </c>
      <c r="B159" s="1" t="n">
        <v>44465</v>
      </c>
      <c r="C159" s="1" t="n">
        <v>45570</v>
      </c>
      <c r="D159" t="inlineStr">
        <is>
          <t>VÄSTERBOTTENS LÄN</t>
        </is>
      </c>
      <c r="E159" t="inlineStr">
        <is>
          <t>DOROTEA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56807-2021</t>
        </is>
      </c>
      <c r="B160" s="1" t="n">
        <v>44481</v>
      </c>
      <c r="C160" s="1" t="n">
        <v>45570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57573-2021</t>
        </is>
      </c>
      <c r="B161" s="1" t="n">
        <v>44482</v>
      </c>
      <c r="C161" s="1" t="n">
        <v>45570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57580-2021</t>
        </is>
      </c>
      <c r="B162" s="1" t="n">
        <v>44482</v>
      </c>
      <c r="C162" s="1" t="n">
        <v>45570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57585-2021</t>
        </is>
      </c>
      <c r="B163" s="1" t="n">
        <v>44483</v>
      </c>
      <c r="C163" s="1" t="n">
        <v>45570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57579-2021</t>
        </is>
      </c>
      <c r="B164" s="1" t="n">
        <v>44483</v>
      </c>
      <c r="C164" s="1" t="n">
        <v>45570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22.9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57955-2021</t>
        </is>
      </c>
      <c r="B165" s="1" t="n">
        <v>44484</v>
      </c>
      <c r="C165" s="1" t="n">
        <v>45570</v>
      </c>
      <c r="D165" t="inlineStr">
        <is>
          <t>VÄSTERBOTTENS LÄN</t>
        </is>
      </c>
      <c r="E165" t="inlineStr">
        <is>
          <t>DOROTEA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57974-2021</t>
        </is>
      </c>
      <c r="B166" s="1" t="n">
        <v>44487</v>
      </c>
      <c r="C166" s="1" t="n">
        <v>45570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60145-2021</t>
        </is>
      </c>
      <c r="B167" s="1" t="n">
        <v>44494</v>
      </c>
      <c r="C167" s="1" t="n">
        <v>45570</v>
      </c>
      <c r="D167" t="inlineStr">
        <is>
          <t>VÄSTERBOTTENS LÄN</t>
        </is>
      </c>
      <c r="E167" t="inlineStr">
        <is>
          <t>DOROTEA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63152-2021</t>
        </is>
      </c>
      <c r="B168" s="1" t="n">
        <v>44505</v>
      </c>
      <c r="C168" s="1" t="n">
        <v>45570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64077-2021</t>
        </is>
      </c>
      <c r="B169" s="1" t="n">
        <v>44509</v>
      </c>
      <c r="C169" s="1" t="n">
        <v>45570</v>
      </c>
      <c r="D169" t="inlineStr">
        <is>
          <t>VÄSTERBOTTENS LÄN</t>
        </is>
      </c>
      <c r="E169" t="inlineStr">
        <is>
          <t>DOROTEA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64063-2021</t>
        </is>
      </c>
      <c r="B170" s="1" t="n">
        <v>44509</v>
      </c>
      <c r="C170" s="1" t="n">
        <v>45570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65903-2021</t>
        </is>
      </c>
      <c r="B171" s="1" t="n">
        <v>44517</v>
      </c>
      <c r="C171" s="1" t="n">
        <v>45570</v>
      </c>
      <c r="D171" t="inlineStr">
        <is>
          <t>VÄSTERBOTTENS LÄN</t>
        </is>
      </c>
      <c r="E171" t="inlineStr">
        <is>
          <t>DOROTEA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67686-2021</t>
        </is>
      </c>
      <c r="B172" s="1" t="n">
        <v>44524</v>
      </c>
      <c r="C172" s="1" t="n">
        <v>45570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70182-2021</t>
        </is>
      </c>
      <c r="B173" s="1" t="n">
        <v>44533</v>
      </c>
      <c r="C173" s="1" t="n">
        <v>45570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70519-2021</t>
        </is>
      </c>
      <c r="B174" s="1" t="n">
        <v>44536</v>
      </c>
      <c r="C174" s="1" t="n">
        <v>45570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74013-2021</t>
        </is>
      </c>
      <c r="B175" s="1" t="n">
        <v>44557</v>
      </c>
      <c r="C175" s="1" t="n">
        <v>45570</v>
      </c>
      <c r="D175" t="inlineStr">
        <is>
          <t>VÄSTERBOTTENS LÄN</t>
        </is>
      </c>
      <c r="E175" t="inlineStr">
        <is>
          <t>DOROTEA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745-2022</t>
        </is>
      </c>
      <c r="B176" s="1" t="n">
        <v>44568</v>
      </c>
      <c r="C176" s="1" t="n">
        <v>45570</v>
      </c>
      <c r="D176" t="inlineStr">
        <is>
          <t>VÄSTERBOTTENS LÄN</t>
        </is>
      </c>
      <c r="E176" t="inlineStr">
        <is>
          <t>DOROTEA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2474-2022</t>
        </is>
      </c>
      <c r="B177" s="1" t="n">
        <v>44579</v>
      </c>
      <c r="C177" s="1" t="n">
        <v>45570</v>
      </c>
      <c r="D177" t="inlineStr">
        <is>
          <t>VÄSTERBOTTENS LÄN</t>
        </is>
      </c>
      <c r="E177" t="inlineStr">
        <is>
          <t>DOROTEA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3241-2022</t>
        </is>
      </c>
      <c r="B178" s="1" t="n">
        <v>44582</v>
      </c>
      <c r="C178" s="1" t="n">
        <v>45570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3240-2022</t>
        </is>
      </c>
      <c r="B179" s="1" t="n">
        <v>44582</v>
      </c>
      <c r="C179" s="1" t="n">
        <v>45570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4019-2022</t>
        </is>
      </c>
      <c r="B180" s="1" t="n">
        <v>44587</v>
      </c>
      <c r="C180" s="1" t="n">
        <v>45570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4518-2022</t>
        </is>
      </c>
      <c r="B181" s="1" t="n">
        <v>44589</v>
      </c>
      <c r="C181" s="1" t="n">
        <v>45570</v>
      </c>
      <c r="D181" t="inlineStr">
        <is>
          <t>VÄSTERBOTTENS LÄN</t>
        </is>
      </c>
      <c r="E181" t="inlineStr">
        <is>
          <t>DOROTEA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8983-2022</t>
        </is>
      </c>
      <c r="B182" s="1" t="n">
        <v>44614</v>
      </c>
      <c r="C182" s="1" t="n">
        <v>45570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8982-2022</t>
        </is>
      </c>
      <c r="B183" s="1" t="n">
        <v>44614</v>
      </c>
      <c r="C183" s="1" t="n">
        <v>45570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10316-2022</t>
        </is>
      </c>
      <c r="B184" s="1" t="n">
        <v>44622</v>
      </c>
      <c r="C184" s="1" t="n">
        <v>45570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10318-2022</t>
        </is>
      </c>
      <c r="B185" s="1" t="n">
        <v>44622</v>
      </c>
      <c r="C185" s="1" t="n">
        <v>45570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11309-2022</t>
        </is>
      </c>
      <c r="B186" s="1" t="n">
        <v>44629</v>
      </c>
      <c r="C186" s="1" t="n">
        <v>45570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13451-2022</t>
        </is>
      </c>
      <c r="B187" s="1" t="n">
        <v>44645</v>
      </c>
      <c r="C187" s="1" t="n">
        <v>45570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13749-2022</t>
        </is>
      </c>
      <c r="B188" s="1" t="n">
        <v>44648</v>
      </c>
      <c r="C188" s="1" t="n">
        <v>45570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18004-2022</t>
        </is>
      </c>
      <c r="B189" s="1" t="n">
        <v>44684</v>
      </c>
      <c r="C189" s="1" t="n">
        <v>45570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19204-2022</t>
        </is>
      </c>
      <c r="B190" s="1" t="n">
        <v>44692</v>
      </c>
      <c r="C190" s="1" t="n">
        <v>45570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19406-2022</t>
        </is>
      </c>
      <c r="B191" s="1" t="n">
        <v>44692</v>
      </c>
      <c r="C191" s="1" t="n">
        <v>45570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23213-2022</t>
        </is>
      </c>
      <c r="B192" s="1" t="n">
        <v>44720</v>
      </c>
      <c r="C192" s="1" t="n">
        <v>45570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23187-2022</t>
        </is>
      </c>
      <c r="B193" s="1" t="n">
        <v>44719</v>
      </c>
      <c r="C193" s="1" t="n">
        <v>45570</v>
      </c>
      <c r="D193" t="inlineStr">
        <is>
          <t>VÄSTERBOTTENS LÄN</t>
        </is>
      </c>
      <c r="E193" t="inlineStr">
        <is>
          <t>DOROTEA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23522-2022</t>
        </is>
      </c>
      <c r="B194" s="1" t="n">
        <v>44721</v>
      </c>
      <c r="C194" s="1" t="n">
        <v>45570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24183-2022</t>
        </is>
      </c>
      <c r="B195" s="1" t="n">
        <v>44725</v>
      </c>
      <c r="C195" s="1" t="n">
        <v>45570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26419-2022</t>
        </is>
      </c>
      <c r="B196" s="1" t="n">
        <v>44736</v>
      </c>
      <c r="C196" s="1" t="n">
        <v>45570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27138-2022</t>
        </is>
      </c>
      <c r="B197" s="1" t="n">
        <v>44741</v>
      </c>
      <c r="C197" s="1" t="n">
        <v>45570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27558-2022</t>
        </is>
      </c>
      <c r="B198" s="1" t="n">
        <v>44742</v>
      </c>
      <c r="C198" s="1" t="n">
        <v>45570</v>
      </c>
      <c r="D198" t="inlineStr">
        <is>
          <t>VÄSTERBOTTENS LÄN</t>
        </is>
      </c>
      <c r="E198" t="inlineStr">
        <is>
          <t>DOROTEA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27590-2022</t>
        </is>
      </c>
      <c r="B199" s="1" t="n">
        <v>44742</v>
      </c>
      <c r="C199" s="1" t="n">
        <v>45570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27589-2022</t>
        </is>
      </c>
      <c r="B200" s="1" t="n">
        <v>44742</v>
      </c>
      <c r="C200" s="1" t="n">
        <v>45570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28717-2022</t>
        </is>
      </c>
      <c r="B201" s="1" t="n">
        <v>44749</v>
      </c>
      <c r="C201" s="1" t="n">
        <v>45570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29048-2022</t>
        </is>
      </c>
      <c r="B202" s="1" t="n">
        <v>44750</v>
      </c>
      <c r="C202" s="1" t="n">
        <v>45570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29862-2022</t>
        </is>
      </c>
      <c r="B203" s="1" t="n">
        <v>44756</v>
      </c>
      <c r="C203" s="1" t="n">
        <v>45570</v>
      </c>
      <c r="D203" t="inlineStr">
        <is>
          <t>VÄSTERBOTTENS LÄN</t>
        </is>
      </c>
      <c r="E203" t="inlineStr">
        <is>
          <t>DOROTEA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30050-2022</t>
        </is>
      </c>
      <c r="B204" s="1" t="n">
        <v>44756</v>
      </c>
      <c r="C204" s="1" t="n">
        <v>45570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30049-2022</t>
        </is>
      </c>
      <c r="B205" s="1" t="n">
        <v>44757</v>
      </c>
      <c r="C205" s="1" t="n">
        <v>45570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30245-2022</t>
        </is>
      </c>
      <c r="B206" s="1" t="n">
        <v>44757</v>
      </c>
      <c r="C206" s="1" t="n">
        <v>45570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30456-2022</t>
        </is>
      </c>
      <c r="B207" s="1" t="n">
        <v>44761</v>
      </c>
      <c r="C207" s="1" t="n">
        <v>45570</v>
      </c>
      <c r="D207" t="inlineStr">
        <is>
          <t>VÄSTERBOTTENS LÄN</t>
        </is>
      </c>
      <c r="E207" t="inlineStr">
        <is>
          <t>DOROTEA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33521-2022</t>
        </is>
      </c>
      <c r="B208" s="1" t="n">
        <v>44789</v>
      </c>
      <c r="C208" s="1" t="n">
        <v>45570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34006-2022</t>
        </is>
      </c>
      <c r="B209" s="1" t="n">
        <v>44791</v>
      </c>
      <c r="C209" s="1" t="n">
        <v>45570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35476-2022</t>
        </is>
      </c>
      <c r="B210" s="1" t="n">
        <v>44799</v>
      </c>
      <c r="C210" s="1" t="n">
        <v>45570</v>
      </c>
      <c r="D210" t="inlineStr">
        <is>
          <t>VÄSTERBOTTENS LÄN</t>
        </is>
      </c>
      <c r="E210" t="inlineStr">
        <is>
          <t>DOROTEA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35748-2022</t>
        </is>
      </c>
      <c r="B211" s="1" t="n">
        <v>44799</v>
      </c>
      <c r="C211" s="1" t="n">
        <v>45570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36102-2022</t>
        </is>
      </c>
      <c r="B212" s="1" t="n">
        <v>44803</v>
      </c>
      <c r="C212" s="1" t="n">
        <v>45570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36103-2022</t>
        </is>
      </c>
      <c r="B213" s="1" t="n">
        <v>44802</v>
      </c>
      <c r="C213" s="1" t="n">
        <v>45570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37833-2022</t>
        </is>
      </c>
      <c r="B214" s="1" t="n">
        <v>44811</v>
      </c>
      <c r="C214" s="1" t="n">
        <v>45570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38469-2022</t>
        </is>
      </c>
      <c r="B215" s="1" t="n">
        <v>44813</v>
      </c>
      <c r="C215" s="1" t="n">
        <v>45570</v>
      </c>
      <c r="D215" t="inlineStr">
        <is>
          <t>VÄSTERBOTTENS LÄN</t>
        </is>
      </c>
      <c r="E215" t="inlineStr">
        <is>
          <t>DOROTEA</t>
        </is>
      </c>
      <c r="G215" t="n">
        <v>18.9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38968-2022</t>
        </is>
      </c>
      <c r="B216" s="1" t="n">
        <v>44816</v>
      </c>
      <c r="C216" s="1" t="n">
        <v>45570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39375-2022</t>
        </is>
      </c>
      <c r="B217" s="1" t="n">
        <v>44817</v>
      </c>
      <c r="C217" s="1" t="n">
        <v>45570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41353-2022</t>
        </is>
      </c>
      <c r="B218" s="1" t="n">
        <v>44824</v>
      </c>
      <c r="C218" s="1" t="n">
        <v>45570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43138-2022</t>
        </is>
      </c>
      <c r="B219" s="1" t="n">
        <v>44834</v>
      </c>
      <c r="C219" s="1" t="n">
        <v>45570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43403-2022</t>
        </is>
      </c>
      <c r="B220" s="1" t="n">
        <v>44834</v>
      </c>
      <c r="C220" s="1" t="n">
        <v>45570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43508-2022</t>
        </is>
      </c>
      <c r="B221" s="1" t="n">
        <v>44837</v>
      </c>
      <c r="C221" s="1" t="n">
        <v>45570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Kyrkan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43503-2022</t>
        </is>
      </c>
      <c r="B222" s="1" t="n">
        <v>44837</v>
      </c>
      <c r="C222" s="1" t="n">
        <v>45570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43776-2022</t>
        </is>
      </c>
      <c r="B223" s="1" t="n">
        <v>44837</v>
      </c>
      <c r="C223" s="1" t="n">
        <v>45570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44037-2022</t>
        </is>
      </c>
      <c r="B224" s="1" t="n">
        <v>44838</v>
      </c>
      <c r="C224" s="1" t="n">
        <v>45570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44386-2022</t>
        </is>
      </c>
      <c r="B225" s="1" t="n">
        <v>44838</v>
      </c>
      <c r="C225" s="1" t="n">
        <v>45570</v>
      </c>
      <c r="D225" t="inlineStr">
        <is>
          <t>VÄSTERBOTTENS LÄN</t>
        </is>
      </c>
      <c r="E225" t="inlineStr">
        <is>
          <t>DOROTEA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44392-2022</t>
        </is>
      </c>
      <c r="B226" s="1" t="n">
        <v>44838</v>
      </c>
      <c r="C226" s="1" t="n">
        <v>45570</v>
      </c>
      <c r="D226" t="inlineStr">
        <is>
          <t>VÄSTERBOTTENS LÄN</t>
        </is>
      </c>
      <c r="E226" t="inlineStr">
        <is>
          <t>DOROTEA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44380-2022</t>
        </is>
      </c>
      <c r="B227" s="1" t="n">
        <v>44838</v>
      </c>
      <c r="C227" s="1" t="n">
        <v>45570</v>
      </c>
      <c r="D227" t="inlineStr">
        <is>
          <t>VÄSTERBOTTENS LÄN</t>
        </is>
      </c>
      <c r="E227" t="inlineStr">
        <is>
          <t>DOROTEA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44440-2022</t>
        </is>
      </c>
      <c r="B228" s="1" t="n">
        <v>44839</v>
      </c>
      <c r="C228" s="1" t="n">
        <v>45570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45080-2022</t>
        </is>
      </c>
      <c r="B229" s="1" t="n">
        <v>44841</v>
      </c>
      <c r="C229" s="1" t="n">
        <v>45570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46163-2022</t>
        </is>
      </c>
      <c r="B230" s="1" t="n">
        <v>44845</v>
      </c>
      <c r="C230" s="1" t="n">
        <v>45570</v>
      </c>
      <c r="D230" t="inlineStr">
        <is>
          <t>VÄSTERBOTTENS LÄN</t>
        </is>
      </c>
      <c r="E230" t="inlineStr">
        <is>
          <t>DOROTEA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45834-2022</t>
        </is>
      </c>
      <c r="B231" s="1" t="n">
        <v>44846</v>
      </c>
      <c r="C231" s="1" t="n">
        <v>45570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46817-2022</t>
        </is>
      </c>
      <c r="B232" s="1" t="n">
        <v>44848</v>
      </c>
      <c r="C232" s="1" t="n">
        <v>45570</v>
      </c>
      <c r="D232" t="inlineStr">
        <is>
          <t>VÄSTERBOTTENS LÄN</t>
        </is>
      </c>
      <c r="E232" t="inlineStr">
        <is>
          <t>DOROTEA</t>
        </is>
      </c>
      <c r="G232" t="n">
        <v>29.8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46978-2022</t>
        </is>
      </c>
      <c r="B233" s="1" t="n">
        <v>44851</v>
      </c>
      <c r="C233" s="1" t="n">
        <v>45570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46982-2022</t>
        </is>
      </c>
      <c r="B234" s="1" t="n">
        <v>44851</v>
      </c>
      <c r="C234" s="1" t="n">
        <v>45570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47266-2022</t>
        </is>
      </c>
      <c r="B235" s="1" t="n">
        <v>44852</v>
      </c>
      <c r="C235" s="1" t="n">
        <v>45570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47263-2022</t>
        </is>
      </c>
      <c r="B236" s="1" t="n">
        <v>44853</v>
      </c>
      <c r="C236" s="1" t="n">
        <v>45570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47572-2022</t>
        </is>
      </c>
      <c r="B237" s="1" t="n">
        <v>44853</v>
      </c>
      <c r="C237" s="1" t="n">
        <v>45570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48087-2022</t>
        </is>
      </c>
      <c r="B238" s="1" t="n">
        <v>44856</v>
      </c>
      <c r="C238" s="1" t="n">
        <v>45570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48935-2022</t>
        </is>
      </c>
      <c r="B239" s="1" t="n">
        <v>44859</v>
      </c>
      <c r="C239" s="1" t="n">
        <v>45570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49077-2022</t>
        </is>
      </c>
      <c r="B240" s="1" t="n">
        <v>44860</v>
      </c>
      <c r="C240" s="1" t="n">
        <v>45570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49536-2022</t>
        </is>
      </c>
      <c r="B241" s="1" t="n">
        <v>44861</v>
      </c>
      <c r="C241" s="1" t="n">
        <v>45570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49517-2022</t>
        </is>
      </c>
      <c r="B242" s="1" t="n">
        <v>44862</v>
      </c>
      <c r="C242" s="1" t="n">
        <v>45570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49534-2022</t>
        </is>
      </c>
      <c r="B243" s="1" t="n">
        <v>44861</v>
      </c>
      <c r="C243" s="1" t="n">
        <v>45570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49535-2022</t>
        </is>
      </c>
      <c r="B244" s="1" t="n">
        <v>44861</v>
      </c>
      <c r="C244" s="1" t="n">
        <v>45570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50769-2022</t>
        </is>
      </c>
      <c r="B245" s="1" t="n">
        <v>44867</v>
      </c>
      <c r="C245" s="1" t="n">
        <v>45570</v>
      </c>
      <c r="D245" t="inlineStr">
        <is>
          <t>VÄSTERBOTTENS LÄN</t>
        </is>
      </c>
      <c r="E245" t="inlineStr">
        <is>
          <t>DOROTEA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52343-2022</t>
        </is>
      </c>
      <c r="B246" s="1" t="n">
        <v>44873</v>
      </c>
      <c r="C246" s="1" t="n">
        <v>45570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53795-2022</t>
        </is>
      </c>
      <c r="B247" s="1" t="n">
        <v>44876</v>
      </c>
      <c r="C247" s="1" t="n">
        <v>45570</v>
      </c>
      <c r="D247" t="inlineStr">
        <is>
          <t>VÄSTERBOTTENS LÄN</t>
        </is>
      </c>
      <c r="E247" t="inlineStr">
        <is>
          <t>DOROTEA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53309-2022</t>
        </is>
      </c>
      <c r="B248" s="1" t="n">
        <v>44878</v>
      </c>
      <c r="C248" s="1" t="n">
        <v>45570</v>
      </c>
      <c r="D248" t="inlineStr">
        <is>
          <t>VÄSTERBOTTENS LÄN</t>
        </is>
      </c>
      <c r="E248" t="inlineStr">
        <is>
          <t>DOROTEA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55210-2022</t>
        </is>
      </c>
      <c r="B249" s="1" t="n">
        <v>44886</v>
      </c>
      <c r="C249" s="1" t="n">
        <v>45570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45570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45570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57431-2022</t>
        </is>
      </c>
      <c r="B252" s="1" t="n">
        <v>44889</v>
      </c>
      <c r="C252" s="1" t="n">
        <v>45570</v>
      </c>
      <c r="D252" t="inlineStr">
        <is>
          <t>VÄSTERBOTTENS LÄN</t>
        </is>
      </c>
      <c r="E252" t="inlineStr">
        <is>
          <t>DOROTEA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57236-2022</t>
        </is>
      </c>
      <c r="B253" s="1" t="n">
        <v>44889</v>
      </c>
      <c r="C253" s="1" t="n">
        <v>45570</v>
      </c>
      <c r="D253" t="inlineStr">
        <is>
          <t>VÄSTERBOTTENS LÄN</t>
        </is>
      </c>
      <c r="E253" t="inlineStr">
        <is>
          <t>DOROTEA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57376-2022</t>
        </is>
      </c>
      <c r="B254" s="1" t="n">
        <v>44889</v>
      </c>
      <c r="C254" s="1" t="n">
        <v>45570</v>
      </c>
      <c r="D254" t="inlineStr">
        <is>
          <t>VÄSTERBOTTENS LÄN</t>
        </is>
      </c>
      <c r="E254" t="inlineStr">
        <is>
          <t>DOROTEA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56738-2022</t>
        </is>
      </c>
      <c r="B255" s="1" t="n">
        <v>44893</v>
      </c>
      <c r="C255" s="1" t="n">
        <v>45570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58168-2022</t>
        </is>
      </c>
      <c r="B256" s="1" t="n">
        <v>44900</v>
      </c>
      <c r="C256" s="1" t="n">
        <v>45570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58719-2022</t>
        </is>
      </c>
      <c r="B257" s="1" t="n">
        <v>44902</v>
      </c>
      <c r="C257" s="1" t="n">
        <v>45570</v>
      </c>
      <c r="D257" t="inlineStr">
        <is>
          <t>VÄSTERBOTTENS LÄN</t>
        </is>
      </c>
      <c r="E257" t="inlineStr">
        <is>
          <t>DOROTEA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60304-2022</t>
        </is>
      </c>
      <c r="B258" s="1" t="n">
        <v>44910</v>
      </c>
      <c r="C258" s="1" t="n">
        <v>45570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60686-2022</t>
        </is>
      </c>
      <c r="B259" s="1" t="n">
        <v>44911</v>
      </c>
      <c r="C259" s="1" t="n">
        <v>45570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61393-2022</t>
        </is>
      </c>
      <c r="B260" s="1" t="n">
        <v>44915</v>
      </c>
      <c r="C260" s="1" t="n">
        <v>45570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62657-2022</t>
        </is>
      </c>
      <c r="B261" s="1" t="n">
        <v>44925</v>
      </c>
      <c r="C261" s="1" t="n">
        <v>45570</v>
      </c>
      <c r="D261" t="inlineStr">
        <is>
          <t>VÄSTERBOTTENS LÄN</t>
        </is>
      </c>
      <c r="E261" t="inlineStr">
        <is>
          <t>DOROTEA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711-2023</t>
        </is>
      </c>
      <c r="B262" s="1" t="n">
        <v>44930</v>
      </c>
      <c r="C262" s="1" t="n">
        <v>45570</v>
      </c>
      <c r="D262" t="inlineStr">
        <is>
          <t>VÄSTERBOTTENS LÄN</t>
        </is>
      </c>
      <c r="E262" t="inlineStr">
        <is>
          <t>DOROTEA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914-2023</t>
        </is>
      </c>
      <c r="B263" s="1" t="n">
        <v>44931</v>
      </c>
      <c r="C263" s="1" t="n">
        <v>45570</v>
      </c>
      <c r="D263" t="inlineStr">
        <is>
          <t>VÄSTERBOTTENS LÄN</t>
        </is>
      </c>
      <c r="E263" t="inlineStr">
        <is>
          <t>DOROTEA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912-2023</t>
        </is>
      </c>
      <c r="B264" s="1" t="n">
        <v>44931</v>
      </c>
      <c r="C264" s="1" t="n">
        <v>45570</v>
      </c>
      <c r="D264" t="inlineStr">
        <is>
          <t>VÄSTERBOTTENS LÄN</t>
        </is>
      </c>
      <c r="E264" t="inlineStr">
        <is>
          <t>DOROTEA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1218-2023</t>
        </is>
      </c>
      <c r="B265" s="1" t="n">
        <v>44935</v>
      </c>
      <c r="C265" s="1" t="n">
        <v>45570</v>
      </c>
      <c r="D265" t="inlineStr">
        <is>
          <t>VÄSTERBOTTENS LÄN</t>
        </is>
      </c>
      <c r="E265" t="inlineStr">
        <is>
          <t>DOROTEA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1648-2023</t>
        </is>
      </c>
      <c r="B266" s="1" t="n">
        <v>44937</v>
      </c>
      <c r="C266" s="1" t="n">
        <v>45570</v>
      </c>
      <c r="D266" t="inlineStr">
        <is>
          <t>VÄSTERBOTTENS LÄN</t>
        </is>
      </c>
      <c r="E266" t="inlineStr">
        <is>
          <t>DOROTEA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1862-2023</t>
        </is>
      </c>
      <c r="B267" s="1" t="n">
        <v>44938</v>
      </c>
      <c r="C267" s="1" t="n">
        <v>45570</v>
      </c>
      <c r="D267" t="inlineStr">
        <is>
          <t>VÄSTERBOTTENS LÄN</t>
        </is>
      </c>
      <c r="E267" t="inlineStr">
        <is>
          <t>DOROTEA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1865-2023</t>
        </is>
      </c>
      <c r="B268" s="1" t="n">
        <v>44938</v>
      </c>
      <c r="C268" s="1" t="n">
        <v>45570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1861-2023</t>
        </is>
      </c>
      <c r="B269" s="1" t="n">
        <v>44938</v>
      </c>
      <c r="C269" s="1" t="n">
        <v>45570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2665-2023</t>
        </is>
      </c>
      <c r="B270" s="1" t="n">
        <v>44942</v>
      </c>
      <c r="C270" s="1" t="n">
        <v>45570</v>
      </c>
      <c r="D270" t="inlineStr">
        <is>
          <t>VÄSTERBOTTENS LÄN</t>
        </is>
      </c>
      <c r="E270" t="inlineStr">
        <is>
          <t>DOROTEA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2683-2023</t>
        </is>
      </c>
      <c r="B271" s="1" t="n">
        <v>44942</v>
      </c>
      <c r="C271" s="1" t="n">
        <v>45570</v>
      </c>
      <c r="D271" t="inlineStr">
        <is>
          <t>VÄSTERBOTTENS LÄN</t>
        </is>
      </c>
      <c r="E271" t="inlineStr">
        <is>
          <t>DOROTEA</t>
        </is>
      </c>
      <c r="G271" t="n">
        <v>22.7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4618-2023</t>
        </is>
      </c>
      <c r="B272" s="1" t="n">
        <v>44956</v>
      </c>
      <c r="C272" s="1" t="n">
        <v>45570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4616-2023</t>
        </is>
      </c>
      <c r="B273" s="1" t="n">
        <v>44956</v>
      </c>
      <c r="C273" s="1" t="n">
        <v>45570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</v>
      </c>
      <c r="C274" s="1" t="n">
        <v>45570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4958-2023</t>
        </is>
      </c>
      <c r="B275" s="1" t="n">
        <v>44956</v>
      </c>
      <c r="C275" s="1" t="n">
        <v>45570</v>
      </c>
      <c r="D275" t="inlineStr">
        <is>
          <t>VÄSTERBOTTENS LÄN</t>
        </is>
      </c>
      <c r="E275" t="inlineStr">
        <is>
          <t>DOROTEA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5834-2023</t>
        </is>
      </c>
      <c r="B276" s="1" t="n">
        <v>44958</v>
      </c>
      <c r="C276" s="1" t="n">
        <v>45570</v>
      </c>
      <c r="D276" t="inlineStr">
        <is>
          <t>VÄSTERBOTTENS LÄN</t>
        </is>
      </c>
      <c r="E276" t="inlineStr">
        <is>
          <t>DOROTEA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5716-2023</t>
        </is>
      </c>
      <c r="B277" s="1" t="n">
        <v>44960</v>
      </c>
      <c r="C277" s="1" t="n">
        <v>45570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5715-2023</t>
        </is>
      </c>
      <c r="B278" s="1" t="n">
        <v>44960</v>
      </c>
      <c r="C278" s="1" t="n">
        <v>45570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6621-2023</t>
        </is>
      </c>
      <c r="B279" s="1" t="n">
        <v>44960</v>
      </c>
      <c r="C279" s="1" t="n">
        <v>45570</v>
      </c>
      <c r="D279" t="inlineStr">
        <is>
          <t>VÄSTERBOTTENS LÄN</t>
        </is>
      </c>
      <c r="E279" t="inlineStr">
        <is>
          <t>DOROTEA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5733-2023</t>
        </is>
      </c>
      <c r="B280" s="1" t="n">
        <v>44962</v>
      </c>
      <c r="C280" s="1" t="n">
        <v>45570</v>
      </c>
      <c r="D280" t="inlineStr">
        <is>
          <t>VÄSTERBOTTENS LÄN</t>
        </is>
      </c>
      <c r="E280" t="inlineStr">
        <is>
          <t>DOROTEA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7329-2023</t>
        </is>
      </c>
      <c r="B281" s="1" t="n">
        <v>44970</v>
      </c>
      <c r="C281" s="1" t="n">
        <v>45570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7422-2023</t>
        </is>
      </c>
      <c r="B282" s="1" t="n">
        <v>44971</v>
      </c>
      <c r="C282" s="1" t="n">
        <v>45570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7429-2023</t>
        </is>
      </c>
      <c r="B283" s="1" t="n">
        <v>44971</v>
      </c>
      <c r="C283" s="1" t="n">
        <v>45570</v>
      </c>
      <c r="D283" t="inlineStr">
        <is>
          <t>VÄSTERBOTTENS LÄN</t>
        </is>
      </c>
      <c r="E283" t="inlineStr">
        <is>
          <t>DOROTEA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7719-2023</t>
        </is>
      </c>
      <c r="B284" s="1" t="n">
        <v>44972</v>
      </c>
      <c r="C284" s="1" t="n">
        <v>45570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8095-2023</t>
        </is>
      </c>
      <c r="B285" s="1" t="n">
        <v>44974</v>
      </c>
      <c r="C285" s="1" t="n">
        <v>45570</v>
      </c>
      <c r="D285" t="inlineStr">
        <is>
          <t>VÄSTERBOTTENS LÄN</t>
        </is>
      </c>
      <c r="E285" t="inlineStr">
        <is>
          <t>DOROTEA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8088-2023</t>
        </is>
      </c>
      <c r="B286" s="1" t="n">
        <v>44974</v>
      </c>
      <c r="C286" s="1" t="n">
        <v>45570</v>
      </c>
      <c r="D286" t="inlineStr">
        <is>
          <t>VÄSTERBOTTENS LÄN</t>
        </is>
      </c>
      <c r="E286" t="inlineStr">
        <is>
          <t>DOROTEA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8092-2023</t>
        </is>
      </c>
      <c r="B287" s="1" t="n">
        <v>44974</v>
      </c>
      <c r="C287" s="1" t="n">
        <v>45570</v>
      </c>
      <c r="D287" t="inlineStr">
        <is>
          <t>VÄSTERBOTTENS LÄN</t>
        </is>
      </c>
      <c r="E287" t="inlineStr">
        <is>
          <t>DOROTEA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9046-2023</t>
        </is>
      </c>
      <c r="B288" s="1" t="n">
        <v>44979</v>
      </c>
      <c r="C288" s="1" t="n">
        <v>45570</v>
      </c>
      <c r="D288" t="inlineStr">
        <is>
          <t>VÄSTERBOTTENS LÄN</t>
        </is>
      </c>
      <c r="E288" t="inlineStr">
        <is>
          <t>DOROTEA</t>
        </is>
      </c>
      <c r="G288" t="n">
        <v>35.4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9103-2023</t>
        </is>
      </c>
      <c r="B289" s="1" t="n">
        <v>44979</v>
      </c>
      <c r="C289" s="1" t="n">
        <v>45570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9102-2023</t>
        </is>
      </c>
      <c r="B290" s="1" t="n">
        <v>44979</v>
      </c>
      <c r="C290" s="1" t="n">
        <v>45570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10360-2023</t>
        </is>
      </c>
      <c r="B291" s="1" t="n">
        <v>44980</v>
      </c>
      <c r="C291" s="1" t="n">
        <v>45570</v>
      </c>
      <c r="D291" t="inlineStr">
        <is>
          <t>VÄSTERBOTTENS LÄN</t>
        </is>
      </c>
      <c r="E291" t="inlineStr">
        <is>
          <t>DOROTEA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10300-2023</t>
        </is>
      </c>
      <c r="B292" s="1" t="n">
        <v>44986</v>
      </c>
      <c r="C292" s="1" t="n">
        <v>45570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10317-2023</t>
        </is>
      </c>
      <c r="B293" s="1" t="n">
        <v>44986</v>
      </c>
      <c r="C293" s="1" t="n">
        <v>45570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11037-2023</t>
        </is>
      </c>
      <c r="B294" s="1" t="n">
        <v>44991</v>
      </c>
      <c r="C294" s="1" t="n">
        <v>45570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11304-2023</t>
        </is>
      </c>
      <c r="B295" s="1" t="n">
        <v>44993</v>
      </c>
      <c r="C295" s="1" t="n">
        <v>45570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12005-2023</t>
        </is>
      </c>
      <c r="B296" s="1" t="n">
        <v>44994</v>
      </c>
      <c r="C296" s="1" t="n">
        <v>45570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45570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12740-2023</t>
        </is>
      </c>
      <c r="B298" s="1" t="n">
        <v>45000</v>
      </c>
      <c r="C298" s="1" t="n">
        <v>45570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12751-2023</t>
        </is>
      </c>
      <c r="B299" s="1" t="n">
        <v>45000</v>
      </c>
      <c r="C299" s="1" t="n">
        <v>45570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12992-2023</t>
        </is>
      </c>
      <c r="B300" s="1" t="n">
        <v>45002</v>
      </c>
      <c r="C300" s="1" t="n">
        <v>45570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13265-2023</t>
        </is>
      </c>
      <c r="B301" s="1" t="n">
        <v>45002</v>
      </c>
      <c r="C301" s="1" t="n">
        <v>45570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13257-2023</t>
        </is>
      </c>
      <c r="B302" s="1" t="n">
        <v>45002</v>
      </c>
      <c r="C302" s="1" t="n">
        <v>45570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13490-2023</t>
        </is>
      </c>
      <c r="B303" s="1" t="n">
        <v>45005</v>
      </c>
      <c r="C303" s="1" t="n">
        <v>45570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14264-2023</t>
        </is>
      </c>
      <c r="B304" s="1" t="n">
        <v>45009</v>
      </c>
      <c r="C304" s="1" t="n">
        <v>45570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14806-2023</t>
        </is>
      </c>
      <c r="B305" s="1" t="n">
        <v>45013</v>
      </c>
      <c r="C305" s="1" t="n">
        <v>45570</v>
      </c>
      <c r="D305" t="inlineStr">
        <is>
          <t>VÄSTERBOTTENS LÄN</t>
        </is>
      </c>
      <c r="E305" t="inlineStr">
        <is>
          <t>DOROTEA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14672-2023</t>
        </is>
      </c>
      <c r="B306" s="1" t="n">
        <v>45014</v>
      </c>
      <c r="C306" s="1" t="n">
        <v>45570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14673-2023</t>
        </is>
      </c>
      <c r="B307" s="1" t="n">
        <v>45013</v>
      </c>
      <c r="C307" s="1" t="n">
        <v>45570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14882-2023</t>
        </is>
      </c>
      <c r="B308" s="1" t="n">
        <v>45015</v>
      </c>
      <c r="C308" s="1" t="n">
        <v>45570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14881-2023</t>
        </is>
      </c>
      <c r="B309" s="1" t="n">
        <v>45015</v>
      </c>
      <c r="C309" s="1" t="n">
        <v>45570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14883-2023</t>
        </is>
      </c>
      <c r="B310" s="1" t="n">
        <v>45015</v>
      </c>
      <c r="C310" s="1" t="n">
        <v>45570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17658-2023</t>
        </is>
      </c>
      <c r="B311" s="1" t="n">
        <v>45036</v>
      </c>
      <c r="C311" s="1" t="n">
        <v>45570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17783-2023</t>
        </is>
      </c>
      <c r="B312" s="1" t="n">
        <v>45036</v>
      </c>
      <c r="C312" s="1" t="n">
        <v>45570</v>
      </c>
      <c r="D312" t="inlineStr">
        <is>
          <t>VÄSTERBOTTENS LÄN</t>
        </is>
      </c>
      <c r="E312" t="inlineStr">
        <is>
          <t>DOROTEA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17776-2023</t>
        </is>
      </c>
      <c r="B313" s="1" t="n">
        <v>45036</v>
      </c>
      <c r="C313" s="1" t="n">
        <v>45570</v>
      </c>
      <c r="D313" t="inlineStr">
        <is>
          <t>VÄSTERBOTTENS LÄN</t>
        </is>
      </c>
      <c r="E313" t="inlineStr">
        <is>
          <t>DOROTEA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17787-2023</t>
        </is>
      </c>
      <c r="B314" s="1" t="n">
        <v>45036</v>
      </c>
      <c r="C314" s="1" t="n">
        <v>45570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18982-2023</t>
        </is>
      </c>
      <c r="B315" s="1" t="n">
        <v>45044</v>
      </c>
      <c r="C315" s="1" t="n">
        <v>45570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20759-2023</t>
        </is>
      </c>
      <c r="B316" s="1" t="n">
        <v>45055</v>
      </c>
      <c r="C316" s="1" t="n">
        <v>45570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Övriga statliga verk och myndigheter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20618-2023</t>
        </is>
      </c>
      <c r="B317" s="1" t="n">
        <v>45057</v>
      </c>
      <c r="C317" s="1" t="n">
        <v>45570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20600-2023</t>
        </is>
      </c>
      <c r="B318" s="1" t="n">
        <v>45057</v>
      </c>
      <c r="C318" s="1" t="n">
        <v>45570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21712-2023</t>
        </is>
      </c>
      <c r="B319" s="1" t="n">
        <v>45064</v>
      </c>
      <c r="C319" s="1" t="n">
        <v>45570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22580-2023</t>
        </is>
      </c>
      <c r="B320" s="1" t="n">
        <v>45069</v>
      </c>
      <c r="C320" s="1" t="n">
        <v>45570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22733-2023</t>
        </is>
      </c>
      <c r="B321" s="1" t="n">
        <v>45071</v>
      </c>
      <c r="C321" s="1" t="n">
        <v>45570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23300-2023</t>
        </is>
      </c>
      <c r="B322" s="1" t="n">
        <v>45075</v>
      </c>
      <c r="C322" s="1" t="n">
        <v>45570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23557-2023</t>
        </is>
      </c>
      <c r="B323" s="1" t="n">
        <v>45077</v>
      </c>
      <c r="C323" s="1" t="n">
        <v>45570</v>
      </c>
      <c r="D323" t="inlineStr">
        <is>
          <t>VÄSTERBOTTENS LÄN</t>
        </is>
      </c>
      <c r="E323" t="inlineStr">
        <is>
          <t>DOROTEA</t>
        </is>
      </c>
      <c r="G323" t="n">
        <v>16.8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23553-2023</t>
        </is>
      </c>
      <c r="B324" s="1" t="n">
        <v>45077</v>
      </c>
      <c r="C324" s="1" t="n">
        <v>45570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24297-2023</t>
        </is>
      </c>
      <c r="B325" s="1" t="n">
        <v>45079</v>
      </c>
      <c r="C325" s="1" t="n">
        <v>45570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25836-2023</t>
        </is>
      </c>
      <c r="B326" s="1" t="n">
        <v>45090</v>
      </c>
      <c r="C326" s="1" t="n">
        <v>45570</v>
      </c>
      <c r="D326" t="inlineStr">
        <is>
          <t>VÄSTERBOTTENS LÄN</t>
        </is>
      </c>
      <c r="E326" t="inlineStr">
        <is>
          <t>DOROTEA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26359-2023</t>
        </is>
      </c>
      <c r="B327" s="1" t="n">
        <v>45091</v>
      </c>
      <c r="C327" s="1" t="n">
        <v>45570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27477-2023</t>
        </is>
      </c>
      <c r="B328" s="1" t="n">
        <v>45097</v>
      </c>
      <c r="C328" s="1" t="n">
        <v>45570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29641-2023</t>
        </is>
      </c>
      <c r="B329" s="1" t="n">
        <v>45098</v>
      </c>
      <c r="C329" s="1" t="n">
        <v>45570</v>
      </c>
      <c r="D329" t="inlineStr">
        <is>
          <t>VÄSTERBOTTENS LÄN</t>
        </is>
      </c>
      <c r="E329" t="inlineStr">
        <is>
          <t>DOROTEA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29643-2023</t>
        </is>
      </c>
      <c r="B330" s="1" t="n">
        <v>45098</v>
      </c>
      <c r="C330" s="1" t="n">
        <v>45570</v>
      </c>
      <c r="D330" t="inlineStr">
        <is>
          <t>VÄSTERBOTTENS LÄN</t>
        </is>
      </c>
      <c r="E330" t="inlineStr">
        <is>
          <t>DOROTEA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29645-2023</t>
        </is>
      </c>
      <c r="B331" s="1" t="n">
        <v>45098</v>
      </c>
      <c r="C331" s="1" t="n">
        <v>45570</v>
      </c>
      <c r="D331" t="inlineStr">
        <is>
          <t>VÄSTERBOTTENS LÄN</t>
        </is>
      </c>
      <c r="E331" t="inlineStr">
        <is>
          <t>DOROTEA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28386-2023</t>
        </is>
      </c>
      <c r="B332" s="1" t="n">
        <v>45100</v>
      </c>
      <c r="C332" s="1" t="n">
        <v>45570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30166-2023</t>
        </is>
      </c>
      <c r="B333" s="1" t="n">
        <v>45099</v>
      </c>
      <c r="C333" s="1" t="n">
        <v>45570</v>
      </c>
      <c r="D333" t="inlineStr">
        <is>
          <t>VÄSTERBOTTENS LÄN</t>
        </is>
      </c>
      <c r="E333" t="inlineStr">
        <is>
          <t>DOROTEA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28549-2023</t>
        </is>
      </c>
      <c r="B334" s="1" t="n">
        <v>45103</v>
      </c>
      <c r="C334" s="1" t="n">
        <v>45570</v>
      </c>
      <c r="D334" t="inlineStr">
        <is>
          <t>VÄSTERBOTTENS LÄN</t>
        </is>
      </c>
      <c r="E334" t="inlineStr">
        <is>
          <t>DOROTEA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29953-2023</t>
        </is>
      </c>
      <c r="B335" s="1" t="n">
        <v>45107</v>
      </c>
      <c r="C335" s="1" t="n">
        <v>45570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30286-2023</t>
        </is>
      </c>
      <c r="B336" s="1" t="n">
        <v>45110</v>
      </c>
      <c r="C336" s="1" t="n">
        <v>45570</v>
      </c>
      <c r="D336" t="inlineStr">
        <is>
          <t>VÄSTERBOTTENS LÄN</t>
        </is>
      </c>
      <c r="E336" t="inlineStr">
        <is>
          <t>DOROTEA</t>
        </is>
      </c>
      <c r="G336" t="n">
        <v>21.2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30296-2023</t>
        </is>
      </c>
      <c r="B337" s="1" t="n">
        <v>45110</v>
      </c>
      <c r="C337" s="1" t="n">
        <v>45570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30561-2023</t>
        </is>
      </c>
      <c r="B338" s="1" t="n">
        <v>45112</v>
      </c>
      <c r="C338" s="1" t="n">
        <v>45570</v>
      </c>
      <c r="D338" t="inlineStr">
        <is>
          <t>VÄSTERBOTTENS LÄN</t>
        </is>
      </c>
      <c r="E338" t="inlineStr">
        <is>
          <t>DOROTEA</t>
        </is>
      </c>
      <c r="G338" t="n">
        <v>38.5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30570-2023</t>
        </is>
      </c>
      <c r="B339" s="1" t="n">
        <v>45111</v>
      </c>
      <c r="C339" s="1" t="n">
        <v>45570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31494-2023</t>
        </is>
      </c>
      <c r="B340" s="1" t="n">
        <v>45114</v>
      </c>
      <c r="C340" s="1" t="n">
        <v>45570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32474-2023</t>
        </is>
      </c>
      <c r="B341" s="1" t="n">
        <v>45120</v>
      </c>
      <c r="C341" s="1" t="n">
        <v>45570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32723-2023</t>
        </is>
      </c>
      <c r="B342" s="1" t="n">
        <v>45121</v>
      </c>
      <c r="C342" s="1" t="n">
        <v>45570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34101-2023</t>
        </is>
      </c>
      <c r="B343" s="1" t="n">
        <v>45125</v>
      </c>
      <c r="C343" s="1" t="n">
        <v>45570</v>
      </c>
      <c r="D343" t="inlineStr">
        <is>
          <t>VÄSTERBOTTENS LÄN</t>
        </is>
      </c>
      <c r="E343" t="inlineStr">
        <is>
          <t>DOROTEA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34107-2023</t>
        </is>
      </c>
      <c r="B344" s="1" t="n">
        <v>45125</v>
      </c>
      <c r="C344" s="1" t="n">
        <v>45570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34312-2023</t>
        </is>
      </c>
      <c r="B345" s="1" t="n">
        <v>45139</v>
      </c>
      <c r="C345" s="1" t="n">
        <v>45570</v>
      </c>
      <c r="D345" t="inlineStr">
        <is>
          <t>VÄSTERBOTTENS LÄN</t>
        </is>
      </c>
      <c r="E345" t="inlineStr">
        <is>
          <t>DOROTEA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34697-2023</t>
        </is>
      </c>
      <c r="B346" s="1" t="n">
        <v>45141</v>
      </c>
      <c r="C346" s="1" t="n">
        <v>45570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34707-2023</t>
        </is>
      </c>
      <c r="B347" s="1" t="n">
        <v>45140</v>
      </c>
      <c r="C347" s="1" t="n">
        <v>45570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34702-2023</t>
        </is>
      </c>
      <c r="B348" s="1" t="n">
        <v>45140</v>
      </c>
      <c r="C348" s="1" t="n">
        <v>45570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34706-2023</t>
        </is>
      </c>
      <c r="B349" s="1" t="n">
        <v>45140</v>
      </c>
      <c r="C349" s="1" t="n">
        <v>45570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34700-2023</t>
        </is>
      </c>
      <c r="B350" s="1" t="n">
        <v>45141</v>
      </c>
      <c r="C350" s="1" t="n">
        <v>45570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34820-2023</t>
        </is>
      </c>
      <c r="B351" s="1" t="n">
        <v>45140</v>
      </c>
      <c r="C351" s="1" t="n">
        <v>45570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34853-2023</t>
        </is>
      </c>
      <c r="B352" s="1" t="n">
        <v>45142</v>
      </c>
      <c r="C352" s="1" t="n">
        <v>45570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34854-2023</t>
        </is>
      </c>
      <c r="B353" s="1" t="n">
        <v>45142</v>
      </c>
      <c r="C353" s="1" t="n">
        <v>45570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34996-2023</t>
        </is>
      </c>
      <c r="B354" s="1" t="n">
        <v>45142</v>
      </c>
      <c r="C354" s="1" t="n">
        <v>45570</v>
      </c>
      <c r="D354" t="inlineStr">
        <is>
          <t>VÄSTERBOTTENS LÄN</t>
        </is>
      </c>
      <c r="E354" t="inlineStr">
        <is>
          <t>DOROTEA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35000-2023</t>
        </is>
      </c>
      <c r="B355" s="1" t="n">
        <v>45143</v>
      </c>
      <c r="C355" s="1" t="n">
        <v>45570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34995-2023</t>
        </is>
      </c>
      <c r="B356" s="1" t="n">
        <v>45143</v>
      </c>
      <c r="C356" s="1" t="n">
        <v>45570</v>
      </c>
      <c r="D356" t="inlineStr">
        <is>
          <t>VÄSTERBOTTENS LÄN</t>
        </is>
      </c>
      <c r="E356" t="inlineStr">
        <is>
          <t>DOROTEA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35288-2023</t>
        </is>
      </c>
      <c r="B357" s="1" t="n">
        <v>45145</v>
      </c>
      <c r="C357" s="1" t="n">
        <v>45570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35287-2023</t>
        </is>
      </c>
      <c r="B358" s="1" t="n">
        <v>45145</v>
      </c>
      <c r="C358" s="1" t="n">
        <v>45570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35989-2023</t>
        </is>
      </c>
      <c r="B359" s="1" t="n">
        <v>45149</v>
      </c>
      <c r="C359" s="1" t="n">
        <v>45570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35990-2023</t>
        </is>
      </c>
      <c r="B360" s="1" t="n">
        <v>45149</v>
      </c>
      <c r="C360" s="1" t="n">
        <v>45570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36137-2023</t>
        </is>
      </c>
      <c r="B361" s="1" t="n">
        <v>45149</v>
      </c>
      <c r="C361" s="1" t="n">
        <v>45570</v>
      </c>
      <c r="D361" t="inlineStr">
        <is>
          <t>VÄSTERBOTTENS LÄN</t>
        </is>
      </c>
      <c r="E361" t="inlineStr">
        <is>
          <t>DOROTEA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36142-2023</t>
        </is>
      </c>
      <c r="B362" s="1" t="n">
        <v>45149</v>
      </c>
      <c r="C362" s="1" t="n">
        <v>45570</v>
      </c>
      <c r="D362" t="inlineStr">
        <is>
          <t>VÄSTERBOTTENS LÄN</t>
        </is>
      </c>
      <c r="E362" t="inlineStr">
        <is>
          <t>DOROTEA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36352-2023</t>
        </is>
      </c>
      <c r="B363" s="1" t="n">
        <v>45149</v>
      </c>
      <c r="C363" s="1" t="n">
        <v>45570</v>
      </c>
      <c r="D363" t="inlineStr">
        <is>
          <t>VÄSTERBOTTENS LÄN</t>
        </is>
      </c>
      <c r="E363" t="inlineStr">
        <is>
          <t>DOROTEA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36763-2023</t>
        </is>
      </c>
      <c r="B364" s="1" t="n">
        <v>45153</v>
      </c>
      <c r="C364" s="1" t="n">
        <v>45570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36762-2023</t>
        </is>
      </c>
      <c r="B365" s="1" t="n">
        <v>45154</v>
      </c>
      <c r="C365" s="1" t="n">
        <v>45570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36994-2023</t>
        </is>
      </c>
      <c r="B366" s="1" t="n">
        <v>45155</v>
      </c>
      <c r="C366" s="1" t="n">
        <v>45570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37254-2023</t>
        </is>
      </c>
      <c r="B367" s="1" t="n">
        <v>45155</v>
      </c>
      <c r="C367" s="1" t="n">
        <v>45570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37247-2023</t>
        </is>
      </c>
      <c r="B368" s="1" t="n">
        <v>45155</v>
      </c>
      <c r="C368" s="1" t="n">
        <v>45570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37539-2023</t>
        </is>
      </c>
      <c r="B369" s="1" t="n">
        <v>45159</v>
      </c>
      <c r="C369" s="1" t="n">
        <v>45570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37540-2023</t>
        </is>
      </c>
      <c r="B370" s="1" t="n">
        <v>45158</v>
      </c>
      <c r="C370" s="1" t="n">
        <v>45570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37541-2023</t>
        </is>
      </c>
      <c r="B371" s="1" t="n">
        <v>45158</v>
      </c>
      <c r="C371" s="1" t="n">
        <v>45570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38377-2023</t>
        </is>
      </c>
      <c r="B372" s="1" t="n">
        <v>45162</v>
      </c>
      <c r="C372" s="1" t="n">
        <v>45570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38676-2023</t>
        </is>
      </c>
      <c r="B373" s="1" t="n">
        <v>45162</v>
      </c>
      <c r="C373" s="1" t="n">
        <v>45570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40436-2023</t>
        </is>
      </c>
      <c r="B374" s="1" t="n">
        <v>45170</v>
      </c>
      <c r="C374" s="1" t="n">
        <v>45570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40435-2023</t>
        </is>
      </c>
      <c r="B375" s="1" t="n">
        <v>45169</v>
      </c>
      <c r="C375" s="1" t="n">
        <v>45570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40437-2023</t>
        </is>
      </c>
      <c r="B376" s="1" t="n">
        <v>45170</v>
      </c>
      <c r="C376" s="1" t="n">
        <v>45570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40438-2023</t>
        </is>
      </c>
      <c r="B377" s="1" t="n">
        <v>45170</v>
      </c>
      <c r="C377" s="1" t="n">
        <v>45570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40434-2023</t>
        </is>
      </c>
      <c r="B378" s="1" t="n">
        <v>45170</v>
      </c>
      <c r="C378" s="1" t="n">
        <v>45570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41107-2023</t>
        </is>
      </c>
      <c r="B379" s="1" t="n">
        <v>45170</v>
      </c>
      <c r="C379" s="1" t="n">
        <v>45570</v>
      </c>
      <c r="D379" t="inlineStr">
        <is>
          <t>VÄSTERBOTTENS LÄN</t>
        </is>
      </c>
      <c r="E379" t="inlineStr">
        <is>
          <t>DOROTEA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40759-2023</t>
        </is>
      </c>
      <c r="B380" s="1" t="n">
        <v>45171</v>
      </c>
      <c r="C380" s="1" t="n">
        <v>45570</v>
      </c>
      <c r="D380" t="inlineStr">
        <is>
          <t>VÄSTERBOTTENS LÄN</t>
        </is>
      </c>
      <c r="E380" t="inlineStr">
        <is>
          <t>DOROTEA</t>
        </is>
      </c>
      <c r="G380" t="n">
        <v>23.1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41104-2023</t>
        </is>
      </c>
      <c r="B381" s="1" t="n">
        <v>45170</v>
      </c>
      <c r="C381" s="1" t="n">
        <v>45570</v>
      </c>
      <c r="D381" t="inlineStr">
        <is>
          <t>VÄSTERBOTTENS LÄN</t>
        </is>
      </c>
      <c r="E381" t="inlineStr">
        <is>
          <t>DOROTEA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42515-2023</t>
        </is>
      </c>
      <c r="B382" s="1" t="n">
        <v>45180</v>
      </c>
      <c r="C382" s="1" t="n">
        <v>45570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43092-2023</t>
        </is>
      </c>
      <c r="B383" s="1" t="n">
        <v>45183</v>
      </c>
      <c r="C383" s="1" t="n">
        <v>45570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43949-2023</t>
        </is>
      </c>
      <c r="B384" s="1" t="n">
        <v>45188</v>
      </c>
      <c r="C384" s="1" t="n">
        <v>45570</v>
      </c>
      <c r="D384" t="inlineStr">
        <is>
          <t>VÄSTERBOTTENS LÄN</t>
        </is>
      </c>
      <c r="E384" t="inlineStr">
        <is>
          <t>DOROTEA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44972-2023</t>
        </is>
      </c>
      <c r="B385" s="1" t="n">
        <v>45191</v>
      </c>
      <c r="C385" s="1" t="n">
        <v>45570</v>
      </c>
      <c r="D385" t="inlineStr">
        <is>
          <t>VÄSTERBOTTENS LÄN</t>
        </is>
      </c>
      <c r="E385" t="inlineStr">
        <is>
          <t>DOROTEA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44973-2023</t>
        </is>
      </c>
      <c r="B386" s="1" t="n">
        <v>45191</v>
      </c>
      <c r="C386" s="1" t="n">
        <v>45570</v>
      </c>
      <c r="D386" t="inlineStr">
        <is>
          <t>VÄSTERBOTTENS LÄN</t>
        </is>
      </c>
      <c r="E386" t="inlineStr">
        <is>
          <t>DOROTEA</t>
        </is>
      </c>
      <c r="G386" t="n">
        <v>23.9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45324-2023</t>
        </is>
      </c>
      <c r="B387" s="1" t="n">
        <v>45192</v>
      </c>
      <c r="C387" s="1" t="n">
        <v>45570</v>
      </c>
      <c r="D387" t="inlineStr">
        <is>
          <t>VÄSTERBOTTENS LÄN</t>
        </is>
      </c>
      <c r="E387" t="inlineStr">
        <is>
          <t>DOROTEA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45957-2023</t>
        </is>
      </c>
      <c r="B388" s="1" t="n">
        <v>45196</v>
      </c>
      <c r="C388" s="1" t="n">
        <v>45570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45948-2023</t>
        </is>
      </c>
      <c r="B389" s="1" t="n">
        <v>45196</v>
      </c>
      <c r="C389" s="1" t="n">
        <v>45570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45956-2023</t>
        </is>
      </c>
      <c r="B390" s="1" t="n">
        <v>45196</v>
      </c>
      <c r="C390" s="1" t="n">
        <v>45570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46819-2023</t>
        </is>
      </c>
      <c r="B391" s="1" t="n">
        <v>45198</v>
      </c>
      <c r="C391" s="1" t="n">
        <v>45570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48006-2023</t>
        </is>
      </c>
      <c r="B392" s="1" t="n">
        <v>45198</v>
      </c>
      <c r="C392" s="1" t="n">
        <v>45570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Övriga statliga verk och myndigheter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46818-2023</t>
        </is>
      </c>
      <c r="B393" s="1" t="n">
        <v>45198</v>
      </c>
      <c r="C393" s="1" t="n">
        <v>45570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47494-2023</t>
        </is>
      </c>
      <c r="B394" s="1" t="n">
        <v>45203</v>
      </c>
      <c r="C394" s="1" t="n">
        <v>45570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47493-2023</t>
        </is>
      </c>
      <c r="B395" s="1" t="n">
        <v>45202</v>
      </c>
      <c r="C395" s="1" t="n">
        <v>45570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47497-2023</t>
        </is>
      </c>
      <c r="B396" s="1" t="n">
        <v>45202</v>
      </c>
      <c r="C396" s="1" t="n">
        <v>45570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47492-2023</t>
        </is>
      </c>
      <c r="B397" s="1" t="n">
        <v>45203</v>
      </c>
      <c r="C397" s="1" t="n">
        <v>45570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47495-2023</t>
        </is>
      </c>
      <c r="B398" s="1" t="n">
        <v>45203</v>
      </c>
      <c r="C398" s="1" t="n">
        <v>45570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52276-2023</t>
        </is>
      </c>
      <c r="B399" s="1" t="n">
        <v>45217</v>
      </c>
      <c r="C399" s="1" t="n">
        <v>45570</v>
      </c>
      <c r="D399" t="inlineStr">
        <is>
          <t>VÄSTERBOTTENS LÄN</t>
        </is>
      </c>
      <c r="E399" t="inlineStr">
        <is>
          <t>DOROTEA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51102-2023</t>
        </is>
      </c>
      <c r="B400" s="1" t="n">
        <v>45218</v>
      </c>
      <c r="C400" s="1" t="n">
        <v>45570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52135-2023</t>
        </is>
      </c>
      <c r="B401" s="1" t="n">
        <v>45223</v>
      </c>
      <c r="C401" s="1" t="n">
        <v>45570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52144-2023</t>
        </is>
      </c>
      <c r="B402" s="1" t="n">
        <v>45224</v>
      </c>
      <c r="C402" s="1" t="n">
        <v>45570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52125-2023</t>
        </is>
      </c>
      <c r="B403" s="1" t="n">
        <v>45224</v>
      </c>
      <c r="C403" s="1" t="n">
        <v>45570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52141-2023</t>
        </is>
      </c>
      <c r="B404" s="1" t="n">
        <v>45224</v>
      </c>
      <c r="C404" s="1" t="n">
        <v>45570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52126-2023</t>
        </is>
      </c>
      <c r="B405" s="1" t="n">
        <v>45224</v>
      </c>
      <c r="C405" s="1" t="n">
        <v>45570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52130-2023</t>
        </is>
      </c>
      <c r="B406" s="1" t="n">
        <v>45224</v>
      </c>
      <c r="C406" s="1" t="n">
        <v>45570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52138-2023</t>
        </is>
      </c>
      <c r="B407" s="1" t="n">
        <v>45224</v>
      </c>
      <c r="C407" s="1" t="n">
        <v>45570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52142-2023</t>
        </is>
      </c>
      <c r="B408" s="1" t="n">
        <v>45224</v>
      </c>
      <c r="C408" s="1" t="n">
        <v>45570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52150-2023</t>
        </is>
      </c>
      <c r="B409" s="1" t="n">
        <v>45224</v>
      </c>
      <c r="C409" s="1" t="n">
        <v>45570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52148-2023</t>
        </is>
      </c>
      <c r="B410" s="1" t="n">
        <v>45224</v>
      </c>
      <c r="C410" s="1" t="n">
        <v>45570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52143-2023</t>
        </is>
      </c>
      <c r="B411" s="1" t="n">
        <v>45224</v>
      </c>
      <c r="C411" s="1" t="n">
        <v>45570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52149-2023</t>
        </is>
      </c>
      <c r="B412" s="1" t="n">
        <v>45224</v>
      </c>
      <c r="C412" s="1" t="n">
        <v>45570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52393-2023</t>
        </is>
      </c>
      <c r="B413" s="1" t="n">
        <v>45225</v>
      </c>
      <c r="C413" s="1" t="n">
        <v>45570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53117-2023</t>
        </is>
      </c>
      <c r="B414" s="1" t="n">
        <v>45228</v>
      </c>
      <c r="C414" s="1" t="n">
        <v>45570</v>
      </c>
      <c r="D414" t="inlineStr">
        <is>
          <t>VÄSTERBOTTENS LÄN</t>
        </is>
      </c>
      <c r="E414" t="inlineStr">
        <is>
          <t>DOROTEA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53118-2023</t>
        </is>
      </c>
      <c r="B415" s="1" t="n">
        <v>45228</v>
      </c>
      <c r="C415" s="1" t="n">
        <v>45570</v>
      </c>
      <c r="D415" t="inlineStr">
        <is>
          <t>VÄSTERBOTTENS LÄN</t>
        </is>
      </c>
      <c r="E415" t="inlineStr">
        <is>
          <t>DOROTEA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53770-2023</t>
        </is>
      </c>
      <c r="B416" s="1" t="n">
        <v>45231</v>
      </c>
      <c r="C416" s="1" t="n">
        <v>45570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55155-2023</t>
        </is>
      </c>
      <c r="B417" s="1" t="n">
        <v>45230</v>
      </c>
      <c r="C417" s="1" t="n">
        <v>45570</v>
      </c>
      <c r="D417" t="inlineStr">
        <is>
          <t>VÄSTERBOTTENS LÄN</t>
        </is>
      </c>
      <c r="E417" t="inlineStr">
        <is>
          <t>DOROTEA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55146-2023</t>
        </is>
      </c>
      <c r="B418" s="1" t="n">
        <v>45230</v>
      </c>
      <c r="C418" s="1" t="n">
        <v>45570</v>
      </c>
      <c r="D418" t="inlineStr">
        <is>
          <t>VÄSTERBOTTENS LÄN</t>
        </is>
      </c>
      <c r="E418" t="inlineStr">
        <is>
          <t>DOROTEA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53856-2023</t>
        </is>
      </c>
      <c r="B419" s="1" t="n">
        <v>45231</v>
      </c>
      <c r="C419" s="1" t="n">
        <v>45570</v>
      </c>
      <c r="D419" t="inlineStr">
        <is>
          <t>VÄSTERBOTTENS LÄN</t>
        </is>
      </c>
      <c r="E419" t="inlineStr">
        <is>
          <t>DOROTEA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55738-2023</t>
        </is>
      </c>
      <c r="B420" s="1" t="n">
        <v>45232</v>
      </c>
      <c r="C420" s="1" t="n">
        <v>45570</v>
      </c>
      <c r="D420" t="inlineStr">
        <is>
          <t>VÄSTERBOTTENS LÄN</t>
        </is>
      </c>
      <c r="E420" t="inlineStr">
        <is>
          <t>DOROTEA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54603-2023</t>
        </is>
      </c>
      <c r="B421" s="1" t="n">
        <v>45233</v>
      </c>
      <c r="C421" s="1" t="n">
        <v>45570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54604-2023</t>
        </is>
      </c>
      <c r="B422" s="1" t="n">
        <v>45233</v>
      </c>
      <c r="C422" s="1" t="n">
        <v>45570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56316-2023</t>
        </is>
      </c>
      <c r="B423" s="1" t="n">
        <v>45236</v>
      </c>
      <c r="C423" s="1" t="n">
        <v>45570</v>
      </c>
      <c r="D423" t="inlineStr">
        <is>
          <t>VÄSTERBOTTENS LÄN</t>
        </is>
      </c>
      <c r="E423" t="inlineStr">
        <is>
          <t>DOROTEA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55919-2023</t>
        </is>
      </c>
      <c r="B424" s="1" t="n">
        <v>45240</v>
      </c>
      <c r="C424" s="1" t="n">
        <v>45570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56406-2023</t>
        </is>
      </c>
      <c r="B425" s="1" t="n">
        <v>45243</v>
      </c>
      <c r="C425" s="1" t="n">
        <v>45570</v>
      </c>
      <c r="D425" t="inlineStr">
        <is>
          <t>VÄSTERBOTTENS LÄN</t>
        </is>
      </c>
      <c r="E425" t="inlineStr">
        <is>
          <t>DOROTEA</t>
        </is>
      </c>
      <c r="G425" t="n">
        <v>17.7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57071-2023</t>
        </is>
      </c>
      <c r="B426" s="1" t="n">
        <v>45245</v>
      </c>
      <c r="C426" s="1" t="n">
        <v>45570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57074-2023</t>
        </is>
      </c>
      <c r="B427" s="1" t="n">
        <v>45245</v>
      </c>
      <c r="C427" s="1" t="n">
        <v>45570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57070-2023</t>
        </is>
      </c>
      <c r="B428" s="1" t="n">
        <v>45245</v>
      </c>
      <c r="C428" s="1" t="n">
        <v>45570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57379-2023</t>
        </is>
      </c>
      <c r="B429" s="1" t="n">
        <v>45245</v>
      </c>
      <c r="C429" s="1" t="n">
        <v>45570</v>
      </c>
      <c r="D429" t="inlineStr">
        <is>
          <t>VÄSTERBOTTENS LÄN</t>
        </is>
      </c>
      <c r="E429" t="inlineStr">
        <is>
          <t>DOROTEA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57793-2023</t>
        </is>
      </c>
      <c r="B430" s="1" t="n">
        <v>45247</v>
      </c>
      <c r="C430" s="1" t="n">
        <v>45570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57794-2023</t>
        </is>
      </c>
      <c r="B431" s="1" t="n">
        <v>45247</v>
      </c>
      <c r="C431" s="1" t="n">
        <v>45570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58465-2023</t>
        </is>
      </c>
      <c r="B432" s="1" t="n">
        <v>45251</v>
      </c>
      <c r="C432" s="1" t="n">
        <v>45570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58768-2023</t>
        </is>
      </c>
      <c r="B433" s="1" t="n">
        <v>45252</v>
      </c>
      <c r="C433" s="1" t="n">
        <v>45570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58761-2023</t>
        </is>
      </c>
      <c r="B434" s="1" t="n">
        <v>45251</v>
      </c>
      <c r="C434" s="1" t="n">
        <v>45570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59396-2023</t>
        </is>
      </c>
      <c r="B435" s="1" t="n">
        <v>45253</v>
      </c>
      <c r="C435" s="1" t="n">
        <v>45570</v>
      </c>
      <c r="D435" t="inlineStr">
        <is>
          <t>VÄSTERBOTTENS LÄN</t>
        </is>
      </c>
      <c r="E435" t="inlineStr">
        <is>
          <t>DOROTEA</t>
        </is>
      </c>
      <c r="G435" t="n">
        <v>27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59395-2023</t>
        </is>
      </c>
      <c r="B436" s="1" t="n">
        <v>45253</v>
      </c>
      <c r="C436" s="1" t="n">
        <v>45570</v>
      </c>
      <c r="D436" t="inlineStr">
        <is>
          <t>VÄSTERBOTTENS LÄN</t>
        </is>
      </c>
      <c r="E436" t="inlineStr">
        <is>
          <t>DOROTEA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59394-2023</t>
        </is>
      </c>
      <c r="B437" s="1" t="n">
        <v>45253</v>
      </c>
      <c r="C437" s="1" t="n">
        <v>45570</v>
      </c>
      <c r="D437" t="inlineStr">
        <is>
          <t>VÄSTERBOTTENS LÄN</t>
        </is>
      </c>
      <c r="E437" t="inlineStr">
        <is>
          <t>DOROTEA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59397-2023</t>
        </is>
      </c>
      <c r="B438" s="1" t="n">
        <v>45253</v>
      </c>
      <c r="C438" s="1" t="n">
        <v>45570</v>
      </c>
      <c r="D438" t="inlineStr">
        <is>
          <t>VÄSTERBOTTENS LÄN</t>
        </is>
      </c>
      <c r="E438" t="inlineStr">
        <is>
          <t>DOROTEA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59418-2023</t>
        </is>
      </c>
      <c r="B439" s="1" t="n">
        <v>45253</v>
      </c>
      <c r="C439" s="1" t="n">
        <v>45570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60015-2023</t>
        </is>
      </c>
      <c r="B440" s="1" t="n">
        <v>45258</v>
      </c>
      <c r="C440" s="1" t="n">
        <v>45570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60867-2023</t>
        </is>
      </c>
      <c r="B441" s="1" t="n">
        <v>45260</v>
      </c>
      <c r="C441" s="1" t="n">
        <v>45570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61148-2023</t>
        </is>
      </c>
      <c r="B442" s="1" t="n">
        <v>45261</v>
      </c>
      <c r="C442" s="1" t="n">
        <v>45570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62024-2023</t>
        </is>
      </c>
      <c r="B443" s="1" t="n">
        <v>45265</v>
      </c>
      <c r="C443" s="1" t="n">
        <v>45570</v>
      </c>
      <c r="D443" t="inlineStr">
        <is>
          <t>VÄSTERBOTTENS LÄN</t>
        </is>
      </c>
      <c r="E443" t="inlineStr">
        <is>
          <t>DOROTEA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62552-2023</t>
        </is>
      </c>
      <c r="B444" s="1" t="n">
        <v>45268</v>
      </c>
      <c r="C444" s="1" t="n">
        <v>45570</v>
      </c>
      <c r="D444" t="inlineStr">
        <is>
          <t>VÄSTERBOTTENS LÄN</t>
        </is>
      </c>
      <c r="E444" t="inlineStr">
        <is>
          <t>DOROTEA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62553-2023</t>
        </is>
      </c>
      <c r="B445" s="1" t="n">
        <v>45268</v>
      </c>
      <c r="C445" s="1" t="n">
        <v>45570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63084-2023</t>
        </is>
      </c>
      <c r="B446" s="1" t="n">
        <v>45272</v>
      </c>
      <c r="C446" s="1" t="n">
        <v>45570</v>
      </c>
      <c r="D446" t="inlineStr">
        <is>
          <t>VÄSTERBOTTENS LÄN</t>
        </is>
      </c>
      <c r="E446" t="inlineStr">
        <is>
          <t>DOROTEA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63123-2023</t>
        </is>
      </c>
      <c r="B447" s="1" t="n">
        <v>45272</v>
      </c>
      <c r="C447" s="1" t="n">
        <v>45570</v>
      </c>
      <c r="D447" t="inlineStr">
        <is>
          <t>VÄSTERBOTTENS LÄN</t>
        </is>
      </c>
      <c r="E447" t="inlineStr">
        <is>
          <t>DOROTEA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63296-2023</t>
        </is>
      </c>
      <c r="B448" s="1" t="n">
        <v>45273</v>
      </c>
      <c r="C448" s="1" t="n">
        <v>45570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64033-2023</t>
        </is>
      </c>
      <c r="B449" s="1" t="n">
        <v>45278</v>
      </c>
      <c r="C449" s="1" t="n">
        <v>45570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65186-2023</t>
        </is>
      </c>
      <c r="B450" s="1" t="n">
        <v>45289</v>
      </c>
      <c r="C450" s="1" t="n">
        <v>45570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65187-2023</t>
        </is>
      </c>
      <c r="B451" s="1" t="n">
        <v>45289</v>
      </c>
      <c r="C451" s="1" t="n">
        <v>45570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65244-2023</t>
        </is>
      </c>
      <c r="B452" s="1" t="n">
        <v>45289</v>
      </c>
      <c r="C452" s="1" t="n">
        <v>45570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99-2024</t>
        </is>
      </c>
      <c r="B453" s="1" t="n">
        <v>45293</v>
      </c>
      <c r="C453" s="1" t="n">
        <v>45570</v>
      </c>
      <c r="D453" t="inlineStr">
        <is>
          <t>VÄSTERBOTTENS LÄN</t>
        </is>
      </c>
      <c r="E453" t="inlineStr">
        <is>
          <t>DOROTEA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361-2024</t>
        </is>
      </c>
      <c r="B454" s="1" t="n">
        <v>45295</v>
      </c>
      <c r="C454" s="1" t="n">
        <v>45570</v>
      </c>
      <c r="D454" t="inlineStr">
        <is>
          <t>VÄSTERBOTTENS LÄN</t>
        </is>
      </c>
      <c r="E454" t="inlineStr">
        <is>
          <t>DOROTEA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860-2024</t>
        </is>
      </c>
      <c r="B455" s="1" t="n">
        <v>45300</v>
      </c>
      <c r="C455" s="1" t="n">
        <v>45570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1108-2024</t>
        </is>
      </c>
      <c r="B456" s="1" t="n">
        <v>45302</v>
      </c>
      <c r="C456" s="1" t="n">
        <v>45570</v>
      </c>
      <c r="D456" t="inlineStr">
        <is>
          <t>VÄSTERBOTTENS LÄN</t>
        </is>
      </c>
      <c r="E456" t="inlineStr">
        <is>
          <t>DOROTEA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1684-2024</t>
        </is>
      </c>
      <c r="B457" s="1" t="n">
        <v>45307</v>
      </c>
      <c r="C457" s="1" t="n">
        <v>45570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3017-2024</t>
        </is>
      </c>
      <c r="B458" s="1" t="n">
        <v>45315</v>
      </c>
      <c r="C458" s="1" t="n">
        <v>45570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5153-2024</t>
        </is>
      </c>
      <c r="B459" s="1" t="n">
        <v>45329</v>
      </c>
      <c r="C459" s="1" t="n">
        <v>45570</v>
      </c>
      <c r="D459" t="inlineStr">
        <is>
          <t>VÄSTERBOTTENS LÄN</t>
        </is>
      </c>
      <c r="E459" t="inlineStr">
        <is>
          <t>DOROTEA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5251-2024</t>
        </is>
      </c>
      <c r="B460" s="1" t="n">
        <v>45330</v>
      </c>
      <c r="C460" s="1" t="n">
        <v>45570</v>
      </c>
      <c r="D460" t="inlineStr">
        <is>
          <t>VÄSTERBOTTENS LÄN</t>
        </is>
      </c>
      <c r="E460" t="inlineStr">
        <is>
          <t>DOROTEA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5495-2024</t>
        </is>
      </c>
      <c r="B461" s="1" t="n">
        <v>45331</v>
      </c>
      <c r="C461" s="1" t="n">
        <v>45570</v>
      </c>
      <c r="D461" t="inlineStr">
        <is>
          <t>VÄSTERBOTTENS LÄN</t>
        </is>
      </c>
      <c r="E461" t="inlineStr">
        <is>
          <t>DOROTEA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5735-2024</t>
        </is>
      </c>
      <c r="B462" s="1" t="n">
        <v>45334</v>
      </c>
      <c r="C462" s="1" t="n">
        <v>45570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45570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45570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45570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45570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45570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45570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45570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45570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45570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45570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45570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45570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45570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45570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45570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45570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45570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45570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45570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45570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45570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45570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45570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45570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45570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45570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45570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45570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45570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45570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45570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45570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45570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45570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45570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45570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45570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45570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45570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45570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45570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45570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45570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45570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45570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45570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45570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45570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45570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45570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45570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45570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45570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45570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45570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45570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45570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45570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45570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45570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45570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45570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45570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45570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45570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45570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45570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45570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45570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45570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45570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45570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45570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45570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45570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45570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45570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45570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45570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45570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45570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45570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45570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45570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45570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45570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45570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45570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45570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45570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45570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45570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45570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45570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45570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45570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45570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45570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45570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45570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45570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36410-2024</t>
        </is>
      </c>
      <c r="B564" s="1" t="n">
        <v>45535</v>
      </c>
      <c r="C564" s="1" t="n">
        <v>45570</v>
      </c>
      <c r="D564" t="inlineStr">
        <is>
          <t>VÄSTERBOTTENS LÄN</t>
        </is>
      </c>
      <c r="E564" t="inlineStr">
        <is>
          <t>DOROTEA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36409-2024</t>
        </is>
      </c>
      <c r="B565" s="1" t="n">
        <v>45535</v>
      </c>
      <c r="C565" s="1" t="n">
        <v>45570</v>
      </c>
      <c r="D565" t="inlineStr">
        <is>
          <t>VÄSTERBOTTENS LÄN</t>
        </is>
      </c>
      <c r="E565" t="inlineStr">
        <is>
          <t>DOROTEA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45570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37105-2024</t>
        </is>
      </c>
      <c r="B567" s="1" t="n">
        <v>45539</v>
      </c>
      <c r="C567" s="1" t="n">
        <v>45570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45570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38174-2024</t>
        </is>
      </c>
      <c r="B569" s="1" t="n">
        <v>45545</v>
      </c>
      <c r="C569" s="1" t="n">
        <v>45570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38205-2024</t>
        </is>
      </c>
      <c r="B570" s="1" t="n">
        <v>45545</v>
      </c>
      <c r="C570" s="1" t="n">
        <v>45570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38700-2024</t>
        </is>
      </c>
      <c r="B571" s="1" t="n">
        <v>45547</v>
      </c>
      <c r="C571" s="1" t="n">
        <v>45570</v>
      </c>
      <c r="D571" t="inlineStr">
        <is>
          <t>VÄSTERBOTTENS LÄN</t>
        </is>
      </c>
      <c r="E571" t="inlineStr">
        <is>
          <t>DOROTEA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38697-2024</t>
        </is>
      </c>
      <c r="B572" s="1" t="n">
        <v>45547</v>
      </c>
      <c r="C572" s="1" t="n">
        <v>45570</v>
      </c>
      <c r="D572" t="inlineStr">
        <is>
          <t>VÄSTERBOTTENS LÄN</t>
        </is>
      </c>
      <c r="E572" t="inlineStr">
        <is>
          <t>DOROTEA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39471-2024</t>
        </is>
      </c>
      <c r="B573" s="1" t="n">
        <v>45551</v>
      </c>
      <c r="C573" s="1" t="n">
        <v>45570</v>
      </c>
      <c r="D573" t="inlineStr">
        <is>
          <t>VÄSTERBOTTENS LÄN</t>
        </is>
      </c>
      <c r="E573" t="inlineStr">
        <is>
          <t>DOROTEA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39470-2024</t>
        </is>
      </c>
      <c r="B574" s="1" t="n">
        <v>45551</v>
      </c>
      <c r="C574" s="1" t="n">
        <v>45570</v>
      </c>
      <c r="D574" t="inlineStr">
        <is>
          <t>VÄSTERBOTTENS LÄN</t>
        </is>
      </c>
      <c r="E574" t="inlineStr">
        <is>
          <t>DOROTEA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45570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40013-2024</t>
        </is>
      </c>
      <c r="B576" s="1" t="n">
        <v>45553</v>
      </c>
      <c r="C576" s="1" t="n">
        <v>45570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40004-2024</t>
        </is>
      </c>
      <c r="B577" s="1" t="n">
        <v>45553</v>
      </c>
      <c r="C577" s="1" t="n">
        <v>45570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45570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41488-2024</t>
        </is>
      </c>
      <c r="B579" s="1" t="n">
        <v>45560</v>
      </c>
      <c r="C579" s="1" t="n">
        <v>45570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45570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41771-2024</t>
        </is>
      </c>
      <c r="B581" s="1" t="n">
        <v>45561</v>
      </c>
      <c r="C581" s="1" t="n">
        <v>45570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41760-2024</t>
        </is>
      </c>
      <c r="B582" s="1" t="n">
        <v>45561</v>
      </c>
      <c r="C582" s="1" t="n">
        <v>45570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42104-2024</t>
        </is>
      </c>
      <c r="B583" s="1" t="n">
        <v>45562</v>
      </c>
      <c r="C583" s="1" t="n">
        <v>45570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42228-2024</t>
        </is>
      </c>
      <c r="B584" s="1" t="n">
        <v>45562</v>
      </c>
      <c r="C584" s="1" t="n">
        <v>45570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42484-2024</t>
        </is>
      </c>
      <c r="B585" s="1" t="n">
        <v>45565</v>
      </c>
      <c r="C585" s="1" t="n">
        <v>45570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42473-2024</t>
        </is>
      </c>
      <c r="B586" s="1" t="n">
        <v>45565</v>
      </c>
      <c r="C586" s="1" t="n">
        <v>45570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42889-2024</t>
        </is>
      </c>
      <c r="B587" s="1" t="n">
        <v>45566</v>
      </c>
      <c r="C587" s="1" t="n">
        <v>45570</v>
      </c>
      <c r="D587" t="inlineStr">
        <is>
          <t>VÄSTERBOTTENS LÄN</t>
        </is>
      </c>
      <c r="E587" t="inlineStr">
        <is>
          <t>DOROTEA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2024-10-05T12:59:56Z</dcterms:created>
  <dcterms:modified xmlns:dcterms="http://purl.org/dc/terms/" xmlns:xsi="http://www.w3.org/2001/XMLSchema-instance" xsi:type="dcterms:W3CDTF">2024-10-05T12:59:56Z</dcterms:modified>
</cp:coreProperties>
</file>