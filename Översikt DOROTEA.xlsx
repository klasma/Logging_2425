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46258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46258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46258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27557-2025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45813</v>
      </c>
      <c r="E5" s="1" t="n">
        <v>46258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20.7</v>
      </c>
      <c r="J5" t="n">
        <v>4</v>
      </c>
      <c r="K5" t="n">
        <v>4</v>
      </c>
      <c r="L5" t="n">
        <v>4</v>
      </c>
      <c r="M5" t="n">
        <v>4</v>
      </c>
      <c r="N5" t="n">
        <v>0</v>
      </c>
      <c r="O5" t="n">
        <v>0</v>
      </c>
      <c r="P5" t="n">
        <v>0</v>
      </c>
      <c r="Q5" t="n">
        <v>8</v>
      </c>
      <c r="R5" t="n">
        <v>4</v>
      </c>
      <c r="S5" t="n">
        <v>14</v>
      </c>
      <c r="T5" t="n">
        <v>119</v>
      </c>
      <c r="U5" t="n">
        <v>105</v>
      </c>
      <c r="V5" s="2" t="inlineStr">
        <is>
          <t>Finporing
Garnlav
Gränsticka
Ostticka
Harticka
Koralltaggsvamp
Talltita
Tretåig hackspett
Kransrams
Luddlav
Stuplav
Trådticka
Spillkråka
Skogsrör</t>
        </is>
      </c>
      <c r="W5">
        <f>HYPERLINK("https://klasma.github.io/Logging_2425/artfynd/A 27557-2025 artfynd.xlsx", "A 27557-2025")</f>
        <v/>
      </c>
      <c r="X5">
        <f>HYPERLINK("https://klasma.github.io/Logging_2425/kartor/A 27557-2025 karta.png", "A 27557-2025")</f>
        <v/>
      </c>
      <c r="Y5">
        <f>HYPERLINK("https://klasma.github.io/Logging_2425/kartor_geotiff/A 27557-2025 georefererad karta.tif", "A 27557-2025")</f>
        <v/>
      </c>
      <c r="AA5">
        <f>HYPERLINK("https://klasma.github.io/Logging_2425/klagomål/A 27557-2025 FSC-klagomål.docx", "A 27557-2025")</f>
        <v/>
      </c>
      <c r="AB5">
        <f>HYPERLINK("https://klasma.github.io/Logging_2425/klagomålsmail/A 27557-2025 FSC-klagomål mail.docx", "A 27557-2025")</f>
        <v/>
      </c>
      <c r="AC5">
        <f>HYPERLINK("https://klasma.github.io/Logging_2425/tillsyn/A 27557-2025 tillsynsbegäran.docx", "A 27557-2025")</f>
        <v/>
      </c>
      <c r="AD5">
        <f>HYPERLINK("https://klasma.github.io/Logging_2425/tillsynsmail/A 27557-2025 tillsynsbegäran mail.docx", "A 27557-2025")</f>
        <v/>
      </c>
      <c r="AE5">
        <f>HYPERLINK("https://klasma.github.io/Logging_2425/fåglar/A 27557-2025 prioriterade fågelarter.docx", "A 27557-2025")</f>
        <v/>
      </c>
    </row>
    <row r="6" ht="15" customHeight="1">
      <c r="A6" t="inlineStr">
        <is>
          <t>A 57581-2024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45630</v>
      </c>
      <c r="E6" s="1" t="n">
        <v>46258</v>
      </c>
      <c r="F6" t="inlineStr">
        <is>
          <t>VÄSTERBOTTENS LÄN</t>
        </is>
      </c>
      <c r="G6" t="inlineStr">
        <is>
          <t>DOROTEA</t>
        </is>
      </c>
      <c r="I6" t="n">
        <v>9.1</v>
      </c>
      <c r="J6" t="n">
        <v>4</v>
      </c>
      <c r="K6" t="n">
        <v>4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40</v>
      </c>
      <c r="U6" t="n">
        <v>40</v>
      </c>
      <c r="V6" s="2" t="inlineStr">
        <is>
          <t>Garnlav
Lunglav
Skrovellav
Talltagel
Talltita
Tretåig hackspett
Bårdlav
Luddlav
Norrlandslav
Skinnlav
Spillkråka
Fiskgjuse</t>
        </is>
      </c>
      <c r="W6">
        <f>HYPERLINK("https://klasma.github.io/Logging_2425/artfynd/A 57581-2024 artfynd.xlsx", "A 57581-2024")</f>
        <v/>
      </c>
      <c r="X6">
        <f>HYPERLINK("https://klasma.github.io/Logging_2425/kartor/A 57581-2024 karta.png", "A 57581-2024")</f>
        <v/>
      </c>
      <c r="Y6">
        <f>HYPERLINK("https://klasma.github.io/Logging_2425/kartor_geotiff/A 57581-2024 georefererad karta.tif", "A 57581-2024")</f>
        <v/>
      </c>
      <c r="AA6">
        <f>HYPERLINK("https://klasma.github.io/Logging_2425/klagomål/A 57581-2024 FSC-klagomål.docx", "A 57581-2024")</f>
        <v/>
      </c>
      <c r="AB6">
        <f>HYPERLINK("https://klasma.github.io/Logging_2425/klagomålsmail/A 57581-2024 FSC-klagomål mail.docx", "A 57581-2024")</f>
        <v/>
      </c>
      <c r="AC6">
        <f>HYPERLINK("https://klasma.github.io/Logging_2425/tillsyn/A 57581-2024 tillsynsbegäran.docx", "A 57581-2024")</f>
        <v/>
      </c>
      <c r="AD6">
        <f>HYPERLINK("https://klasma.github.io/Logging_2425/tillsynsmail/A 57581-2024 tillsynsbegäran mail.docx", "A 57581-2024")</f>
        <v/>
      </c>
      <c r="AE6">
        <f>HYPERLINK("https://klasma.github.io/Logging_2425/fåglar/A 57581-2024 prioriterade fågelarter.docx", "A 57581-2024")</f>
        <v/>
      </c>
    </row>
    <row r="7" ht="15" customHeight="1">
      <c r="A7" t="inlineStr">
        <is>
          <t>A 25257-2025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46258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10.6</v>
      </c>
      <c r="J7" t="n">
        <v>6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54</v>
      </c>
      <c r="U7" t="n">
        <v>54</v>
      </c>
      <c r="V7" s="2" t="inlineStr">
        <is>
          <t>Garnlav
Harticka
Lavskrika
Lunglav
Talltita
Tretåig hackspett
Luddlav
Plattlummer
Spindelblomster
Stuplav
Trådticka
Spillkråka</t>
        </is>
      </c>
      <c r="W7">
        <f>HYPERLINK("https://klasma.github.io/Logging_2425/artfynd/A 25257-2025 artfynd.xlsx", "A 25257-2025")</f>
        <v/>
      </c>
      <c r="X7">
        <f>HYPERLINK("https://klasma.github.io/Logging_2425/kartor/A 25257-2025 karta.png", "A 25257-2025")</f>
        <v/>
      </c>
      <c r="Y7">
        <f>HYPERLINK("https://klasma.github.io/Logging_2425/kartor_geotiff/A 25257-2025 georefererad karta.tif", "A 25257-2025")</f>
        <v/>
      </c>
      <c r="AA7">
        <f>HYPERLINK("https://klasma.github.io/Logging_2425/klagomål/A 25257-2025 FSC-klagomål.docx", "A 25257-2025")</f>
        <v/>
      </c>
      <c r="AB7">
        <f>HYPERLINK("https://klasma.github.io/Logging_2425/klagomålsmail/A 25257-2025 FSC-klagomål mail.docx", "A 25257-2025")</f>
        <v/>
      </c>
      <c r="AC7">
        <f>HYPERLINK("https://klasma.github.io/Logging_2425/tillsyn/A 25257-2025 tillsynsbegäran.docx", "A 25257-2025")</f>
        <v/>
      </c>
      <c r="AD7">
        <f>HYPERLINK("https://klasma.github.io/Logging_2425/tillsynsmail/A 25257-2025 tillsynsbegäran mail.docx", "A 25257-2025")</f>
        <v/>
      </c>
      <c r="AE7">
        <f>HYPERLINK("https://klasma.github.io/Logging_2425/fåglar/A 25257-2025 prioriterade fågelarter.docx", "A 25257-2025")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46258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53274-2024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45614</v>
      </c>
      <c r="E9" s="1" t="n">
        <v>46258</v>
      </c>
      <c r="F9" t="inlineStr">
        <is>
          <t>VÄSTERBOTTENS LÄN</t>
        </is>
      </c>
      <c r="G9" t="inlineStr">
        <is>
          <t>DOROTEA</t>
        </is>
      </c>
      <c r="I9" t="n">
        <v>15</v>
      </c>
      <c r="J9" t="n">
        <v>3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8</v>
      </c>
      <c r="T9" t="n">
        <v>26</v>
      </c>
      <c r="U9" t="n">
        <v>26</v>
      </c>
      <c r="V9" s="2" t="inlineStr">
        <is>
          <t>Garnlav
Harticka
Kolflarnlav
Mörk kolflarnlav
Talltita
Tretåig hackspett
Luddlav
Spillkråka</t>
        </is>
      </c>
      <c r="W9">
        <f>HYPERLINK("https://klasma.github.io/Logging_2425/artfynd/A 53274-2024 artfynd.xlsx", "A 53274-2024")</f>
        <v/>
      </c>
      <c r="X9">
        <f>HYPERLINK("https://klasma.github.io/Logging_2425/kartor/A 53274-2024 karta.png", "A 53274-2024")</f>
        <v/>
      </c>
      <c r="Y9">
        <f>HYPERLINK("https://klasma.github.io/Logging_2425/kartor_geotiff/A 53274-2024 georefererad karta.tif", "A 53274-2024")</f>
        <v/>
      </c>
      <c r="AA9">
        <f>HYPERLINK("https://klasma.github.io/Logging_2425/klagomål/A 53274-2024 FSC-klagomål.docx", "A 53274-2024")</f>
        <v/>
      </c>
      <c r="AB9">
        <f>HYPERLINK("https://klasma.github.io/Logging_2425/klagomålsmail/A 53274-2024 FSC-klagomål mail.docx", "A 53274-2024")</f>
        <v/>
      </c>
      <c r="AC9">
        <f>HYPERLINK("https://klasma.github.io/Logging_2425/tillsyn/A 53274-2024 tillsynsbegäran.docx", "A 53274-2024")</f>
        <v/>
      </c>
      <c r="AD9">
        <f>HYPERLINK("https://klasma.github.io/Logging_2425/tillsynsmail/A 53274-2024 tillsynsbegäran mail.docx", "A 53274-2024")</f>
        <v/>
      </c>
      <c r="AE9">
        <f>HYPERLINK("https://klasma.github.io/Logging_2425/fåglar/A 53274-2024 prioriterade fågelarter.docx", "A 53274-2024")</f>
        <v/>
      </c>
    </row>
    <row r="10" ht="15" customHeight="1">
      <c r="A10" t="inlineStr">
        <is>
          <t>A 19331-2024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45428</v>
      </c>
      <c r="E10" s="1" t="n">
        <v>46258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21.7</v>
      </c>
      <c r="J10" t="n">
        <v>1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7</v>
      </c>
      <c r="T10" t="n">
        <v>72</v>
      </c>
      <c r="U10" t="n">
        <v>71</v>
      </c>
      <c r="V10" s="2" t="inlineStr">
        <is>
          <t>Garnlav
Lunglav
Skrovellav
Tretåig hackspett
Bårdlav
Luddlav
Stuplav</t>
        </is>
      </c>
      <c r="W10">
        <f>HYPERLINK("https://klasma.github.io/Logging_2425/artfynd/A 19331-2024 artfynd.xlsx", "A 19331-2024")</f>
        <v/>
      </c>
      <c r="X10">
        <f>HYPERLINK("https://klasma.github.io/Logging_2425/kartor/A 19331-2024 karta.png", "A 19331-2024")</f>
        <v/>
      </c>
      <c r="Y10">
        <f>HYPERLINK("https://klasma.github.io/Logging_2425/kartor_geotiff/A 19331-2024 georefererad karta.tif", "A 19331-2024")</f>
        <v/>
      </c>
      <c r="AA10">
        <f>HYPERLINK("https://klasma.github.io/Logging_2425/klagomål/A 19331-2024 FSC-klagomål.docx", "A 19331-2024")</f>
        <v/>
      </c>
      <c r="AB10">
        <f>HYPERLINK("https://klasma.github.io/Logging_2425/klagomålsmail/A 19331-2024 FSC-klagomål mail.docx", "A 19331-2024")</f>
        <v/>
      </c>
      <c r="AC10">
        <f>HYPERLINK("https://klasma.github.io/Logging_2425/tillsyn/A 19331-2024 tillsynsbegäran.docx", "A 19331-2024")</f>
        <v/>
      </c>
      <c r="AD10">
        <f>HYPERLINK("https://klasma.github.io/Logging_2425/tillsynsmail/A 19331-2024 tillsynsbegäran mail.docx", "A 19331-2024")</f>
        <v/>
      </c>
      <c r="AE10">
        <f>HYPERLINK("https://klasma.github.io/Logging_2425/fåglar/A 19331-2024 prioriterade fågelarter.docx", "A 19331-2024")</f>
        <v/>
      </c>
    </row>
    <row r="11" ht="15" customHeight="1">
      <c r="A11" t="inlineStr">
        <is>
          <t>A 57059-2024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46258</v>
      </c>
      <c r="F11" t="inlineStr">
        <is>
          <t>VÄSTERBOTTENS LÄN</t>
        </is>
      </c>
      <c r="G11" t="inlineStr">
        <is>
          <t>DOROTEA</t>
        </is>
      </c>
      <c r="H11" t="inlineStr">
        <is>
          <t>SCA</t>
        </is>
      </c>
      <c r="I11" t="n">
        <v>7.5</v>
      </c>
      <c r="J11" t="n">
        <v>0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9</v>
      </c>
      <c r="U11" t="n">
        <v>0</v>
      </c>
      <c r="V11" s="2" t="inlineStr">
        <is>
          <t>Garnlav
Harticka
Lunglav
Skrovellav
Vitgrynig nållav
Barkticka
Luddlav</t>
        </is>
      </c>
      <c r="W11">
        <f>HYPERLINK("https://klasma.github.io/Logging_2425/artfynd/A 57059-2024 artfynd.xlsx", "A 57059-2024")</f>
        <v/>
      </c>
      <c r="X11">
        <f>HYPERLINK("https://klasma.github.io/Logging_2425/kartor/A 57059-2024 karta.png", "A 57059-2024")</f>
        <v/>
      </c>
      <c r="Y11">
        <f>HYPERLINK("https://klasma.github.io/Logging_2425/kartor_geotiff/A 57059-2024 georefererad karta.tif", "A 57059-2024")</f>
        <v/>
      </c>
      <c r="AA11">
        <f>HYPERLINK("https://klasma.github.io/Logging_2425/klagomål/A 57059-2024 FSC-klagomål.docx", "A 57059-2024")</f>
        <v/>
      </c>
      <c r="AB11">
        <f>HYPERLINK("https://klasma.github.io/Logging_2425/klagomålsmail/A 57059-2024 FSC-klagomål mail.docx", "A 57059-2024")</f>
        <v/>
      </c>
      <c r="AC11">
        <f>HYPERLINK("https://klasma.github.io/Logging_2425/tillsyn/A 57059-2024 tillsynsbegäran.docx", "A 57059-2024")</f>
        <v/>
      </c>
      <c r="AD11">
        <f>HYPERLINK("https://klasma.github.io/Logging_2425/tillsynsmail/A 57059-2024 tillsynsbegäran mail.docx", "A 57059-2024")</f>
        <v/>
      </c>
    </row>
    <row r="12" ht="15" customHeight="1">
      <c r="A12" t="inlineStr">
        <is>
          <t>A 33655-2023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46258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21.4</v>
      </c>
      <c r="J12" t="n">
        <v>0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12</v>
      </c>
      <c r="U12" t="n">
        <v>12</v>
      </c>
      <c r="V12" s="2" t="inlineStr">
        <is>
          <t>Garnlav
Fjällig taggsvamp s.str.
Harticka
Rosenticka
Ullticka
Trådticka</t>
        </is>
      </c>
      <c r="W12">
        <f>HYPERLINK("https://klasma.github.io/Logging_2425/artfynd/A 33655-2023 artfynd.xlsx", "A 33655-2023")</f>
        <v/>
      </c>
      <c r="X12">
        <f>HYPERLINK("https://klasma.github.io/Logging_2425/kartor/A 33655-2023 karta.png", "A 33655-2023")</f>
        <v/>
      </c>
      <c r="Y12">
        <f>HYPERLINK("https://klasma.github.io/Logging_2425/kartor_geotiff/A 33655-2023 georefererad karta.tif", "A 33655-2023")</f>
        <v/>
      </c>
      <c r="AA12">
        <f>HYPERLINK("https://klasma.github.io/Logging_2425/klagomål/A 33655-2023 FSC-klagomål.docx", "A 33655-2023")</f>
        <v/>
      </c>
      <c r="AB12">
        <f>HYPERLINK("https://klasma.github.io/Logging_2425/klagomålsmail/A 33655-2023 FSC-klagomål mail.docx", "A 33655-2023")</f>
        <v/>
      </c>
      <c r="AC12">
        <f>HYPERLINK("https://klasma.github.io/Logging_2425/tillsyn/A 33655-2023 tillsynsbegäran.docx", "A 33655-2023")</f>
        <v/>
      </c>
      <c r="AD12">
        <f>HYPERLINK("https://klasma.github.io/Logging_2425/tillsynsmail/A 33655-2023 tillsynsbegäran mail.docx", "A 33655-2023")</f>
        <v/>
      </c>
    </row>
    <row r="13" ht="15" customHeight="1">
      <c r="A13" t="inlineStr">
        <is>
          <t>A 8853-2024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45356</v>
      </c>
      <c r="E13" s="1" t="n">
        <v>46258</v>
      </c>
      <c r="F13" t="inlineStr">
        <is>
          <t>VÄSTERBOTTENS LÄN</t>
        </is>
      </c>
      <c r="G13" t="inlineStr">
        <is>
          <t>DOROTEA</t>
        </is>
      </c>
      <c r="I13" t="n">
        <v>1.9</v>
      </c>
      <c r="J13" t="n">
        <v>1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14</v>
      </c>
      <c r="U13" t="n">
        <v>14</v>
      </c>
      <c r="V13" s="2" t="inlineStr">
        <is>
          <t>Garnlav
Vitgrynig nållav
Luddlav
Stuplav
Ögonpyrola
Kungsfågel</t>
        </is>
      </c>
      <c r="W13">
        <f>HYPERLINK("https://klasma.github.io/Logging_2425/artfynd/A 8853-2024 artfynd.xlsx", "A 8853-2024")</f>
        <v/>
      </c>
      <c r="X13">
        <f>HYPERLINK("https://klasma.github.io/Logging_2425/kartor/A 8853-2024 karta.png", "A 8853-2024")</f>
        <v/>
      </c>
      <c r="Y13">
        <f>HYPERLINK("https://klasma.github.io/Logging_2425/kartor_geotiff/A 8853-2024 georefererad karta.tif", "A 8853-2024")</f>
        <v/>
      </c>
      <c r="AA13">
        <f>HYPERLINK("https://klasma.github.io/Logging_2425/klagomål/A 8853-2024 FSC-klagomål.docx", "A 8853-2024")</f>
        <v/>
      </c>
      <c r="AB13">
        <f>HYPERLINK("https://klasma.github.io/Logging_2425/klagomålsmail/A 8853-2024 FSC-klagomål mail.docx", "A 8853-2024")</f>
        <v/>
      </c>
      <c r="AC13">
        <f>HYPERLINK("https://klasma.github.io/Logging_2425/tillsyn/A 8853-2024 tillsynsbegäran.docx", "A 8853-2024")</f>
        <v/>
      </c>
      <c r="AD13">
        <f>HYPERLINK("https://klasma.github.io/Logging_2425/tillsynsmail/A 8853-2024 tillsynsbegäran mail.docx", "A 8853-2024")</f>
        <v/>
      </c>
    </row>
    <row r="14" ht="15" customHeight="1">
      <c r="A14" t="inlineStr">
        <is>
          <t>A 67790-2021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44526</v>
      </c>
      <c r="E14" s="1" t="n">
        <v>46258</v>
      </c>
      <c r="F14" t="inlineStr">
        <is>
          <t>VÄSTERBOTTENS LÄN</t>
        </is>
      </c>
      <c r="G14" t="inlineStr">
        <is>
          <t>DOROTEA</t>
        </is>
      </c>
      <c r="H14" t="inlineStr">
        <is>
          <t>Övriga statliga verk och myndigheter</t>
        </is>
      </c>
      <c r="I14" t="n">
        <v>3.2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24</v>
      </c>
      <c r="U14" t="n">
        <v>10</v>
      </c>
      <c r="V14" s="2" t="inlineStr">
        <is>
          <t>Tretåig hackspett
Axag
Gräsull
Skogsrör
Brudsporre
Lopplummer (aggregat)</t>
        </is>
      </c>
      <c r="W14">
        <f>HYPERLINK("https://klasma.github.io/Logging_2425/artfynd/A 67790-2021 artfynd.xlsx", "A 67790-2021")</f>
        <v/>
      </c>
      <c r="X14">
        <f>HYPERLINK("https://klasma.github.io/Logging_2425/kartor/A 67790-2021 karta.png", "A 67790-2021")</f>
        <v/>
      </c>
      <c r="Y14">
        <f>HYPERLINK("https://klasma.github.io/Logging_2425/kartor_geotiff/A 67790-2021 georefererad karta.tif", "A 67790-2021")</f>
        <v/>
      </c>
      <c r="AA14">
        <f>HYPERLINK("https://klasma.github.io/Logging_2425/klagomål/A 67790-2021 FSC-klagomål.docx", "A 67790-2021")</f>
        <v/>
      </c>
      <c r="AB14">
        <f>HYPERLINK("https://klasma.github.io/Logging_2425/klagomålsmail/A 67790-2021 FSC-klagomål mail.docx", "A 67790-2021")</f>
        <v/>
      </c>
      <c r="AC14">
        <f>HYPERLINK("https://klasma.github.io/Logging_2425/tillsyn/A 67790-2021 tillsynsbegäran.docx", "A 67790-2021")</f>
        <v/>
      </c>
      <c r="AD14">
        <f>HYPERLINK("https://klasma.github.io/Logging_2425/tillsynsmail/A 67790-2021 tillsynsbegäran mail.docx", "A 67790-2021")</f>
        <v/>
      </c>
      <c r="AE14">
        <f>HYPERLINK("https://klasma.github.io/Logging_2425/fåglar/A 67790-2021 prioriterade fågelarter.docx", "A 67790-2021")</f>
        <v/>
      </c>
    </row>
    <row r="15" ht="15" customHeight="1">
      <c r="A15" t="inlineStr">
        <is>
          <t>A 33659-2023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45119</v>
      </c>
      <c r="E15" s="1" t="n">
        <v>46258</v>
      </c>
      <c r="F15" t="inlineStr">
        <is>
          <t>VÄSTERBOTTENS LÄN</t>
        </is>
      </c>
      <c r="G15" t="inlineStr">
        <is>
          <t>DOROTEA</t>
        </is>
      </c>
      <c r="H15" t="inlineStr">
        <is>
          <t>Allmännings- och besparingsskogar</t>
        </is>
      </c>
      <c r="I15" t="n">
        <v>21.1</v>
      </c>
      <c r="J15" t="n">
        <v>2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36</v>
      </c>
      <c r="U15" t="n">
        <v>36</v>
      </c>
      <c r="V15" s="2" t="inlineStr">
        <is>
          <t>Garnlav
Harticka
Lavskrika
Stjärntagging
Tretåig hackspett
Trådticka</t>
        </is>
      </c>
      <c r="W15">
        <f>HYPERLINK("https://klasma.github.io/Logging_2425/artfynd/A 33659-2023 artfynd.xlsx", "A 33659-2023")</f>
        <v/>
      </c>
      <c r="X15">
        <f>HYPERLINK("https://klasma.github.io/Logging_2425/kartor/A 33659-2023 karta.png", "A 33659-2023")</f>
        <v/>
      </c>
      <c r="Y15">
        <f>HYPERLINK("https://klasma.github.io/Logging_2425/kartor_geotiff/A 33659-2023 georefererad karta.tif", "A 33659-2023")</f>
        <v/>
      </c>
      <c r="AA15">
        <f>HYPERLINK("https://klasma.github.io/Logging_2425/klagomål/A 33659-2023 FSC-klagomål.docx", "A 33659-2023")</f>
        <v/>
      </c>
      <c r="AB15">
        <f>HYPERLINK("https://klasma.github.io/Logging_2425/klagomålsmail/A 33659-2023 FSC-klagomål mail.docx", "A 33659-2023")</f>
        <v/>
      </c>
      <c r="AC15">
        <f>HYPERLINK("https://klasma.github.io/Logging_2425/tillsyn/A 33659-2023 tillsynsbegäran.docx", "A 33659-2023")</f>
        <v/>
      </c>
      <c r="AD15">
        <f>HYPERLINK("https://klasma.github.io/Logging_2425/tillsynsmail/A 33659-2023 tillsynsbegäran mail.docx", "A 33659-2023")</f>
        <v/>
      </c>
      <c r="AE15">
        <f>HYPERLINK("https://klasma.github.io/Logging_2425/fåglar/A 33659-2023 prioriterade fågelarter.docx", "A 33659-2023")</f>
        <v/>
      </c>
    </row>
    <row r="16" ht="15" customHeight="1">
      <c r="A16" t="inlineStr">
        <is>
          <t>A 47955-2022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44853</v>
      </c>
      <c r="E16" s="1" t="n">
        <v>46258</v>
      </c>
      <c r="F16" t="inlineStr">
        <is>
          <t>VÄSTERBOTTENS LÄN</t>
        </is>
      </c>
      <c r="G16" t="inlineStr">
        <is>
          <t>DOROTEA</t>
        </is>
      </c>
      <c r="I16" t="n">
        <v>16.3</v>
      </c>
      <c r="J16" t="n">
        <v>1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7</v>
      </c>
      <c r="U16" t="n">
        <v>7</v>
      </c>
      <c r="V16" s="2" t="inlineStr">
        <is>
          <t>Gränsticka
Doftskinn
Harticka
Tretåig hackspett
Ullticka</t>
        </is>
      </c>
      <c r="W16">
        <f>HYPERLINK("https://klasma.github.io/Logging_2425/artfynd/A 47955-2022 artfynd.xlsx", "A 47955-2022")</f>
        <v/>
      </c>
      <c r="X16">
        <f>HYPERLINK("https://klasma.github.io/Logging_2425/kartor/A 47955-2022 karta.png", "A 47955-2022")</f>
        <v/>
      </c>
      <c r="Y16">
        <f>HYPERLINK("https://klasma.github.io/Logging_2425/kartor_geotiff/A 47955-2022 georefererad karta.tif", "A 47955-2022")</f>
        <v/>
      </c>
      <c r="AA16">
        <f>HYPERLINK("https://klasma.github.io/Logging_2425/klagomål/A 47955-2022 FSC-klagomål.docx", "A 47955-2022")</f>
        <v/>
      </c>
      <c r="AB16">
        <f>HYPERLINK("https://klasma.github.io/Logging_2425/klagomålsmail/A 47955-2022 FSC-klagomål mail.docx", "A 47955-2022")</f>
        <v/>
      </c>
      <c r="AC16">
        <f>HYPERLINK("https://klasma.github.io/Logging_2425/tillsyn/A 47955-2022 tillsynsbegäran.docx", "A 47955-2022")</f>
        <v/>
      </c>
      <c r="AD16">
        <f>HYPERLINK("https://klasma.github.io/Logging_2425/tillsynsmail/A 47955-2022 tillsynsbegäran mail.docx", "A 47955-2022")</f>
        <v/>
      </c>
      <c r="AE16">
        <f>HYPERLINK("https://klasma.github.io/Logging_2425/fåglar/A 47955-2022 prioriterade fågelarter.docx", "A 47955-2022")</f>
        <v/>
      </c>
    </row>
    <row r="17" ht="15" customHeight="1">
      <c r="A17" t="inlineStr">
        <is>
          <t>A 52738-2023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45225</v>
      </c>
      <c r="E17" s="1" t="n">
        <v>46258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8.800000000000001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7</v>
      </c>
      <c r="U17" t="n">
        <v>5</v>
      </c>
      <c r="V17" s="2" t="inlineStr">
        <is>
          <t>Doftticka
Vitgrynig nållav
Trådticka
Tjäder
Orre</t>
        </is>
      </c>
      <c r="W17">
        <f>HYPERLINK("https://klasma.github.io/Logging_2425/artfynd/A 52738-2023 artfynd.xlsx", "A 52738-2023")</f>
        <v/>
      </c>
      <c r="X17">
        <f>HYPERLINK("https://klasma.github.io/Logging_2425/kartor/A 52738-2023 karta.png", "A 52738-2023")</f>
        <v/>
      </c>
      <c r="Y17">
        <f>HYPERLINK("https://klasma.github.io/Logging_2425/kartor_geotiff/A 52738-2023 georefererad karta.tif", "A 52738-2023")</f>
        <v/>
      </c>
      <c r="AA17">
        <f>HYPERLINK("https://klasma.github.io/Logging_2425/klagomål/A 52738-2023 FSC-klagomål.docx", "A 52738-2023")</f>
        <v/>
      </c>
      <c r="AB17">
        <f>HYPERLINK("https://klasma.github.io/Logging_2425/klagomålsmail/A 52738-2023 FSC-klagomål mail.docx", "A 52738-2023")</f>
        <v/>
      </c>
      <c r="AC17">
        <f>HYPERLINK("https://klasma.github.io/Logging_2425/tillsyn/A 52738-2023 tillsynsbegäran.docx", "A 52738-2023")</f>
        <v/>
      </c>
      <c r="AD17">
        <f>HYPERLINK("https://klasma.github.io/Logging_2425/tillsynsmail/A 52738-2023 tillsynsbegäran mail.docx", "A 52738-2023")</f>
        <v/>
      </c>
      <c r="AE17">
        <f>HYPERLINK("https://klasma.github.io/Logging_2425/fåglar/A 52738-2023 prioriterade fågelarter.docx", "A 52738-2023")</f>
        <v/>
      </c>
    </row>
    <row r="18" ht="15" customHeight="1">
      <c r="A18" t="inlineStr">
        <is>
          <t>A 30755-2026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46258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2.5</v>
      </c>
      <c r="J18" t="n">
        <v>1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Gammelgransskål
Rynkskinn
Plattlummer
Skinnlav
Stuplav</t>
        </is>
      </c>
      <c r="W18">
        <f>HYPERLINK("https://klasma.github.io/Logging_2425/artfynd/A 30755-2026 artfynd.xlsx", "A 30755-2026")</f>
        <v/>
      </c>
      <c r="X18">
        <f>HYPERLINK("https://klasma.github.io/Logging_2425/kartor/A 30755-2026 karta.png", "A 30755-2026")</f>
        <v/>
      </c>
      <c r="Y18">
        <f>HYPERLINK("https://klasma.github.io/Logging_2425/kartor_geotiff/A 30755-2026 georefererad karta.tif", "A 30755-2026")</f>
        <v/>
      </c>
      <c r="AA18">
        <f>HYPERLINK("https://klasma.github.io/Logging_2425/klagomål/A 30755-2026 FSC-klagomål.docx", "A 30755-2026")</f>
        <v/>
      </c>
      <c r="AB18">
        <f>HYPERLINK("https://klasma.github.io/Logging_2425/klagomålsmail/A 30755-2026 FSC-klagomål mail.docx", "A 30755-2026")</f>
        <v/>
      </c>
      <c r="AC18">
        <f>HYPERLINK("https://klasma.github.io/Logging_2425/tillsyn/A 30755-2026 tillsynsbegäran.docx", "A 30755-2026")</f>
        <v/>
      </c>
      <c r="AD18">
        <f>HYPERLINK("https://klasma.github.io/Logging_2425/tillsynsmail/A 30755-2026 tillsynsbegäran mail.docx", "A 30755-2026")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46258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A 28671-2026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46198</v>
      </c>
      <c r="E20" s="1" t="n">
        <v>46258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27</v>
      </c>
      <c r="J20" t="n">
        <v>0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Ostticka
Rosenticka
Skinnlav
Stuplav</t>
        </is>
      </c>
      <c r="W20">
        <f>HYPERLINK("https://klasma.github.io/Logging_2425/artfynd/A 28671-2026 artfynd.xlsx", "A 28671-2026")</f>
        <v/>
      </c>
      <c r="X20">
        <f>HYPERLINK("https://klasma.github.io/Logging_2425/kartor/A 28671-2026 karta.png", "A 28671-2026")</f>
        <v/>
      </c>
      <c r="Y20">
        <f>HYPERLINK("https://klasma.github.io/Logging_2425/kartor_geotiff/A 28671-2026 georefererad karta.tif", "A 28671-2026")</f>
        <v/>
      </c>
      <c r="AA20">
        <f>HYPERLINK("https://klasma.github.io/Logging_2425/klagomål/A 28671-2026 FSC-klagomål.docx", "A 28671-2026")</f>
        <v/>
      </c>
      <c r="AB20">
        <f>HYPERLINK("https://klasma.github.io/Logging_2425/klagomålsmail/A 28671-2026 FSC-klagomål mail.docx", "A 28671-2026")</f>
        <v/>
      </c>
      <c r="AC20">
        <f>HYPERLINK("https://klasma.github.io/Logging_2425/tillsyn/A 28671-2026 tillsynsbegäran.docx", "A 28671-2026")</f>
        <v/>
      </c>
      <c r="AD20">
        <f>HYPERLINK("https://klasma.github.io/Logging_2425/tillsynsmail/A 28671-2026 tillsynsbegäran mail.docx", "A 28671-2026")</f>
        <v/>
      </c>
    </row>
    <row r="21" ht="15" customHeight="1">
      <c r="A21" t="inlineStr">
        <is>
          <t>S 1152-2025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45756</v>
      </c>
      <c r="E21" s="1" t="n">
        <v>46258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19.2</v>
      </c>
      <c r="J21" t="n">
        <v>0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Dvärgbägarlav
Kortskaftad ärgspik
Lunglav
Vedtrappmossa</t>
        </is>
      </c>
      <c r="W21">
        <f>HYPERLINK("https://klasma.github.io/Logging_2425/artfynd/S 1152-2025 artfynd.xlsx", "S 1152-2025")</f>
        <v/>
      </c>
      <c r="X21">
        <f>HYPERLINK("https://klasma.github.io/Logging_2425/kartor/S 1152-2025 karta.png", "S 1152-2025")</f>
        <v/>
      </c>
      <c r="Y21">
        <f>HYPERLINK("https://klasma.github.io/Logging_2425/kartor_geotiff/S 1152-2025 georefererad karta.tif", "S 1152-2025")</f>
        <v/>
      </c>
      <c r="AA21">
        <f>HYPERLINK("https://klasma.github.io/Logging_2425/klagomål/S 1152-2025 FSC-klagomål.docx", "S 1152-2025")</f>
        <v/>
      </c>
      <c r="AB21">
        <f>HYPERLINK("https://klasma.github.io/Logging_2425/klagomålsmail/S 1152-2025 FSC-klagomål mail.docx", "S 1152-2025")</f>
        <v/>
      </c>
      <c r="AC21">
        <f>HYPERLINK("https://klasma.github.io/Logging_2425/tillsyn/S 1152-2025 tillsynsbegäran.docx", "S 1152-2025")</f>
        <v/>
      </c>
      <c r="AD21">
        <f>HYPERLINK("https://klasma.github.io/Logging_2425/tillsynsmail/S 1152-2025 tillsynsbegäran mail.docx", "S 1152-2025")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46258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A 28909-2025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46258</v>
      </c>
      <c r="F23" t="inlineStr">
        <is>
          <t>VÄSTERBOTTENS LÄN</t>
        </is>
      </c>
      <c r="G23" t="inlineStr">
        <is>
          <t>DOROTEA</t>
        </is>
      </c>
      <c r="H23" t="inlineStr">
        <is>
          <t>Kyrkan</t>
        </is>
      </c>
      <c r="I23" t="n">
        <v>5.5</v>
      </c>
      <c r="J23" t="n">
        <v>1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8</v>
      </c>
      <c r="U23" t="n">
        <v>8</v>
      </c>
      <c r="V23" s="2" t="inlineStr">
        <is>
          <t>Kolflarnlav
Mörk kolflarnlav
Tretåig hackspett</t>
        </is>
      </c>
      <c r="W23">
        <f>HYPERLINK("https://klasma.github.io/Logging_2425/artfynd/A 28909-2025 artfynd.xlsx", "A 28909-2025")</f>
        <v/>
      </c>
      <c r="X23">
        <f>HYPERLINK("https://klasma.github.io/Logging_2425/kartor/A 28909-2025 karta.png", "A 28909-2025")</f>
        <v/>
      </c>
      <c r="Y23">
        <f>HYPERLINK("https://klasma.github.io/Logging_2425/kartor_geotiff/A 28909-2025 georefererad karta.tif", "A 28909-2025")</f>
        <v/>
      </c>
      <c r="AA23">
        <f>HYPERLINK("https://klasma.github.io/Logging_2425/klagomål/A 28909-2025 FSC-klagomål.docx", "A 28909-2025")</f>
        <v/>
      </c>
      <c r="AB23">
        <f>HYPERLINK("https://klasma.github.io/Logging_2425/klagomålsmail/A 28909-2025 FSC-klagomål mail.docx", "A 28909-2025")</f>
        <v/>
      </c>
      <c r="AC23">
        <f>HYPERLINK("https://klasma.github.io/Logging_2425/tillsyn/A 28909-2025 tillsynsbegäran.docx", "A 28909-2025")</f>
        <v/>
      </c>
      <c r="AD23">
        <f>HYPERLINK("https://klasma.github.io/Logging_2425/tillsynsmail/A 28909-2025 tillsynsbegäran mail.docx", "A 28909-2025")</f>
        <v/>
      </c>
      <c r="AE23">
        <f>HYPERLINK("https://klasma.github.io/Logging_2425/fåglar/A 28909-2025 prioriterade fågelarter.docx", "A 28909-2025")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46258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A 57783-2025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46258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8.5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Aspgelélav
Gammelgransskål
Tretåig hackspett</t>
        </is>
      </c>
      <c r="W25">
        <f>HYPERLINK("https://klasma.github.io/Logging_2425/artfynd/A 57783-2025 artfynd.xlsx", "A 57783-2025")</f>
        <v/>
      </c>
      <c r="X25">
        <f>HYPERLINK("https://klasma.github.io/Logging_2425/kartor/A 57783-2025 karta.png", "A 57783-2025")</f>
        <v/>
      </c>
      <c r="Y25">
        <f>HYPERLINK("https://klasma.github.io/Logging_2425/kartor_geotiff/A 57783-2025 georefererad karta.tif", "A 57783-2025")</f>
        <v/>
      </c>
      <c r="AA25">
        <f>HYPERLINK("https://klasma.github.io/Logging_2425/klagomål/A 57783-2025 FSC-klagomål.docx", "A 57783-2025")</f>
        <v/>
      </c>
      <c r="AB25">
        <f>HYPERLINK("https://klasma.github.io/Logging_2425/klagomålsmail/A 57783-2025 FSC-klagomål mail.docx", "A 57783-2025")</f>
        <v/>
      </c>
      <c r="AC25">
        <f>HYPERLINK("https://klasma.github.io/Logging_2425/tillsyn/A 57783-2025 tillsynsbegäran.docx", "A 57783-2025")</f>
        <v/>
      </c>
      <c r="AD25">
        <f>HYPERLINK("https://klasma.github.io/Logging_2425/tillsynsmail/A 57783-2025 tillsynsbegäran mail.docx", "A 57783-2025")</f>
        <v/>
      </c>
      <c r="AE25">
        <f>HYPERLINK("https://klasma.github.io/Logging_2425/fåglar/A 57783-2025 prioriterade fågelarter.docx", "A 57783-2025")</f>
        <v/>
      </c>
    </row>
    <row r="26" ht="15" customHeight="1">
      <c r="A26" t="inlineStr">
        <is>
          <t>S 2006-2025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45834</v>
      </c>
      <c r="E26" s="1" t="n">
        <v>46258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1.3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Kransrams
Stuplav</t>
        </is>
      </c>
      <c r="W26">
        <f>HYPERLINK("https://klasma.github.io/Logging_2425/artfynd/S 2006-2025 artfynd.xlsx", "S 2006-2025")</f>
        <v/>
      </c>
      <c r="X26">
        <f>HYPERLINK("https://klasma.github.io/Logging_2425/kartor/S 2006-2025 karta.png", "S 2006-2025")</f>
        <v/>
      </c>
      <c r="Y26">
        <f>HYPERLINK("https://klasma.github.io/Logging_2425/kartor_geotiff/S 2006-2025 georefererad karta.tif", "S 2006-2025")</f>
        <v/>
      </c>
      <c r="AA26">
        <f>HYPERLINK("https://klasma.github.io/Logging_2425/klagomål/S 2006-2025 FSC-klagomål.docx", "S 2006-2025")</f>
        <v/>
      </c>
      <c r="AB26">
        <f>HYPERLINK("https://klasma.github.io/Logging_2425/klagomålsmail/S 2006-2025 FSC-klagomål mail.docx", "S 2006-2025")</f>
        <v/>
      </c>
      <c r="AC26">
        <f>HYPERLINK("https://klasma.github.io/Logging_2425/tillsyn/S 2006-2025 tillsynsbegäran.docx", "S 2006-2025")</f>
        <v/>
      </c>
      <c r="AD26">
        <f>HYPERLINK("https://klasma.github.io/Logging_2425/tillsynsmail/S 2006-2025 tillsynsbegäran mail.docx", "S 2006-2025")</f>
        <v/>
      </c>
    </row>
    <row r="27" ht="15" customHeight="1">
      <c r="A27" t="inlineStr">
        <is>
          <t>A 17825-2024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45418</v>
      </c>
      <c r="E27" s="1" t="n">
        <v>46258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17825-2024 artfynd.xlsx", "A 17825-2024")</f>
        <v/>
      </c>
      <c r="X27">
        <f>HYPERLINK("https://klasma.github.io/Logging_2425/kartor/A 17825-2024 karta.png", "A 17825-2024")</f>
        <v/>
      </c>
      <c r="Y27">
        <f>HYPERLINK("https://klasma.github.io/Logging_2425/kartor_geotiff/A 17825-2024 georefererad karta.tif", "A 17825-2024")</f>
        <v/>
      </c>
      <c r="AA27">
        <f>HYPERLINK("https://klasma.github.io/Logging_2425/klagomål/A 17825-2024 FSC-klagomål.docx", "A 17825-2024")</f>
        <v/>
      </c>
      <c r="AB27">
        <f>HYPERLINK("https://klasma.github.io/Logging_2425/klagomålsmail/A 17825-2024 FSC-klagomål mail.docx", "A 17825-2024")</f>
        <v/>
      </c>
      <c r="AC27">
        <f>HYPERLINK("https://klasma.github.io/Logging_2425/tillsyn/A 17825-2024 tillsynsbegäran.docx", "A 17825-2024")</f>
        <v/>
      </c>
      <c r="AD27">
        <f>HYPERLINK("https://klasma.github.io/Logging_2425/tillsynsmail/A 17825-2024 tillsynsbegäran mail.docx", "A 17825-2024")</f>
        <v/>
      </c>
    </row>
    <row r="28" ht="15" customHeight="1">
      <c r="A28" t="inlineStr">
        <is>
          <t>A 19589-2024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45429</v>
      </c>
      <c r="E28" s="1" t="n">
        <v>46258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Lunglav
Talltita</t>
        </is>
      </c>
      <c r="W28">
        <f>HYPERLINK("https://klasma.github.io/Logging_2425/artfynd/A 19589-2024 artfynd.xlsx", "A 19589-2024")</f>
        <v/>
      </c>
      <c r="X28">
        <f>HYPERLINK("https://klasma.github.io/Logging_2425/kartor/A 19589-2024 karta.png", "A 19589-2024")</f>
        <v/>
      </c>
      <c r="Y28">
        <f>HYPERLINK("https://klasma.github.io/Logging_2425/kartor_geotiff/A 19589-2024 georefererad karta.tif", "A 19589-2024")</f>
        <v/>
      </c>
      <c r="AA28">
        <f>HYPERLINK("https://klasma.github.io/Logging_2425/klagomål/A 19589-2024 FSC-klagomål.docx", "A 19589-2024")</f>
        <v/>
      </c>
      <c r="AB28">
        <f>HYPERLINK("https://klasma.github.io/Logging_2425/klagomålsmail/A 19589-2024 FSC-klagomål mail.docx", "A 19589-2024")</f>
        <v/>
      </c>
      <c r="AC28">
        <f>HYPERLINK("https://klasma.github.io/Logging_2425/tillsyn/A 19589-2024 tillsynsbegäran.docx", "A 19589-2024")</f>
        <v/>
      </c>
      <c r="AD28">
        <f>HYPERLINK("https://klasma.github.io/Logging_2425/tillsynsmail/A 19589-2024 tillsynsbegäran mail.docx", "A 19589-2024")</f>
        <v/>
      </c>
      <c r="AE28">
        <f>HYPERLINK("https://klasma.github.io/Logging_2425/fåglar/A 19589-2024 prioriterade fågelarter.docx", "A 19589-2024")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46258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33263-2025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46258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Vedticka</t>
        </is>
      </c>
      <c r="W30">
        <f>HYPERLINK("https://klasma.github.io/Logging_2425/artfynd/A 33263-2025 artfynd.xlsx", "A 33263-2025")</f>
        <v/>
      </c>
      <c r="X30">
        <f>HYPERLINK("https://klasma.github.io/Logging_2425/kartor/A 33263-2025 karta.png", "A 33263-2025")</f>
        <v/>
      </c>
      <c r="Y30">
        <f>HYPERLINK("https://klasma.github.io/Logging_2425/kartor_geotiff/A 33263-2025 georefererad karta.tif", "A 33263-2025")</f>
        <v/>
      </c>
      <c r="AA30">
        <f>HYPERLINK("https://klasma.github.io/Logging_2425/klagomål/A 33263-2025 FSC-klagomål.docx", "A 33263-2025")</f>
        <v/>
      </c>
      <c r="AB30">
        <f>HYPERLINK("https://klasma.github.io/Logging_2425/klagomålsmail/A 33263-2025 FSC-klagomål mail.docx", "A 33263-2025")</f>
        <v/>
      </c>
      <c r="AC30">
        <f>HYPERLINK("https://klasma.github.io/Logging_2425/tillsyn/A 33263-2025 tillsynsbegäran.docx", "A 33263-2025")</f>
        <v/>
      </c>
      <c r="AD30">
        <f>HYPERLINK("https://klasma.github.io/Logging_2425/tillsynsmail/A 33263-2025 tillsynsbegäran mail.docx", "A 33263-2025")</f>
        <v/>
      </c>
    </row>
    <row r="31" ht="15" customHeight="1">
      <c r="A31" t="inlineStr">
        <is>
          <t>A 58736-2022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44902</v>
      </c>
      <c r="E31" s="1" t="n">
        <v>46258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3.4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Skrovellav</t>
        </is>
      </c>
      <c r="W31">
        <f>HYPERLINK("https://klasma.github.io/Logging_2425/artfynd/A 58736-2022 artfynd.xlsx", "A 58736-2022")</f>
        <v/>
      </c>
      <c r="X31">
        <f>HYPERLINK("https://klasma.github.io/Logging_2425/kartor/A 58736-2022 karta.png", "A 58736-2022")</f>
        <v/>
      </c>
      <c r="Y31">
        <f>HYPERLINK("https://klasma.github.io/Logging_2425/kartor_geotiff/A 58736-2022 georefererad karta.tif", "A 58736-2022")</f>
        <v/>
      </c>
      <c r="AA31">
        <f>HYPERLINK("https://klasma.github.io/Logging_2425/klagomål/A 58736-2022 FSC-klagomål.docx", "A 58736-2022")</f>
        <v/>
      </c>
      <c r="AB31">
        <f>HYPERLINK("https://klasma.github.io/Logging_2425/klagomålsmail/A 58736-2022 FSC-klagomål mail.docx", "A 58736-2022")</f>
        <v/>
      </c>
      <c r="AC31">
        <f>HYPERLINK("https://klasma.github.io/Logging_2425/tillsyn/A 58736-2022 tillsynsbegäran.docx", "A 58736-2022")</f>
        <v/>
      </c>
      <c r="AD31">
        <f>HYPERLINK("https://klasma.github.io/Logging_2425/tillsynsmail/A 58736-2022 tillsynsbegäran mail.docx", "A 58736-2022")</f>
        <v/>
      </c>
    </row>
    <row r="32" ht="15" customHeight="1">
      <c r="A32" t="inlineStr">
        <is>
          <t>A 27234-2024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45471</v>
      </c>
      <c r="E32" s="1" t="n">
        <v>46258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Rynkskinn
Skrovellav</t>
        </is>
      </c>
      <c r="W32">
        <f>HYPERLINK("https://klasma.github.io/Logging_2425/artfynd/A 27234-2024 artfynd.xlsx", "A 27234-2024")</f>
        <v/>
      </c>
      <c r="X32">
        <f>HYPERLINK("https://klasma.github.io/Logging_2425/kartor/A 27234-2024 karta.png", "A 27234-2024")</f>
        <v/>
      </c>
      <c r="Y32">
        <f>HYPERLINK("https://klasma.github.io/Logging_2425/kartor_geotiff/A 27234-2024 georefererad karta.tif", "A 27234-2024")</f>
        <v/>
      </c>
      <c r="AA32">
        <f>HYPERLINK("https://klasma.github.io/Logging_2425/klagomål/A 27234-2024 FSC-klagomål.docx", "A 27234-2024")</f>
        <v/>
      </c>
      <c r="AB32">
        <f>HYPERLINK("https://klasma.github.io/Logging_2425/klagomålsmail/A 27234-2024 FSC-klagomål mail.docx", "A 27234-2024")</f>
        <v/>
      </c>
      <c r="AC32">
        <f>HYPERLINK("https://klasma.github.io/Logging_2425/tillsyn/A 27234-2024 tillsynsbegäran.docx", "A 27234-2024")</f>
        <v/>
      </c>
      <c r="AD32">
        <f>HYPERLINK("https://klasma.github.io/Logging_2425/tillsynsmail/A 27234-2024 tillsynsbegäran mail.docx", "A 27234-2024")</f>
        <v/>
      </c>
    </row>
    <row r="33" ht="15" customHeight="1">
      <c r="A33" t="inlineStr">
        <is>
          <t>A 40013-2024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45553</v>
      </c>
      <c r="E33" s="1" t="n">
        <v>46258</v>
      </c>
      <c r="F33" t="inlineStr">
        <is>
          <t>VÄSTERBOTTENS LÄN</t>
        </is>
      </c>
      <c r="G33" t="inlineStr">
        <is>
          <t>DOROTEA</t>
        </is>
      </c>
      <c r="H33" t="inlineStr">
        <is>
          <t>Övriga statliga verk och myndigheter</t>
        </is>
      </c>
      <c r="I33" t="n">
        <v>1.5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Tretåig hackspett
Tjäder</t>
        </is>
      </c>
      <c r="W33">
        <f>HYPERLINK("https://klasma.github.io/Logging_2425/artfynd/A 40013-2024 artfynd.xlsx", "A 40013-2024")</f>
        <v/>
      </c>
      <c r="X33">
        <f>HYPERLINK("https://klasma.github.io/Logging_2425/kartor/A 40013-2024 karta.png", "A 40013-2024")</f>
        <v/>
      </c>
      <c r="Y33">
        <f>HYPERLINK("https://klasma.github.io/Logging_2425/kartor_geotiff/A 40013-2024 georefererad karta.tif", "A 40013-2024")</f>
        <v/>
      </c>
      <c r="AA33">
        <f>HYPERLINK("https://klasma.github.io/Logging_2425/klagomål/A 40013-2024 FSC-klagomål.docx", "A 40013-2024")</f>
        <v/>
      </c>
      <c r="AB33">
        <f>HYPERLINK("https://klasma.github.io/Logging_2425/klagomålsmail/A 40013-2024 FSC-klagomål mail.docx", "A 40013-2024")</f>
        <v/>
      </c>
      <c r="AC33">
        <f>HYPERLINK("https://klasma.github.io/Logging_2425/tillsyn/A 40013-2024 tillsynsbegäran.docx", "A 40013-2024")</f>
        <v/>
      </c>
      <c r="AD33">
        <f>HYPERLINK("https://klasma.github.io/Logging_2425/tillsynsmail/A 40013-2024 tillsynsbegäran mail.docx", "A 40013-2024")</f>
        <v/>
      </c>
      <c r="AE33">
        <f>HYPERLINK("https://klasma.github.io/Logging_2425/fåglar/A 40013-2024 prioriterade fågelarter.docx", "A 40013-2024")</f>
        <v/>
      </c>
    </row>
    <row r="34" ht="15" customHeight="1">
      <c r="A34" t="inlineStr">
        <is>
          <t>A 4554-2026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46047</v>
      </c>
      <c r="E34" s="1" t="n">
        <v>46258</v>
      </c>
      <c r="F34" t="inlineStr">
        <is>
          <t>VÄSTERBOTTENS LÄN</t>
        </is>
      </c>
      <c r="G34" t="inlineStr">
        <is>
          <t>DOROTEA</t>
        </is>
      </c>
      <c r="I34" t="n">
        <v>6.1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Violettkantad guldvinge
Kricka</t>
        </is>
      </c>
      <c r="W34">
        <f>HYPERLINK("https://klasma.github.io/Logging_2425/artfynd/A 4554-2026 artfynd.xlsx", "A 4554-2026")</f>
        <v/>
      </c>
      <c r="X34">
        <f>HYPERLINK("https://klasma.github.io/Logging_2425/kartor/A 4554-2026 karta.png", "A 4554-2026")</f>
        <v/>
      </c>
      <c r="Y34">
        <f>HYPERLINK("https://klasma.github.io/Logging_2425/kartor_geotiff/A 4554-2026 georefererad karta.tif", "A 4554-2026")</f>
        <v/>
      </c>
      <c r="AA34">
        <f>HYPERLINK("https://klasma.github.io/Logging_2425/klagomål/A 4554-2026 FSC-klagomål.docx", "A 4554-2026")</f>
        <v/>
      </c>
      <c r="AB34">
        <f>HYPERLINK("https://klasma.github.io/Logging_2425/klagomålsmail/A 4554-2026 FSC-klagomål mail.docx", "A 4554-2026")</f>
        <v/>
      </c>
      <c r="AC34">
        <f>HYPERLINK("https://klasma.github.io/Logging_2425/tillsyn/A 4554-2026 tillsynsbegäran.docx", "A 4554-2026")</f>
        <v/>
      </c>
      <c r="AD34">
        <f>HYPERLINK("https://klasma.github.io/Logging_2425/tillsynsmail/A 4554-2026 tillsynsbegäran mail.docx", "A 4554-2026")</f>
        <v/>
      </c>
      <c r="AE34">
        <f>HYPERLINK("https://klasma.github.io/Logging_2425/fåglar/A 4554-2026 prioriterade fågelarter.docx", "A 4554-2026")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46258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46258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36318-2024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45534</v>
      </c>
      <c r="E37" s="1" t="n">
        <v>46258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2.5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8</v>
      </c>
      <c r="U37" t="n">
        <v>8</v>
      </c>
      <c r="V37" s="2" t="inlineStr">
        <is>
          <t>Garnlav</t>
        </is>
      </c>
      <c r="W37">
        <f>HYPERLINK("https://klasma.github.io/Logging_2425/artfynd/A 36318-2024 artfynd.xlsx", "A 36318-2024")</f>
        <v/>
      </c>
      <c r="X37">
        <f>HYPERLINK("https://klasma.github.io/Logging_2425/kartor/A 36318-2024 karta.png", "A 36318-2024")</f>
        <v/>
      </c>
      <c r="Y37">
        <f>HYPERLINK("https://klasma.github.io/Logging_2425/kartor_geotiff/A 36318-2024 georefererad karta.tif", "A 36318-2024")</f>
        <v/>
      </c>
      <c r="AA37">
        <f>HYPERLINK("https://klasma.github.io/Logging_2425/klagomål/A 36318-2024 FSC-klagomål.docx", "A 36318-2024")</f>
        <v/>
      </c>
      <c r="AB37">
        <f>HYPERLINK("https://klasma.github.io/Logging_2425/klagomålsmail/A 36318-2024 FSC-klagomål mail.docx", "A 36318-2024")</f>
        <v/>
      </c>
      <c r="AC37">
        <f>HYPERLINK("https://klasma.github.io/Logging_2425/tillsyn/A 36318-2024 tillsynsbegäran.docx", "A 36318-2024")</f>
        <v/>
      </c>
      <c r="AD37">
        <f>HYPERLINK("https://klasma.github.io/Logging_2425/tillsynsmail/A 36318-2024 tillsynsbegäran mail.docx", "A 36318-2024")</f>
        <v/>
      </c>
    </row>
    <row r="38" ht="15" customHeight="1">
      <c r="A38" t="inlineStr">
        <is>
          <t>A 26440-2025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46258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HYPERLINK("https://klasma.github.io/Logging_2425/artfynd/A 26440-2025 artfynd.xlsx", "A 26440-2025")</f>
        <v/>
      </c>
      <c r="X38">
        <f>HYPERLINK("https://klasma.github.io/Logging_2425/kartor/A 26440-2025 karta.png", "A 26440-2025")</f>
        <v/>
      </c>
      <c r="Y38">
        <f>HYPERLINK("https://klasma.github.io/Logging_2425/kartor_geotiff/A 26440-2025 georefererad karta.tif", "A 26440-2025")</f>
        <v/>
      </c>
      <c r="AA38">
        <f>HYPERLINK("https://klasma.github.io/Logging_2425/klagomål/A 26440-2025 FSC-klagomål.docx", "A 26440-2025")</f>
        <v/>
      </c>
      <c r="AB38">
        <f>HYPERLINK("https://klasma.github.io/Logging_2425/klagomålsmail/A 26440-2025 FSC-klagomål mail.docx", "A 26440-2025")</f>
        <v/>
      </c>
      <c r="AC38">
        <f>HYPERLINK("https://klasma.github.io/Logging_2425/tillsyn/A 26440-2025 tillsynsbegäran.docx", "A 26440-2025")</f>
        <v/>
      </c>
      <c r="AD38">
        <f>HYPERLINK("https://klasma.github.io/Logging_2425/tillsynsmail/A 26440-2025 tillsynsbegäran mail.docx", "A 26440-2025")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46258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46258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30286-2023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46258</v>
      </c>
      <c r="F41" t="inlineStr">
        <is>
          <t>VÄSTERBOTTENS LÄN</t>
        </is>
      </c>
      <c r="G41" t="inlineStr">
        <is>
          <t>DOROTEA</t>
        </is>
      </c>
      <c r="I41" t="n">
        <v>21.2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Skogsrör</t>
        </is>
      </c>
      <c r="W41">
        <f>HYPERLINK("https://klasma.github.io/Logging_2425/artfynd/A 30286-2023 artfynd.xlsx", "A 30286-2023")</f>
        <v/>
      </c>
      <c r="X41">
        <f>HYPERLINK("https://klasma.github.io/Logging_2425/kartor/A 30286-2023 karta.png", "A 30286-2023")</f>
        <v/>
      </c>
      <c r="Y41">
        <f>HYPERLINK("https://klasma.github.io/Logging_2425/kartor_geotiff/A 30286-2023 georefererad karta.tif", "A 30286-2023")</f>
        <v/>
      </c>
      <c r="AA41">
        <f>HYPERLINK("https://klasma.github.io/Logging_2425/klagomål/A 30286-2023 FSC-klagomål.docx", "A 30286-2023")</f>
        <v/>
      </c>
      <c r="AB41">
        <f>HYPERLINK("https://klasma.github.io/Logging_2425/klagomålsmail/A 30286-2023 FSC-klagomål mail.docx", "A 30286-2023")</f>
        <v/>
      </c>
      <c r="AC41">
        <f>HYPERLINK("https://klasma.github.io/Logging_2425/tillsyn/A 30286-2023 tillsynsbegäran.docx", "A 30286-2023")</f>
        <v/>
      </c>
      <c r="AD41">
        <f>HYPERLINK("https://klasma.github.io/Logging_2425/tillsynsmail/A 30286-2023 tillsynsbegäran mail.docx", "A 30286-2023")</f>
        <v/>
      </c>
    </row>
    <row r="42" ht="15" customHeight="1">
      <c r="A42" t="inlineStr">
        <is>
          <t>A 1278-2024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45302</v>
      </c>
      <c r="E42" s="1" t="n">
        <v>46258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1.3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Gräddticka</t>
        </is>
      </c>
      <c r="W42">
        <f>HYPERLINK("https://klasma.github.io/Logging_2425/artfynd/A 1278-2024 artfynd.xlsx", "A 1278-2024")</f>
        <v/>
      </c>
      <c r="X42">
        <f>HYPERLINK("https://klasma.github.io/Logging_2425/kartor/A 1278-2024 karta.png", "A 1278-2024")</f>
        <v/>
      </c>
      <c r="Y42">
        <f>HYPERLINK("https://klasma.github.io/Logging_2425/kartor_geotiff/A 1278-2024 georefererad karta.tif", "A 1278-2024")</f>
        <v/>
      </c>
      <c r="AA42">
        <f>HYPERLINK("https://klasma.github.io/Logging_2425/klagomål/A 1278-2024 FSC-klagomål.docx", "A 1278-2024")</f>
        <v/>
      </c>
      <c r="AB42">
        <f>HYPERLINK("https://klasma.github.io/Logging_2425/klagomålsmail/A 1278-2024 FSC-klagomål mail.docx", "A 1278-2024")</f>
        <v/>
      </c>
      <c r="AC42">
        <f>HYPERLINK("https://klasma.github.io/Logging_2425/tillsyn/A 1278-2024 tillsynsbegäran.docx", "A 1278-2024")</f>
        <v/>
      </c>
      <c r="AD42">
        <f>HYPERLINK("https://klasma.github.io/Logging_2425/tillsynsmail/A 1278-2024 tillsynsbegäran mail.docx", "A 1278-2024")</f>
        <v/>
      </c>
    </row>
    <row r="43" ht="15" customHeight="1">
      <c r="A43" t="inlineStr">
        <is>
          <t>A 53309-2022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44878</v>
      </c>
      <c r="E43" s="1" t="n">
        <v>46258</v>
      </c>
      <c r="F43" t="inlineStr">
        <is>
          <t>VÄSTERBOTTENS LÄN</t>
        </is>
      </c>
      <c r="G43" t="inlineStr">
        <is>
          <t>DOROTEA</t>
        </is>
      </c>
      <c r="I43" t="n">
        <v>6.6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Göktyta</t>
        </is>
      </c>
      <c r="W43">
        <f>HYPERLINK("https://klasma.github.io/Logging_2425/artfynd/A 53309-2022 artfynd.xlsx", "A 53309-2022")</f>
        <v/>
      </c>
      <c r="X43">
        <f>HYPERLINK("https://klasma.github.io/Logging_2425/kartor/A 53309-2022 karta.png", "A 53309-2022")</f>
        <v/>
      </c>
      <c r="Y43">
        <f>HYPERLINK("https://klasma.github.io/Logging_2425/kartor_geotiff/A 53309-2022 georefererad karta.tif", "A 53309-2022")</f>
        <v/>
      </c>
      <c r="AA43">
        <f>HYPERLINK("https://klasma.github.io/Logging_2425/klagomål/A 53309-2022 FSC-klagomål.docx", "A 53309-2022")</f>
        <v/>
      </c>
      <c r="AB43">
        <f>HYPERLINK("https://klasma.github.io/Logging_2425/klagomålsmail/A 53309-2022 FSC-klagomål mail.docx", "A 53309-2022")</f>
        <v/>
      </c>
      <c r="AC43">
        <f>HYPERLINK("https://klasma.github.io/Logging_2425/tillsyn/A 53309-2022 tillsynsbegäran.docx", "A 53309-2022")</f>
        <v/>
      </c>
      <c r="AD43">
        <f>HYPERLINK("https://klasma.github.io/Logging_2425/tillsynsmail/A 53309-2022 tillsynsbegäran mail.docx", "A 53309-2022")</f>
        <v/>
      </c>
      <c r="AE43">
        <f>HYPERLINK("https://klasma.github.io/Logging_2425/fåglar/A 53309-2022 prioriterade fågelarter.docx", "A 53309-2022")</f>
        <v/>
      </c>
    </row>
    <row r="44" ht="15" customHeight="1">
      <c r="A44" t="inlineStr">
        <is>
          <t>A 50530-2025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45945</v>
      </c>
      <c r="E44" s="1" t="n">
        <v>46258</v>
      </c>
      <c r="F44" t="inlineStr">
        <is>
          <t>VÄSTERBOTTENS LÄN</t>
        </is>
      </c>
      <c r="G44" t="inlineStr">
        <is>
          <t>DOROTEA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Ängsnycklar</t>
        </is>
      </c>
      <c r="W44">
        <f>HYPERLINK("https://klasma.github.io/Logging_2425/artfynd/A 50530-2025 artfynd.xlsx", "A 50530-2025")</f>
        <v/>
      </c>
      <c r="X44">
        <f>HYPERLINK("https://klasma.github.io/Logging_2425/kartor/A 50530-2025 karta.png", "A 50530-2025")</f>
        <v/>
      </c>
      <c r="Y44">
        <f>HYPERLINK("https://klasma.github.io/Logging_2425/kartor_geotiff/A 50530-2025 georefererad karta.tif", "A 50530-2025")</f>
        <v/>
      </c>
      <c r="AA44">
        <f>HYPERLINK("https://klasma.github.io/Logging_2425/klagomål/A 50530-2025 FSC-klagomål.docx", "A 50530-2025")</f>
        <v/>
      </c>
      <c r="AB44">
        <f>HYPERLINK("https://klasma.github.io/Logging_2425/klagomålsmail/A 50530-2025 FSC-klagomål mail.docx", "A 50530-2025")</f>
        <v/>
      </c>
      <c r="AC44">
        <f>HYPERLINK("https://klasma.github.io/Logging_2425/tillsyn/A 50530-2025 tillsynsbegäran.docx", "A 50530-2025")</f>
        <v/>
      </c>
      <c r="AD44">
        <f>HYPERLINK("https://klasma.github.io/Logging_2425/tillsynsmail/A 50530-2025 tillsynsbegäran mail.docx", "A 50530-2025")</f>
        <v/>
      </c>
    </row>
    <row r="45" ht="15" customHeight="1">
      <c r="A45" t="inlineStr">
        <is>
          <t>A 12005-2023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46258</v>
      </c>
      <c r="F45" t="inlineStr">
        <is>
          <t>VÄSTERBOTTENS LÄN</t>
        </is>
      </c>
      <c r="G45" t="inlineStr">
        <is>
          <t>DOROTEA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HYPERLINK("https://klasma.github.io/Logging_2425/artfynd/A 12005-2023 artfynd.xlsx", "A 12005-2023")</f>
        <v/>
      </c>
      <c r="X45">
        <f>HYPERLINK("https://klasma.github.io/Logging_2425/kartor/A 12005-2023 karta.png", "A 12005-2023")</f>
        <v/>
      </c>
      <c r="Y45">
        <f>HYPERLINK("https://klasma.github.io/Logging_2425/kartor_geotiff/A 12005-2023 georefererad karta.tif", "A 12005-2023")</f>
        <v/>
      </c>
      <c r="AA45">
        <f>HYPERLINK("https://klasma.github.io/Logging_2425/klagomål/A 12005-2023 FSC-klagomål.docx", "A 12005-2023")</f>
        <v/>
      </c>
      <c r="AB45">
        <f>HYPERLINK("https://klasma.github.io/Logging_2425/klagomålsmail/A 12005-2023 FSC-klagomål mail.docx", "A 12005-2023")</f>
        <v/>
      </c>
      <c r="AC45">
        <f>HYPERLINK("https://klasma.github.io/Logging_2425/tillsyn/A 12005-2023 tillsynsbegäran.docx", "A 12005-2023")</f>
        <v/>
      </c>
      <c r="AD45">
        <f>HYPERLINK("https://klasma.github.io/Logging_2425/tillsynsmail/A 12005-2023 tillsynsbegäran mail.docx", "A 12005-2023")</f>
        <v/>
      </c>
    </row>
    <row r="46" ht="15" customHeight="1">
      <c r="A46" t="inlineStr">
        <is>
          <t>A 48089-2022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44855</v>
      </c>
      <c r="E46" s="1" t="n">
        <v>46258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9.199999999999999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Gammelgransskål</t>
        </is>
      </c>
      <c r="W46">
        <f>HYPERLINK("https://klasma.github.io/Logging_2425/artfynd/A 48089-2022 artfynd.xlsx", "A 48089-2022")</f>
        <v/>
      </c>
      <c r="X46">
        <f>HYPERLINK("https://klasma.github.io/Logging_2425/kartor/A 48089-2022 karta.png", "A 48089-2022")</f>
        <v/>
      </c>
      <c r="Y46">
        <f>HYPERLINK("https://klasma.github.io/Logging_2425/kartor_geotiff/A 48089-2022 georefererad karta.tif", "A 48089-2022")</f>
        <v/>
      </c>
      <c r="AA46">
        <f>HYPERLINK("https://klasma.github.io/Logging_2425/klagomål/A 48089-2022 FSC-klagomål.docx", "A 48089-2022")</f>
        <v/>
      </c>
      <c r="AB46">
        <f>HYPERLINK("https://klasma.github.io/Logging_2425/klagomålsmail/A 48089-2022 FSC-klagomål mail.docx", "A 48089-2022")</f>
        <v/>
      </c>
      <c r="AC46">
        <f>HYPERLINK("https://klasma.github.io/Logging_2425/tillsyn/A 48089-2022 tillsynsbegäran.docx", "A 48089-2022")</f>
        <v/>
      </c>
      <c r="AD46">
        <f>HYPERLINK("https://klasma.github.io/Logging_2425/tillsynsmail/A 48089-2022 tillsynsbegäran mail.docx", "A 48089-2022")</f>
        <v/>
      </c>
    </row>
    <row r="47" ht="15" customHeight="1">
      <c r="A47" t="inlineStr">
        <is>
          <t>A 57060-2024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46258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8.9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HYPERLINK("https://klasma.github.io/Logging_2425/artfynd/A 57060-2024 artfynd.xlsx", "A 57060-2024")</f>
        <v/>
      </c>
      <c r="X47">
        <f>HYPERLINK("https://klasma.github.io/Logging_2425/kartor/A 57060-2024 karta.png", "A 57060-2024")</f>
        <v/>
      </c>
      <c r="Y47">
        <f>HYPERLINK("https://klasma.github.io/Logging_2425/kartor_geotiff/A 57060-2024 georefererad karta.tif", "A 57060-2024")</f>
        <v/>
      </c>
      <c r="AA47">
        <f>HYPERLINK("https://klasma.github.io/Logging_2425/klagomål/A 57060-2024 FSC-klagomål.docx", "A 57060-2024")</f>
        <v/>
      </c>
      <c r="AB47">
        <f>HYPERLINK("https://klasma.github.io/Logging_2425/klagomålsmail/A 57060-2024 FSC-klagomål mail.docx", "A 57060-2024")</f>
        <v/>
      </c>
      <c r="AC47">
        <f>HYPERLINK("https://klasma.github.io/Logging_2425/tillsyn/A 57060-2024 tillsynsbegäran.docx", "A 57060-2024")</f>
        <v/>
      </c>
      <c r="AD47">
        <f>HYPERLINK("https://klasma.github.io/Logging_2425/tillsynsmail/A 57060-2024 tillsynsbegäran mail.docx", "A 57060-2024")</f>
        <v/>
      </c>
    </row>
    <row r="48" ht="15" customHeight="1">
      <c r="A48" t="inlineStr">
        <is>
          <t>A 20600-2023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45057</v>
      </c>
      <c r="E48" s="1" t="n">
        <v>46258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1.6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HYPERLINK("https://klasma.github.io/Logging_2425/artfynd/A 20600-2023 artfynd.xlsx", "A 20600-2023")</f>
        <v/>
      </c>
      <c r="X48">
        <f>HYPERLINK("https://klasma.github.io/Logging_2425/kartor/A 20600-2023 karta.png", "A 20600-2023")</f>
        <v/>
      </c>
      <c r="Y48">
        <f>HYPERLINK("https://klasma.github.io/Logging_2425/kartor_geotiff/A 20600-2023 georefererad karta.tif", "A 20600-2023")</f>
        <v/>
      </c>
      <c r="AA48">
        <f>HYPERLINK("https://klasma.github.io/Logging_2425/klagomål/A 20600-2023 FSC-klagomål.docx", "A 20600-2023")</f>
        <v/>
      </c>
      <c r="AB48">
        <f>HYPERLINK("https://klasma.github.io/Logging_2425/klagomålsmail/A 20600-2023 FSC-klagomål mail.docx", "A 20600-2023")</f>
        <v/>
      </c>
      <c r="AC48">
        <f>HYPERLINK("https://klasma.github.io/Logging_2425/tillsyn/A 20600-2023 tillsynsbegäran.docx", "A 20600-2023")</f>
        <v/>
      </c>
      <c r="AD48">
        <f>HYPERLINK("https://klasma.github.io/Logging_2425/tillsynsmail/A 20600-2023 tillsynsbegäran mail.docx", "A 20600-2023")</f>
        <v/>
      </c>
    </row>
    <row r="49" ht="15" customHeight="1">
      <c r="A49" t="inlineStr">
        <is>
          <t>A 25980-2026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46258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40.2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HYPERLINK("https://klasma.github.io/Logging_2425/artfynd/A 25980-2026 artfynd.xlsx", "A 25980-2026")</f>
        <v/>
      </c>
      <c r="X49">
        <f>HYPERLINK("https://klasma.github.io/Logging_2425/kartor/A 25980-2026 karta.png", "A 25980-2026")</f>
        <v/>
      </c>
      <c r="Y49">
        <f>HYPERLINK("https://klasma.github.io/Logging_2425/kartor_geotiff/A 25980-2026 georefererad karta.tif", "A 25980-2026")</f>
        <v/>
      </c>
      <c r="AA49">
        <f>HYPERLINK("https://klasma.github.io/Logging_2425/klagomål/A 25980-2026 FSC-klagomål.docx", "A 25980-2026")</f>
        <v/>
      </c>
      <c r="AB49">
        <f>HYPERLINK("https://klasma.github.io/Logging_2425/klagomålsmail/A 25980-2026 FSC-klagomål mail.docx", "A 25980-2026")</f>
        <v/>
      </c>
      <c r="AC49">
        <f>HYPERLINK("https://klasma.github.io/Logging_2425/tillsyn/A 25980-2026 tillsynsbegäran.docx", "A 25980-2026")</f>
        <v/>
      </c>
      <c r="AD49">
        <f>HYPERLINK("https://klasma.github.io/Logging_2425/tillsynsmail/A 25980-2026 tillsynsbegäran mail.docx", "A 25980-2026")</f>
        <v/>
      </c>
    </row>
    <row r="50" ht="15" customHeight="1">
      <c r="A50" t="inlineStr">
        <is>
          <t>A 32331-2026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46238</v>
      </c>
      <c r="E50" s="1" t="n">
        <v>46258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Skrovellav</t>
        </is>
      </c>
      <c r="W50">
        <f>HYPERLINK("https://klasma.github.io/Logging_2425/artfynd/A 32331-2026 artfynd.xlsx", "A 32331-2026")</f>
        <v/>
      </c>
      <c r="X50">
        <f>HYPERLINK("https://klasma.github.io/Logging_2425/kartor/A 32331-2026 karta.png", "A 32331-2026")</f>
        <v/>
      </c>
      <c r="Y50">
        <f>HYPERLINK("https://klasma.github.io/Logging_2425/kartor_geotiff/A 32331-2026 georefererad karta.tif", "A 32331-2026")</f>
        <v/>
      </c>
      <c r="AA50">
        <f>HYPERLINK("https://klasma.github.io/Logging_2425/klagomål/A 32331-2026 FSC-klagomål.docx", "A 32331-2026")</f>
        <v/>
      </c>
      <c r="AB50">
        <f>HYPERLINK("https://klasma.github.io/Logging_2425/klagomålsmail/A 32331-2026 FSC-klagomål mail.docx", "A 32331-2026")</f>
        <v/>
      </c>
      <c r="AC50">
        <f>HYPERLINK("https://klasma.github.io/Logging_2425/tillsyn/A 32331-2026 tillsynsbegäran.docx", "A 32331-2026")</f>
        <v/>
      </c>
      <c r="AD50">
        <f>HYPERLINK("https://klasma.github.io/Logging_2425/tillsynsmail/A 32331-2026 tillsynsbegäran mail.docx", "A 32331-2026")</f>
        <v/>
      </c>
    </row>
    <row r="51" ht="15" customHeight="1">
      <c r="A51" t="inlineStr">
        <is>
          <t>A 57058-2024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46258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HYPERLINK("https://klasma.github.io/Logging_2425/artfynd/A 57058-2024 artfynd.xlsx", "A 57058-2024")</f>
        <v/>
      </c>
      <c r="X51">
        <f>HYPERLINK("https://klasma.github.io/Logging_2425/kartor/A 57058-2024 karta.png", "A 57058-2024")</f>
        <v/>
      </c>
      <c r="Y51">
        <f>HYPERLINK("https://klasma.github.io/Logging_2425/kartor_geotiff/A 57058-2024 georefererad karta.tif", "A 57058-2024")</f>
        <v/>
      </c>
      <c r="AA51">
        <f>HYPERLINK("https://klasma.github.io/Logging_2425/klagomål/A 57058-2024 FSC-klagomål.docx", "A 57058-2024")</f>
        <v/>
      </c>
      <c r="AB51">
        <f>HYPERLINK("https://klasma.github.io/Logging_2425/klagomålsmail/A 57058-2024 FSC-klagomål mail.docx", "A 57058-2024")</f>
        <v/>
      </c>
      <c r="AC51">
        <f>HYPERLINK("https://klasma.github.io/Logging_2425/tillsyn/A 57058-2024 tillsynsbegäran.docx", "A 57058-2024")</f>
        <v/>
      </c>
      <c r="AD51">
        <f>HYPERLINK("https://klasma.github.io/Logging_2425/tillsynsmail/A 57058-2024 tillsynsbegäran mail.docx", "A 57058-2024")</f>
        <v/>
      </c>
    </row>
    <row r="52" ht="15" customHeight="1">
      <c r="A52" t="inlineStr">
        <is>
          <t>A 30357-2026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46209</v>
      </c>
      <c r="E52" s="1" t="n">
        <v>46258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Tajgahumla</t>
        </is>
      </c>
      <c r="W52">
        <f>HYPERLINK("https://klasma.github.io/Logging_2425/artfynd/A 30357-2026 artfynd.xlsx", "A 30357-2026")</f>
        <v/>
      </c>
      <c r="X52">
        <f>HYPERLINK("https://klasma.github.io/Logging_2425/kartor/A 30357-2026 karta.png", "A 30357-2026")</f>
        <v/>
      </c>
      <c r="Y52">
        <f>HYPERLINK("https://klasma.github.io/Logging_2425/kartor_geotiff/A 30357-2026 georefererad karta.tif", "A 30357-2026")</f>
        <v/>
      </c>
      <c r="AA52">
        <f>HYPERLINK("https://klasma.github.io/Logging_2425/klagomål/A 30357-2026 FSC-klagomål.docx", "A 30357-2026")</f>
        <v/>
      </c>
      <c r="AB52">
        <f>HYPERLINK("https://klasma.github.io/Logging_2425/klagomålsmail/A 30357-2026 FSC-klagomål mail.docx", "A 30357-2026")</f>
        <v/>
      </c>
      <c r="AC52">
        <f>HYPERLINK("https://klasma.github.io/Logging_2425/tillsyn/A 30357-2026 tillsynsbegäran.docx", "A 30357-2026")</f>
        <v/>
      </c>
      <c r="AD52">
        <f>HYPERLINK("https://klasma.github.io/Logging_2425/tillsynsmail/A 30357-2026 tillsynsbegäran mail.docx", "A 30357-2026")</f>
        <v/>
      </c>
    </row>
    <row r="53" ht="15" customHeight="1">
      <c r="A53" t="inlineStr">
        <is>
          <t>A 21926-2026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46150</v>
      </c>
      <c r="E53" s="1" t="n">
        <v>46258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Stuplav</t>
        </is>
      </c>
      <c r="W53">
        <f>HYPERLINK("https://klasma.github.io/Logging_2425/artfynd/A 21926-2026 artfynd.xlsx", "A 21926-2026")</f>
        <v/>
      </c>
      <c r="X53">
        <f>HYPERLINK("https://klasma.github.io/Logging_2425/kartor/A 21926-2026 karta.png", "A 21926-2026")</f>
        <v/>
      </c>
      <c r="Y53">
        <f>HYPERLINK("https://klasma.github.io/Logging_2425/kartor_geotiff/A 21926-2026 georefererad karta.tif", "A 21926-2026")</f>
        <v/>
      </c>
      <c r="AA53">
        <f>HYPERLINK("https://klasma.github.io/Logging_2425/klagomål/A 21926-2026 FSC-klagomål.docx", "A 21926-2026")</f>
        <v/>
      </c>
      <c r="AB53">
        <f>HYPERLINK("https://klasma.github.io/Logging_2425/klagomålsmail/A 21926-2026 FSC-klagomål mail.docx", "A 21926-2026")</f>
        <v/>
      </c>
      <c r="AC53">
        <f>HYPERLINK("https://klasma.github.io/Logging_2425/tillsyn/A 21926-2026 tillsynsbegäran.docx", "A 21926-2026")</f>
        <v/>
      </c>
      <c r="AD53">
        <f>HYPERLINK("https://klasma.github.io/Logging_2425/tillsynsmail/A 21926-2026 tillsynsbegäran mail.docx", "A 21926-2026")</f>
        <v/>
      </c>
    </row>
    <row r="54" ht="15" customHeight="1">
      <c r="A54" t="inlineStr">
        <is>
          <t>A 46815-2023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45198</v>
      </c>
      <c r="E54" s="1" t="n">
        <v>46258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3.7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Harticka</t>
        </is>
      </c>
      <c r="W54">
        <f>HYPERLINK("https://klasma.github.io/Logging_2425/artfynd/A 46815-2023 artfynd.xlsx", "A 46815-2023")</f>
        <v/>
      </c>
      <c r="X54">
        <f>HYPERLINK("https://klasma.github.io/Logging_2425/kartor/A 46815-2023 karta.png", "A 46815-2023")</f>
        <v/>
      </c>
      <c r="Y54">
        <f>HYPERLINK("https://klasma.github.io/Logging_2425/kartor_geotiff/A 46815-2023 georefererad karta.tif", "A 46815-2023")</f>
        <v/>
      </c>
      <c r="AA54">
        <f>HYPERLINK("https://klasma.github.io/Logging_2425/klagomål/A 46815-2023 FSC-klagomål.docx", "A 46815-2023")</f>
        <v/>
      </c>
      <c r="AB54">
        <f>HYPERLINK("https://klasma.github.io/Logging_2425/klagomålsmail/A 46815-2023 FSC-klagomål mail.docx", "A 46815-2023")</f>
        <v/>
      </c>
      <c r="AC54">
        <f>HYPERLINK("https://klasma.github.io/Logging_2425/tillsyn/A 46815-2023 tillsynsbegäran.docx", "A 46815-2023")</f>
        <v/>
      </c>
      <c r="AD54">
        <f>HYPERLINK("https://klasma.github.io/Logging_2425/tillsynsmail/A 46815-2023 tillsynsbegäran mail.docx", "A 46815-2023")</f>
        <v/>
      </c>
    </row>
    <row r="55" ht="15" customHeight="1">
      <c r="A55" t="inlineStr">
        <is>
          <t>S 877-2022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44606</v>
      </c>
      <c r="E55" s="1" t="n">
        <v>46258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598.1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Gammelgransskål</t>
        </is>
      </c>
      <c r="W55">
        <f>HYPERLINK("https://klasma.github.io/Logging_2425/artfynd/S 877-2022 artfynd.xlsx", "S 877-2022")</f>
        <v/>
      </c>
      <c r="X55">
        <f>HYPERLINK("https://klasma.github.io/Logging_2425/kartor/S 877-2022 karta.png", "S 877-2022")</f>
        <v/>
      </c>
      <c r="Y55">
        <f>HYPERLINK("https://klasma.github.io/Logging_2425/kartor_geotiff/S 877-2022 georefererad karta.tif", "S 877-2022")</f>
        <v/>
      </c>
      <c r="AA55">
        <f>HYPERLINK("https://klasma.github.io/Logging_2425/klagomål/S 877-2022 FSC-klagomål.docx", "S 877-2022")</f>
        <v/>
      </c>
      <c r="AB55">
        <f>HYPERLINK("https://klasma.github.io/Logging_2425/klagomålsmail/S 877-2022 FSC-klagomål mail.docx", "S 877-2022")</f>
        <v/>
      </c>
      <c r="AC55">
        <f>HYPERLINK("https://klasma.github.io/Logging_2425/tillsyn/S 877-2022 tillsynsbegäran.docx", "S 877-2022")</f>
        <v/>
      </c>
      <c r="AD55">
        <f>HYPERLINK("https://klasma.github.io/Logging_2425/tillsynsmail/S 877-2022 tillsynsbegäran mail.docx", "S 877-2022")</f>
        <v/>
      </c>
    </row>
    <row r="56" ht="15" customHeight="1">
      <c r="A56" t="inlineStr">
        <is>
          <t>S 1194-2025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45756</v>
      </c>
      <c r="E56" s="1" t="n">
        <v>46258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13.9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Stjärntagging</t>
        </is>
      </c>
      <c r="W56">
        <f>HYPERLINK("https://klasma.github.io/Logging_2425/artfynd/S 1194-2025 artfynd.xlsx", "S 1194-2025")</f>
        <v/>
      </c>
      <c r="X56">
        <f>HYPERLINK("https://klasma.github.io/Logging_2425/kartor/S 1194-2025 karta.png", "S 1194-2025")</f>
        <v/>
      </c>
      <c r="Y56">
        <f>HYPERLINK("https://klasma.github.io/Logging_2425/kartor_geotiff/S 1194-2025 georefererad karta.tif", "S 1194-2025")</f>
        <v/>
      </c>
      <c r="AA56">
        <f>HYPERLINK("https://klasma.github.io/Logging_2425/klagomål/S 1194-2025 FSC-klagomål.docx", "S 1194-2025")</f>
        <v/>
      </c>
      <c r="AB56">
        <f>HYPERLINK("https://klasma.github.io/Logging_2425/klagomålsmail/S 1194-2025 FSC-klagomål mail.docx", "S 1194-2025")</f>
        <v/>
      </c>
      <c r="AC56">
        <f>HYPERLINK("https://klasma.github.io/Logging_2425/tillsyn/S 1194-2025 tillsynsbegäran.docx", "S 1194-2025")</f>
        <v/>
      </c>
      <c r="AD56">
        <f>HYPERLINK("https://klasma.github.io/Logging_2425/tillsynsmail/S 1194-2025 tillsynsbegäran mail.docx", "S 1194-2025")</f>
        <v/>
      </c>
    </row>
    <row r="57" ht="15" customHeight="1">
      <c r="A57" t="inlineStr">
        <is>
          <t>A 64063-2021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44509</v>
      </c>
      <c r="E57" s="1" t="n">
        <v>46258</v>
      </c>
      <c r="F57" t="inlineStr">
        <is>
          <t>VÄSTERBOTTENS LÄN</t>
        </is>
      </c>
      <c r="G57" t="inlineStr">
        <is>
          <t>DOROTEA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37833-2022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46258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11309-2022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44629</v>
      </c>
      <c r="E59" s="1" t="n">
        <v>46258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43403-2022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46258</v>
      </c>
      <c r="F60" t="inlineStr">
        <is>
          <t>VÄSTERBOTTENS LÄN</t>
        </is>
      </c>
      <c r="G60" t="inlineStr">
        <is>
          <t>DOROTEA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24183-2022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46258</v>
      </c>
      <c r="F61" t="inlineStr">
        <is>
          <t>VÄSTERBOTTENS LÄN</t>
        </is>
      </c>
      <c r="G61" t="inlineStr">
        <is>
          <t>DOROTEA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48935-2022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46258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7.7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46258</v>
      </c>
      <c r="F63" t="inlineStr">
        <is>
          <t>VÄSTERBOTTENS LÄN</t>
        </is>
      </c>
      <c r="G63" t="inlineStr">
        <is>
          <t>DOROTEA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46982-2022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44851</v>
      </c>
      <c r="E64" s="1" t="n">
        <v>46258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4019-2022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44587</v>
      </c>
      <c r="E65" s="1" t="n">
        <v>46258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52362-2021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44465</v>
      </c>
      <c r="E66" s="1" t="n">
        <v>46258</v>
      </c>
      <c r="F66" t="inlineStr">
        <is>
          <t>VÄSTERBOTTENS LÄN</t>
        </is>
      </c>
      <c r="G66" t="inlineStr">
        <is>
          <t>DOROTEA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25606-2025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45803</v>
      </c>
      <c r="E67" s="1" t="n">
        <v>46258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25356-2025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45800</v>
      </c>
      <c r="E68" s="1" t="n">
        <v>46258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26315-2025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46258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5495-2024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45331</v>
      </c>
      <c r="E70" s="1" t="n">
        <v>46258</v>
      </c>
      <c r="F70" t="inlineStr">
        <is>
          <t>VÄSTERBOTTENS LÄN</t>
        </is>
      </c>
      <c r="G70" t="inlineStr">
        <is>
          <t>DOROTEA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57431-2022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44889</v>
      </c>
      <c r="E71" s="1" t="n">
        <v>46258</v>
      </c>
      <c r="F71" t="inlineStr">
        <is>
          <t>VÄSTERBOTTENS LÄN</t>
        </is>
      </c>
      <c r="G71" t="inlineStr">
        <is>
          <t>DOROTEA</t>
        </is>
      </c>
      <c r="I71" t="n">
        <v>15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26481-2025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45807</v>
      </c>
      <c r="E72" s="1" t="n">
        <v>46258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26480-2025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45807</v>
      </c>
      <c r="E73" s="1" t="n">
        <v>46258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45664</v>
      </c>
      <c r="E74" s="1" t="n">
        <v>46258</v>
      </c>
      <c r="F74" t="inlineStr">
        <is>
          <t>VÄSTERBOTTENS LÄN</t>
        </is>
      </c>
      <c r="G74" t="inlineStr">
        <is>
          <t>DOROTEA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45742</v>
      </c>
      <c r="E75" s="1" t="n">
        <v>46258</v>
      </c>
      <c r="F75" t="inlineStr">
        <is>
          <t>VÄSTERBOTTENS LÄN</t>
        </is>
      </c>
      <c r="G75" t="inlineStr">
        <is>
          <t>DOROTEA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26904-2025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45811</v>
      </c>
      <c r="E76" s="1" t="n">
        <v>46258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45140</v>
      </c>
      <c r="E77" s="1" t="n">
        <v>46258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46258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39778-2025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45891</v>
      </c>
      <c r="E79" s="1" t="n">
        <v>46258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45142</v>
      </c>
      <c r="E80" s="1" t="n">
        <v>46258</v>
      </c>
      <c r="F80" t="inlineStr">
        <is>
          <t>VÄSTERBOTTENS LÄN</t>
        </is>
      </c>
      <c r="G80" t="inlineStr">
        <is>
          <t>DOROTEA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39977-2025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45893</v>
      </c>
      <c r="E81" s="1" t="n">
        <v>46258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10.3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29454-2024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46258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12.4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17591-2025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45757</v>
      </c>
      <c r="E83" s="1" t="n">
        <v>46258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29645-2023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45098</v>
      </c>
      <c r="E84" s="1" t="n">
        <v>46258</v>
      </c>
      <c r="F84" t="inlineStr">
        <is>
          <t>VÄSTERBOTTENS LÄN</t>
        </is>
      </c>
      <c r="G84" t="inlineStr">
        <is>
          <t>DOROTEA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41055-2025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46258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46258</v>
      </c>
      <c r="F86" t="inlineStr">
        <is>
          <t>VÄSTERBOTTENS LÄN</t>
        </is>
      </c>
      <c r="G86" t="inlineStr">
        <is>
          <t>DOROTEA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41871-2025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45903</v>
      </c>
      <c r="E87" s="1" t="n">
        <v>46258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41104-2023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45170</v>
      </c>
      <c r="E88" s="1" t="n">
        <v>46258</v>
      </c>
      <c r="F88" t="inlineStr">
        <is>
          <t>VÄSTERBOTTENS LÄN</t>
        </is>
      </c>
      <c r="G88" t="inlineStr">
        <is>
          <t>DOROTEA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45905</v>
      </c>
      <c r="E89" s="1" t="n">
        <v>46258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42125-2025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45904</v>
      </c>
      <c r="E90" s="1" t="n">
        <v>46258</v>
      </c>
      <c r="F90" t="inlineStr">
        <is>
          <t>VÄSTERBOTTENS LÄN</t>
        </is>
      </c>
      <c r="G90" t="inlineStr">
        <is>
          <t>DOROTEA</t>
        </is>
      </c>
      <c r="H90" t="inlineStr">
        <is>
          <t>Övriga Aktiebolag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46258</v>
      </c>
      <c r="F91" t="inlineStr">
        <is>
          <t>VÄSTERBOTTENS LÄN</t>
        </is>
      </c>
      <c r="G91" t="inlineStr">
        <is>
          <t>DOROTEA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45556</v>
      </c>
      <c r="E92" s="1" t="n">
        <v>46258</v>
      </c>
      <c r="F92" t="inlineStr">
        <is>
          <t>VÄSTERBOTTENS LÄN</t>
        </is>
      </c>
      <c r="G92" t="inlineStr">
        <is>
          <t>DOROTEA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55549-2024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45622</v>
      </c>
      <c r="E93" s="1" t="n">
        <v>46258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29258-2025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46258</v>
      </c>
      <c r="F94" t="inlineStr">
        <is>
          <t>VÄSTERBOTTENS LÄN</t>
        </is>
      </c>
      <c r="G94" t="inlineStr">
        <is>
          <t>DOROTEA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19657-2025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45770</v>
      </c>
      <c r="E95" s="1" t="n">
        <v>46258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10649-2025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46258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12.2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46258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45915</v>
      </c>
      <c r="E98" s="1" t="n">
        <v>46258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45915</v>
      </c>
      <c r="E99" s="1" t="n">
        <v>46258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43876-2025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46258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45639</v>
      </c>
      <c r="E101" s="1" t="n">
        <v>46258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45330</v>
      </c>
      <c r="E102" s="1" t="n">
        <v>46258</v>
      </c>
      <c r="F102" t="inlineStr">
        <is>
          <t>VÄSTERBOTTENS LÄN</t>
        </is>
      </c>
      <c r="G102" t="inlineStr">
        <is>
          <t>DOROTEA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43720-2025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45912</v>
      </c>
      <c r="E103" s="1" t="n">
        <v>46258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45672</v>
      </c>
      <c r="E104" s="1" t="n">
        <v>46258</v>
      </c>
      <c r="F104" t="inlineStr">
        <is>
          <t>VÄSTERBOTTENS LÄN</t>
        </is>
      </c>
      <c r="G104" t="inlineStr">
        <is>
          <t>DOROTEA</t>
        </is>
      </c>
      <c r="H104" t="inlineStr">
        <is>
          <t>Kommuner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46258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31532-2025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46258</v>
      </c>
      <c r="F106" t="inlineStr">
        <is>
          <t>VÄSTERBOTTENS LÄN</t>
        </is>
      </c>
      <c r="G106" t="inlineStr">
        <is>
          <t>DOROTEA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31510-2025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45833</v>
      </c>
      <c r="E107" s="1" t="n">
        <v>46258</v>
      </c>
      <c r="F107" t="inlineStr">
        <is>
          <t>VÄSTERBOTTENS LÄN</t>
        </is>
      </c>
      <c r="G107" t="inlineStr">
        <is>
          <t>DOROTEA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44282-2025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45916</v>
      </c>
      <c r="E108" s="1" t="n">
        <v>46258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44357-2025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45916</v>
      </c>
      <c r="E109" s="1" t="n">
        <v>46258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45253</v>
      </c>
      <c r="E110" s="1" t="n">
        <v>46258</v>
      </c>
      <c r="F110" t="inlineStr">
        <is>
          <t>VÄSTERBOTTENS LÄN</t>
        </is>
      </c>
      <c r="G110" t="inlineStr">
        <is>
          <t>DOROTEA</t>
        </is>
      </c>
      <c r="I110" t="n">
        <v>28.8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44395-2025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45916</v>
      </c>
      <c r="E111" s="1" t="n">
        <v>46258</v>
      </c>
      <c r="F111" t="inlineStr">
        <is>
          <t>VÄSTERBOTTENS LÄN</t>
        </is>
      </c>
      <c r="G111" t="inlineStr">
        <is>
          <t>DOROTEA</t>
        </is>
      </c>
      <c r="H111" t="inlineStr">
        <is>
          <t>Övriga statliga verk och myndigheter</t>
        </is>
      </c>
      <c r="I111" t="n">
        <v>15.2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46258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60162-2024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46258</v>
      </c>
      <c r="F113" t="inlineStr">
        <is>
          <t>VÄSTERBOTTENS LÄN</t>
        </is>
      </c>
      <c r="G113" t="inlineStr">
        <is>
          <t>DOROTEA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45917</v>
      </c>
      <c r="E114" s="1" t="n">
        <v>46258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7.7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60015-2023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45257</v>
      </c>
      <c r="E115" s="1" t="n">
        <v>46258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34406-2025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45845</v>
      </c>
      <c r="E116" s="1" t="n">
        <v>46258</v>
      </c>
      <c r="F116" t="inlineStr">
        <is>
          <t>VÄSTERBOTTENS LÄN</t>
        </is>
      </c>
      <c r="G116" t="inlineStr">
        <is>
          <t>DOROTEA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7429-2023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44971</v>
      </c>
      <c r="E117" s="1" t="n">
        <v>46258</v>
      </c>
      <c r="F117" t="inlineStr">
        <is>
          <t>VÄSTERBOTTENS LÄN</t>
        </is>
      </c>
      <c r="G117" t="inlineStr">
        <is>
          <t>DOROTEA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34408-2025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45845</v>
      </c>
      <c r="E118" s="1" t="n">
        <v>46258</v>
      </c>
      <c r="F118" t="inlineStr">
        <is>
          <t>VÄSTERBOTTENS LÄN</t>
        </is>
      </c>
      <c r="G118" t="inlineStr">
        <is>
          <t>DOROTEA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17658-2023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45036</v>
      </c>
      <c r="E119" s="1" t="n">
        <v>46258</v>
      </c>
      <c r="F119" t="inlineStr">
        <is>
          <t>VÄSTERBOTTENS LÄN</t>
        </is>
      </c>
      <c r="G119" t="inlineStr">
        <is>
          <t>DOROTEA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53795-2022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44876</v>
      </c>
      <c r="E120" s="1" t="n">
        <v>46258</v>
      </c>
      <c r="F120" t="inlineStr">
        <is>
          <t>VÄSTERBOTTENS LÄN</t>
        </is>
      </c>
      <c r="G120" t="inlineStr">
        <is>
          <t>DOROTEA</t>
        </is>
      </c>
      <c r="I120" t="n">
        <v>12.3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46258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27477-2023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45097</v>
      </c>
      <c r="E122" s="1" t="n">
        <v>46258</v>
      </c>
      <c r="F122" t="inlineStr">
        <is>
          <t>VÄSTERBOTTENS LÄN</t>
        </is>
      </c>
      <c r="G122" t="inlineStr">
        <is>
          <t>DOROTEA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62657-2022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44925</v>
      </c>
      <c r="E123" s="1" t="n">
        <v>46258</v>
      </c>
      <c r="F123" t="inlineStr">
        <is>
          <t>VÄSTERBOTTENS LÄN</t>
        </is>
      </c>
      <c r="G123" t="inlineStr">
        <is>
          <t>DOROTEA</t>
        </is>
      </c>
      <c r="I123" t="n">
        <v>22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48530-2025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45936</v>
      </c>
      <c r="E124" s="1" t="n">
        <v>46258</v>
      </c>
      <c r="F124" t="inlineStr">
        <is>
          <t>VÄSTERBOTTENS LÄN</t>
        </is>
      </c>
      <c r="G124" t="inlineStr">
        <is>
          <t>DOROTEA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45936</v>
      </c>
      <c r="E125" s="1" t="n">
        <v>46258</v>
      </c>
      <c r="F125" t="inlineStr">
        <is>
          <t>VÄSTERBOTTENS LÄN</t>
        </is>
      </c>
      <c r="G125" t="inlineStr">
        <is>
          <t>DOROTEA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45069</v>
      </c>
      <c r="E126" s="1" t="n">
        <v>46258</v>
      </c>
      <c r="F126" t="inlineStr">
        <is>
          <t>VÄSTERBOTTENS LÄN</t>
        </is>
      </c>
      <c r="G126" t="inlineStr">
        <is>
          <t>DOROTEA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48510-2025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46258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53357-2024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45614</v>
      </c>
      <c r="E128" s="1" t="n">
        <v>46258</v>
      </c>
      <c r="F128" t="inlineStr">
        <is>
          <t>VÄSTERBOTTENS LÄN</t>
        </is>
      </c>
      <c r="G128" t="inlineStr">
        <is>
          <t>DOROTEA</t>
        </is>
      </c>
      <c r="I128" t="n">
        <v>26.5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45642</v>
      </c>
      <c r="E129" s="1" t="n">
        <v>46258</v>
      </c>
      <c r="F129" t="inlineStr">
        <is>
          <t>VÄSTERBOTTENS LÄN</t>
        </is>
      </c>
      <c r="G129" t="inlineStr">
        <is>
          <t>DOROTEA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45938</v>
      </c>
      <c r="E130" s="1" t="n">
        <v>46258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49054-2025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46258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9.800000000000001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22450-2024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45446</v>
      </c>
      <c r="E132" s="1" t="n">
        <v>46258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45125</v>
      </c>
      <c r="E133" s="1" t="n">
        <v>46258</v>
      </c>
      <c r="F133" t="inlineStr">
        <is>
          <t>VÄSTERBOTTENS LÄN</t>
        </is>
      </c>
      <c r="G133" t="inlineStr">
        <is>
          <t>DOROTEA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52393-2023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45224</v>
      </c>
      <c r="E134" s="1" t="n">
        <v>46258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9030-2025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46258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30373-2024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45491</v>
      </c>
      <c r="E136" s="1" t="n">
        <v>46258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Sveaskog</t>
        </is>
      </c>
      <c r="I136" t="n">
        <v>13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52276-2023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46258</v>
      </c>
      <c r="F137" t="inlineStr">
        <is>
          <t>VÄSTERBOTTENS LÄN</t>
        </is>
      </c>
      <c r="G137" t="inlineStr">
        <is>
          <t>DOROTEA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44974</v>
      </c>
      <c r="E138" s="1" t="n">
        <v>46258</v>
      </c>
      <c r="F138" t="inlineStr">
        <is>
          <t>VÄSTERBOTTENS LÄN</t>
        </is>
      </c>
      <c r="G138" t="inlineStr">
        <is>
          <t>DOROTEA</t>
        </is>
      </c>
      <c r="I138" t="n">
        <v>14.8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44956</v>
      </c>
      <c r="E139" s="1" t="n">
        <v>46258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45539</v>
      </c>
      <c r="E140" s="1" t="n">
        <v>46258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12.3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44820-2024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45574</v>
      </c>
      <c r="E141" s="1" t="n">
        <v>46258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25719-2024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45463</v>
      </c>
      <c r="E142" s="1" t="n">
        <v>46258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16.2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33267-2025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45840</v>
      </c>
      <c r="E143" s="1" t="n">
        <v>46258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34107-2023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45125</v>
      </c>
      <c r="E144" s="1" t="n">
        <v>46258</v>
      </c>
      <c r="F144" t="inlineStr">
        <is>
          <t>VÄSTERBOTTENS LÄN</t>
        </is>
      </c>
      <c r="G144" t="inlineStr">
        <is>
          <t>DOROTEA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57376-2022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44889</v>
      </c>
      <c r="E145" s="1" t="n">
        <v>46258</v>
      </c>
      <c r="F145" t="inlineStr">
        <is>
          <t>VÄSTERBOTTENS LÄN</t>
        </is>
      </c>
      <c r="G145" t="inlineStr">
        <is>
          <t>DOROTEA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45561</v>
      </c>
      <c r="E146" s="1" t="n">
        <v>46258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52412-2025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45954</v>
      </c>
      <c r="E147" s="1" t="n">
        <v>46258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53409-2025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45959</v>
      </c>
      <c r="E148" s="1" t="n">
        <v>46258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60153-2024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45642</v>
      </c>
      <c r="E149" s="1" t="n">
        <v>46258</v>
      </c>
      <c r="F149" t="inlineStr">
        <is>
          <t>VÄSTERBOTTENS LÄN</t>
        </is>
      </c>
      <c r="G149" t="inlineStr">
        <is>
          <t>DOROTEA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60169-2024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45642</v>
      </c>
      <c r="E150" s="1" t="n">
        <v>46258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45714</v>
      </c>
      <c r="E151" s="1" t="n">
        <v>46258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34702-2023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45140</v>
      </c>
      <c r="E152" s="1" t="n">
        <v>46258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46258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45966</v>
      </c>
      <c r="E154" s="1" t="n">
        <v>46258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46258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45847</v>
      </c>
      <c r="E156" s="1" t="n">
        <v>46258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34279-2025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46258</v>
      </c>
      <c r="F157" t="inlineStr">
        <is>
          <t>VÄSTERBOTTENS LÄN</t>
        </is>
      </c>
      <c r="G157" t="inlineStr">
        <is>
          <t>DOROTEA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44568</v>
      </c>
      <c r="E158" s="1" t="n">
        <v>46258</v>
      </c>
      <c r="F158" t="inlineStr">
        <is>
          <t>VÄSTERBOTTENS LÄN</t>
        </is>
      </c>
      <c r="G158" t="inlineStr">
        <is>
          <t>DOROTEA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12118-2025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45729</v>
      </c>
      <c r="E159" s="1" t="n">
        <v>46258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13.5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56556-2025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46258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56428-2025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45975</v>
      </c>
      <c r="E161" s="1" t="n">
        <v>46258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34681-2025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45848</v>
      </c>
      <c r="E162" s="1" t="n">
        <v>46258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34856-2025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45849</v>
      </c>
      <c r="E163" s="1" t="n">
        <v>46258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45977</v>
      </c>
      <c r="E164" s="1" t="n">
        <v>46258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57245-2025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45978</v>
      </c>
      <c r="E165" s="1" t="n">
        <v>46258</v>
      </c>
      <c r="F165" t="inlineStr">
        <is>
          <t>VÄSTERBOTTENS LÄN</t>
        </is>
      </c>
      <c r="G165" t="inlineStr">
        <is>
          <t>DOROTEA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45978</v>
      </c>
      <c r="E166" s="1" t="n">
        <v>46258</v>
      </c>
      <c r="F166" t="inlineStr">
        <is>
          <t>VÄSTERBOTTENS LÄN</t>
        </is>
      </c>
      <c r="G166" t="inlineStr">
        <is>
          <t>DOROTEA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45980</v>
      </c>
      <c r="E167" s="1" t="n">
        <v>46258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45980</v>
      </c>
      <c r="E168" s="1" t="n">
        <v>46258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57481-2025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45980</v>
      </c>
      <c r="E169" s="1" t="n">
        <v>46258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57819-2025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45981</v>
      </c>
      <c r="E170" s="1" t="n">
        <v>46258</v>
      </c>
      <c r="F170" t="inlineStr">
        <is>
          <t>VÄSTERBOTTENS LÄN</t>
        </is>
      </c>
      <c r="G170" t="inlineStr">
        <is>
          <t>DOROTEA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57722-2025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45981</v>
      </c>
      <c r="E171" s="1" t="n">
        <v>46258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45547</v>
      </c>
      <c r="E172" s="1" t="n">
        <v>46258</v>
      </c>
      <c r="F172" t="inlineStr">
        <is>
          <t>VÄSTERBOTTENS LÄN</t>
        </is>
      </c>
      <c r="G172" t="inlineStr">
        <is>
          <t>DOROTEA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45735</v>
      </c>
      <c r="E173" s="1" t="n">
        <v>46258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7.3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32821-2024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45516</v>
      </c>
      <c r="E174" s="1" t="n">
        <v>46258</v>
      </c>
      <c r="F174" t="inlineStr">
        <is>
          <t>VÄSTERBOTTENS LÄN</t>
        </is>
      </c>
      <c r="G174" t="inlineStr">
        <is>
          <t>DOROTEA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45982</v>
      </c>
      <c r="E175" s="1" t="n">
        <v>46258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44980</v>
      </c>
      <c r="E176" s="1" t="n">
        <v>46258</v>
      </c>
      <c r="F176" t="inlineStr">
        <is>
          <t>VÄSTERBOTTENS LÄN</t>
        </is>
      </c>
      <c r="G176" t="inlineStr">
        <is>
          <t>DOROTEA</t>
        </is>
      </c>
      <c r="I176" t="n">
        <v>18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49077-2022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46258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Sveaskog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25028-2024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45461</v>
      </c>
      <c r="E178" s="1" t="n">
        <v>46258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27909-2024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45475</v>
      </c>
      <c r="E179" s="1" t="n">
        <v>46258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13.2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45982</v>
      </c>
      <c r="E180" s="1" t="n">
        <v>46258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18.2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17787-2023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45036</v>
      </c>
      <c r="E181" s="1" t="n">
        <v>46258</v>
      </c>
      <c r="F181" t="inlineStr">
        <is>
          <t>VÄSTERBOTTENS LÄN</t>
        </is>
      </c>
      <c r="G181" t="inlineStr">
        <is>
          <t>DOROTEA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14631-2025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45742</v>
      </c>
      <c r="E182" s="1" t="n">
        <v>46258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22946-2024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45448</v>
      </c>
      <c r="E183" s="1" t="n">
        <v>46258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46258</v>
      </c>
      <c r="F184" t="inlineStr">
        <is>
          <t>VÄSTERBOTTENS LÄN</t>
        </is>
      </c>
      <c r="G184" t="inlineStr">
        <is>
          <t>DOROTEA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46258</v>
      </c>
      <c r="F185" t="inlineStr">
        <is>
          <t>VÄSTERBOTTENS LÄN</t>
        </is>
      </c>
      <c r="G185" t="inlineStr">
        <is>
          <t>DOROTEA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45852</v>
      </c>
      <c r="E186" s="1" t="n">
        <v>46258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45351</v>
      </c>
      <c r="E187" s="1" t="n">
        <v>46258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45988</v>
      </c>
      <c r="E188" s="1" t="n">
        <v>46258</v>
      </c>
      <c r="F188" t="inlineStr">
        <is>
          <t>VÄSTERBOTTENS LÄN</t>
        </is>
      </c>
      <c r="G188" t="inlineStr">
        <is>
          <t>DOROTEA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15057-2024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45399</v>
      </c>
      <c r="E189" s="1" t="n">
        <v>46258</v>
      </c>
      <c r="F189" t="inlineStr">
        <is>
          <t>VÄSTERBOTTENS LÄN</t>
        </is>
      </c>
      <c r="G189" t="inlineStr">
        <is>
          <t>DOROTEA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46258</v>
      </c>
      <c r="F190" t="inlineStr">
        <is>
          <t>VÄSTERBOTTENS LÄN</t>
        </is>
      </c>
      <c r="G190" t="inlineStr">
        <is>
          <t>DOROTEA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57236-2022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44889</v>
      </c>
      <c r="E191" s="1" t="n">
        <v>46258</v>
      </c>
      <c r="F191" t="inlineStr">
        <is>
          <t>VÄSTERBOTTENS LÄN</t>
        </is>
      </c>
      <c r="G191" t="inlineStr">
        <is>
          <t>DOROTEA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59066-2025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45988</v>
      </c>
      <c r="E192" s="1" t="n">
        <v>46258</v>
      </c>
      <c r="F192" t="inlineStr">
        <is>
          <t>VÄSTERBOTTENS LÄN</t>
        </is>
      </c>
      <c r="G192" t="inlineStr">
        <is>
          <t>DOROTEA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45855</v>
      </c>
      <c r="E193" s="1" t="n">
        <v>46258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45855</v>
      </c>
      <c r="E194" s="1" t="n">
        <v>46258</v>
      </c>
      <c r="F194" t="inlineStr">
        <is>
          <t>VÄSTERBOTTENS LÄN</t>
        </is>
      </c>
      <c r="G194" t="inlineStr">
        <is>
          <t>DOROTEA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35438-2025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45855</v>
      </c>
      <c r="E195" s="1" t="n">
        <v>46258</v>
      </c>
      <c r="F195" t="inlineStr">
        <is>
          <t>VÄSTERBOTTENS LÄN</t>
        </is>
      </c>
      <c r="G195" t="inlineStr">
        <is>
          <t>DOROTEA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45855</v>
      </c>
      <c r="E196" s="1" t="n">
        <v>46258</v>
      </c>
      <c r="F196" t="inlineStr">
        <is>
          <t>VÄSTERBOTTENS LÄN</t>
        </is>
      </c>
      <c r="G196" t="inlineStr">
        <is>
          <t>DOROTEA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67686-2021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44524</v>
      </c>
      <c r="E197" s="1" t="n">
        <v>46258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35937-2025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45862</v>
      </c>
      <c r="E198" s="1" t="n">
        <v>46258</v>
      </c>
      <c r="F198" t="inlineStr">
        <is>
          <t>VÄSTERBOTTENS LÄN</t>
        </is>
      </c>
      <c r="G198" t="inlineStr">
        <is>
          <t>DOROTEA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48006-2023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45198</v>
      </c>
      <c r="E199" s="1" t="n">
        <v>46258</v>
      </c>
      <c r="F199" t="inlineStr">
        <is>
          <t>VÄSTERBOTTENS LÄN</t>
        </is>
      </c>
      <c r="G199" t="inlineStr">
        <is>
          <t>DOROTEA</t>
        </is>
      </c>
      <c r="H199" t="inlineStr">
        <is>
          <t>Övriga statliga verk och myndigheter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45996</v>
      </c>
      <c r="E200" s="1" t="n">
        <v>46258</v>
      </c>
      <c r="F200" t="inlineStr">
        <is>
          <t>VÄSTERBOTTENS LÄN</t>
        </is>
      </c>
      <c r="G200" t="inlineStr">
        <is>
          <t>DOROTEA</t>
        </is>
      </c>
      <c r="I200" t="n">
        <v>23.9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53117-2023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45228</v>
      </c>
      <c r="E201" s="1" t="n">
        <v>46258</v>
      </c>
      <c r="F201" t="inlineStr">
        <is>
          <t>VÄSTERBOTTENS LÄN</t>
        </is>
      </c>
      <c r="G201" t="inlineStr">
        <is>
          <t>DOROTEA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53118-2023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45228</v>
      </c>
      <c r="E202" s="1" t="n">
        <v>46258</v>
      </c>
      <c r="F202" t="inlineStr">
        <is>
          <t>VÄSTERBOTTENS LÄN</t>
        </is>
      </c>
      <c r="G202" t="inlineStr">
        <is>
          <t>DOROTEA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46003</v>
      </c>
      <c r="E203" s="1" t="n">
        <v>46258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62193-2025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46003</v>
      </c>
      <c r="E204" s="1" t="n">
        <v>46258</v>
      </c>
      <c r="F204" t="inlineStr">
        <is>
          <t>VÄSTERBOTTENS LÄN</t>
        </is>
      </c>
      <c r="G204" t="inlineStr">
        <is>
          <t>DOROTEA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39721-2024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45552</v>
      </c>
      <c r="E205" s="1" t="n">
        <v>46258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62422-2025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46007</v>
      </c>
      <c r="E206" s="1" t="n">
        <v>46258</v>
      </c>
      <c r="F206" t="inlineStr">
        <is>
          <t>VÄSTERBOTTENS LÄN</t>
        </is>
      </c>
      <c r="G206" t="inlineStr">
        <is>
          <t>DOROTEA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62399-2025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46007</v>
      </c>
      <c r="E207" s="1" t="n">
        <v>46258</v>
      </c>
      <c r="F207" t="inlineStr">
        <is>
          <t>VÄSTERBOTTENS LÄN</t>
        </is>
      </c>
      <c r="G207" t="inlineStr">
        <is>
          <t>DOROTEA</t>
        </is>
      </c>
      <c r="I207" t="n">
        <v>16.7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45149</v>
      </c>
      <c r="E208" s="1" t="n">
        <v>46258</v>
      </c>
      <c r="F208" t="inlineStr">
        <is>
          <t>VÄSTERBOTTENS LÄN</t>
        </is>
      </c>
      <c r="G208" t="inlineStr">
        <is>
          <t>DOROTEA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9102-2023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44979</v>
      </c>
      <c r="E209" s="1" t="n">
        <v>46258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62423-2025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46007</v>
      </c>
      <c r="E210" s="1" t="n">
        <v>46258</v>
      </c>
      <c r="F210" t="inlineStr">
        <is>
          <t>VÄSTERBOTTENS LÄN</t>
        </is>
      </c>
      <c r="G210" t="inlineStr">
        <is>
          <t>DOROTEA</t>
        </is>
      </c>
      <c r="I210" t="n">
        <v>13.2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45755</v>
      </c>
      <c r="E211" s="1" t="n">
        <v>46258</v>
      </c>
      <c r="F211" t="inlineStr">
        <is>
          <t>VÄSTERBOTTENS LÄN</t>
        </is>
      </c>
      <c r="G211" t="inlineStr">
        <is>
          <t>DOROTEA</t>
        </is>
      </c>
      <c r="I211" t="n">
        <v>7.6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3240-2022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44582</v>
      </c>
      <c r="E212" s="1" t="n">
        <v>46258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46258</v>
      </c>
      <c r="F213" t="inlineStr">
        <is>
          <t>VÄSTERBOTTENS LÄN</t>
        </is>
      </c>
      <c r="G213" t="inlineStr">
        <is>
          <t>DOROTEA</t>
        </is>
      </c>
      <c r="I213" t="n">
        <v>12.3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62974-2025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46009</v>
      </c>
      <c r="E214" s="1" t="n">
        <v>46258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9.4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45539</v>
      </c>
      <c r="E215" s="1" t="n">
        <v>46258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30456-2022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44761</v>
      </c>
      <c r="E216" s="1" t="n">
        <v>46258</v>
      </c>
      <c r="F216" t="inlineStr">
        <is>
          <t>VÄSTERBOTTENS LÄN</t>
        </is>
      </c>
      <c r="G216" t="inlineStr">
        <is>
          <t>DOROTEA</t>
        </is>
      </c>
      <c r="I216" t="n">
        <v>10.6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36111-2025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45866</v>
      </c>
      <c r="E217" s="1" t="n">
        <v>46258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45866</v>
      </c>
      <c r="E218" s="1" t="n">
        <v>46258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63939-2025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46010</v>
      </c>
      <c r="E219" s="1" t="n">
        <v>46258</v>
      </c>
      <c r="F219" t="inlineStr">
        <is>
          <t>VÄSTERBOTTENS LÄN</t>
        </is>
      </c>
      <c r="G219" t="inlineStr">
        <is>
          <t>DOROTEA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45036</v>
      </c>
      <c r="E220" s="1" t="n">
        <v>46258</v>
      </c>
      <c r="F220" t="inlineStr">
        <is>
          <t>VÄSTERBOTTENS LÄN</t>
        </is>
      </c>
      <c r="G220" t="inlineStr">
        <is>
          <t>DOROTEA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46965-2024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45586</v>
      </c>
      <c r="E221" s="1" t="n">
        <v>46258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Sveaskog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63745-2025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46017</v>
      </c>
      <c r="E222" s="1" t="n">
        <v>46258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45013</v>
      </c>
      <c r="E223" s="1" t="n">
        <v>46258</v>
      </c>
      <c r="F223" t="inlineStr">
        <is>
          <t>VÄSTERBOTTENS LÄN</t>
        </is>
      </c>
      <c r="G223" t="inlineStr">
        <is>
          <t>DOROTEA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33738-2024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45520</v>
      </c>
      <c r="E224" s="1" t="n">
        <v>46258</v>
      </c>
      <c r="F224" t="inlineStr">
        <is>
          <t>VÄSTERBOTTENS LÄN</t>
        </is>
      </c>
      <c r="G224" t="inlineStr">
        <is>
          <t>DOROTEA</t>
        </is>
      </c>
      <c r="I224" t="n">
        <v>11.1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44742</v>
      </c>
      <c r="E225" s="1" t="n">
        <v>46258</v>
      </c>
      <c r="F225" t="inlineStr">
        <is>
          <t>VÄSTERBOTTENS LÄN</t>
        </is>
      </c>
      <c r="G225" t="inlineStr">
        <is>
          <t>DOROTEA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46258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46030</v>
      </c>
      <c r="E227" s="1" t="n">
        <v>46258</v>
      </c>
      <c r="F227" t="inlineStr">
        <is>
          <t>VÄSTERBOTTENS LÄN</t>
        </is>
      </c>
      <c r="G227" t="inlineStr">
        <is>
          <t>DOROTEA</t>
        </is>
      </c>
      <c r="I227" t="n">
        <v>18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14163-2024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45392</v>
      </c>
      <c r="E228" s="1" t="n">
        <v>46258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23213-2022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44719</v>
      </c>
      <c r="E229" s="1" t="n">
        <v>46258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40435-2023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45169</v>
      </c>
      <c r="E230" s="1" t="n">
        <v>46258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46258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46258</v>
      </c>
      <c r="F232" t="inlineStr">
        <is>
          <t>VÄSTERBOTTENS LÄN</t>
        </is>
      </c>
      <c r="G232" t="inlineStr">
        <is>
          <t>DOROTEA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995-2026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46029</v>
      </c>
      <c r="E233" s="1" t="n">
        <v>46258</v>
      </c>
      <c r="F233" t="inlineStr">
        <is>
          <t>VÄSTERBOTTENS LÄN</t>
        </is>
      </c>
      <c r="G233" t="inlineStr">
        <is>
          <t>DOROTEA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40434-2023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45169</v>
      </c>
      <c r="E234" s="1" t="n">
        <v>46258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13.9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4958-2023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44956</v>
      </c>
      <c r="E235" s="1" t="n">
        <v>46258</v>
      </c>
      <c r="F235" t="inlineStr">
        <is>
          <t>VÄSTERBOTTENS LÄN</t>
        </is>
      </c>
      <c r="G235" t="inlineStr">
        <is>
          <t>DOROTEA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41353-2022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44824</v>
      </c>
      <c r="E236" s="1" t="n">
        <v>46258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2842-2026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46258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27305-2024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45471</v>
      </c>
      <c r="E238" s="1" t="n">
        <v>46258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46043</v>
      </c>
      <c r="E239" s="1" t="n">
        <v>46258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3559-2026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46258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60304-2022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44910</v>
      </c>
      <c r="E241" s="1" t="n">
        <v>46258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27199-2024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45471</v>
      </c>
      <c r="E242" s="1" t="n">
        <v>46258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39471-2024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45551</v>
      </c>
      <c r="E243" s="1" t="n">
        <v>46258</v>
      </c>
      <c r="F243" t="inlineStr">
        <is>
          <t>VÄSTERBOTTENS LÄN</t>
        </is>
      </c>
      <c r="G243" t="inlineStr">
        <is>
          <t>DOROTEA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45055</v>
      </c>
      <c r="E244" s="1" t="n">
        <v>46258</v>
      </c>
      <c r="F244" t="inlineStr">
        <is>
          <t>VÄSTERBOTTENS LÄN</t>
        </is>
      </c>
      <c r="G244" t="inlineStr">
        <is>
          <t>DOROTEA</t>
        </is>
      </c>
      <c r="H244" t="inlineStr">
        <is>
          <t>Övriga statliga verk och myndigheter</t>
        </is>
      </c>
      <c r="I244" t="n">
        <v>13.9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46042</v>
      </c>
      <c r="E245" s="1" t="n">
        <v>46258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7.8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43211-2021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44431</v>
      </c>
      <c r="E246" s="1" t="n">
        <v>46258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46258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36845-2025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45874</v>
      </c>
      <c r="E248" s="1" t="n">
        <v>46258</v>
      </c>
      <c r="F248" t="inlineStr">
        <is>
          <t>VÄSTERBOTTENS LÄN</t>
        </is>
      </c>
      <c r="G248" t="inlineStr">
        <is>
          <t>DOROTEA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45169</v>
      </c>
      <c r="E249" s="1" t="n">
        <v>46258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23336-2026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46258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23324-2026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46162</v>
      </c>
      <c r="E251" s="1" t="n">
        <v>46258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63885-2025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46010</v>
      </c>
      <c r="E252" s="1" t="n">
        <v>46258</v>
      </c>
      <c r="F252" t="inlineStr">
        <is>
          <t>VÄSTERBOTTENS LÄN</t>
        </is>
      </c>
      <c r="G252" t="inlineStr">
        <is>
          <t>DOROTEA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45315</v>
      </c>
      <c r="E253" s="1" t="n">
        <v>46258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50582-2024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45600</v>
      </c>
      <c r="E254" s="1" t="n">
        <v>46258</v>
      </c>
      <c r="F254" t="inlineStr">
        <is>
          <t>VÄSTERBOTTENS LÄN</t>
        </is>
      </c>
      <c r="G254" t="inlineStr">
        <is>
          <t>DOROTEA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12773-2026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46091</v>
      </c>
      <c r="E255" s="1" t="n">
        <v>46258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36844-2025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45874</v>
      </c>
      <c r="E256" s="1" t="n">
        <v>46258</v>
      </c>
      <c r="F256" t="inlineStr">
        <is>
          <t>VÄSTERBOTTENS LÄN</t>
        </is>
      </c>
      <c r="G256" t="inlineStr">
        <is>
          <t>DOROTEA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46258</v>
      </c>
      <c r="F257" t="inlineStr">
        <is>
          <t>VÄSTERBOTTENS LÄN</t>
        </is>
      </c>
      <c r="G257" t="inlineStr">
        <is>
          <t>DOROTEA</t>
        </is>
      </c>
      <c r="I257" t="n">
        <v>11.8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37135-2025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45875</v>
      </c>
      <c r="E258" s="1" t="n">
        <v>46258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46051</v>
      </c>
      <c r="E259" s="1" t="n">
        <v>46258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46051</v>
      </c>
      <c r="E260" s="1" t="n">
        <v>46258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45771</v>
      </c>
      <c r="E261" s="1" t="n">
        <v>46258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37259-2025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45876</v>
      </c>
      <c r="E262" s="1" t="n">
        <v>46258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6381-2026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46258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37476-2025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45877</v>
      </c>
      <c r="E264" s="1" t="n">
        <v>46258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46054</v>
      </c>
      <c r="E265" s="1" t="n">
        <v>46258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37276-2025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45876</v>
      </c>
      <c r="E266" s="1" t="n">
        <v>46258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5834-2023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44958</v>
      </c>
      <c r="E267" s="1" t="n">
        <v>46258</v>
      </c>
      <c r="F267" t="inlineStr">
        <is>
          <t>VÄSTERBOTTENS LÄN</t>
        </is>
      </c>
      <c r="G267" t="inlineStr">
        <is>
          <t>DOROTEA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25373-2026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46258</v>
      </c>
      <c r="F268" t="inlineStr">
        <is>
          <t>VÄSTERBOTTENS LÄN</t>
        </is>
      </c>
      <c r="G268" t="inlineStr">
        <is>
          <t>DOROTEA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45882</v>
      </c>
      <c r="E269" s="1" t="n">
        <v>46258</v>
      </c>
      <c r="F269" t="inlineStr">
        <is>
          <t>VÄSTERBOTTENS LÄN</t>
        </is>
      </c>
      <c r="G269" t="inlineStr">
        <is>
          <t>DOROTEA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9103-2023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46258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7.7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31181-2026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46217</v>
      </c>
      <c r="E271" s="1" t="n">
        <v>46258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15.6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74013-2021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44557</v>
      </c>
      <c r="E272" s="1" t="n">
        <v>46258</v>
      </c>
      <c r="F272" t="inlineStr">
        <is>
          <t>VÄSTERBOTTENS LÄN</t>
        </is>
      </c>
      <c r="G272" t="inlineStr">
        <is>
          <t>DOROTEA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57794-2023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45246</v>
      </c>
      <c r="E273" s="1" t="n">
        <v>46258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38100-2025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45882</v>
      </c>
      <c r="E274" s="1" t="n">
        <v>46258</v>
      </c>
      <c r="F274" t="inlineStr">
        <is>
          <t>VÄSTERBOTTENS LÄN</t>
        </is>
      </c>
      <c r="G274" t="inlineStr">
        <is>
          <t>DOROTEA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46059</v>
      </c>
      <c r="E275" s="1" t="n">
        <v>46258</v>
      </c>
      <c r="F275" t="inlineStr">
        <is>
          <t>VÄSTERBOTTENS LÄN</t>
        </is>
      </c>
      <c r="G275" t="inlineStr">
        <is>
          <t>DOROTEA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38097-2025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45882</v>
      </c>
      <c r="E276" s="1" t="n">
        <v>46258</v>
      </c>
      <c r="F276" t="inlineStr">
        <is>
          <t>VÄSTERBOTTENS LÄN</t>
        </is>
      </c>
      <c r="G276" t="inlineStr">
        <is>
          <t>DOROTEA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38098-2025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45882</v>
      </c>
      <c r="E277" s="1" t="n">
        <v>46258</v>
      </c>
      <c r="F277" t="inlineStr">
        <is>
          <t>VÄSTERBOTTENS LÄN</t>
        </is>
      </c>
      <c r="G277" t="inlineStr">
        <is>
          <t>DOROTEA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38227-2025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45883</v>
      </c>
      <c r="E278" s="1" t="n">
        <v>46258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10.6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46258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38101-2025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45882</v>
      </c>
      <c r="E280" s="1" t="n">
        <v>46258</v>
      </c>
      <c r="F280" t="inlineStr">
        <is>
          <t>VÄSTERBOTTENS LÄN</t>
        </is>
      </c>
      <c r="G280" t="inlineStr">
        <is>
          <t>DOROTEA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7713-2026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46059</v>
      </c>
      <c r="E281" s="1" t="n">
        <v>46258</v>
      </c>
      <c r="F281" t="inlineStr">
        <is>
          <t>VÄSTERBOTTENS LÄN</t>
        </is>
      </c>
      <c r="G281" t="inlineStr">
        <is>
          <t>DOROTEA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45712</v>
      </c>
      <c r="E282" s="1" t="n">
        <v>46258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42484-2024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45565</v>
      </c>
      <c r="E283" s="1" t="n">
        <v>46258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31179-2026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46217</v>
      </c>
      <c r="E284" s="1" t="n">
        <v>46258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24852-2026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46174</v>
      </c>
      <c r="E285" s="1" t="n">
        <v>46258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24839-2026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46258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11.8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46063</v>
      </c>
      <c r="E287" s="1" t="n">
        <v>46258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55919-2023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45239</v>
      </c>
      <c r="E288" s="1" t="n">
        <v>46258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46218</v>
      </c>
      <c r="E289" s="1" t="n">
        <v>46258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46218</v>
      </c>
      <c r="E290" s="1" t="n">
        <v>46258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46218</v>
      </c>
      <c r="E291" s="1" t="n">
        <v>46258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46176</v>
      </c>
      <c r="E292" s="1" t="n">
        <v>46258</v>
      </c>
      <c r="F292" t="inlineStr">
        <is>
          <t>VÄSTERBOTTENS LÄN</t>
        </is>
      </c>
      <c r="G292" t="inlineStr">
        <is>
          <t>DOROTEA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42228-2024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45562</v>
      </c>
      <c r="E293" s="1" t="n">
        <v>46258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25682-2026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46178</v>
      </c>
      <c r="E294" s="1" t="n">
        <v>46258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31439-2026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46220</v>
      </c>
      <c r="E295" s="1" t="n">
        <v>46258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10.1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9796-2026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46072</v>
      </c>
      <c r="E296" s="1" t="n">
        <v>46258</v>
      </c>
      <c r="F296" t="inlineStr">
        <is>
          <t>VÄSTERBOTTENS LÄN</t>
        </is>
      </c>
      <c r="G296" t="inlineStr">
        <is>
          <t>DOROTEA</t>
        </is>
      </c>
      <c r="I296" t="n">
        <v>20.1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14255-2026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46099</v>
      </c>
      <c r="E297" s="1" t="n">
        <v>46258</v>
      </c>
      <c r="F297" t="inlineStr">
        <is>
          <t>VÄSTERBOTTENS LÄN</t>
        </is>
      </c>
      <c r="G297" t="inlineStr">
        <is>
          <t>DOROTEA</t>
        </is>
      </c>
      <c r="I297" t="n">
        <v>26.2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52144-2023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45223</v>
      </c>
      <c r="E298" s="1" t="n">
        <v>46258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47494-2023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45202</v>
      </c>
      <c r="E299" s="1" t="n">
        <v>46258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22942-2024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45448</v>
      </c>
      <c r="E300" s="1" t="n">
        <v>46258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45036</v>
      </c>
      <c r="E301" s="1" t="n">
        <v>46258</v>
      </c>
      <c r="F301" t="inlineStr">
        <is>
          <t>VÄSTERBOTTENS LÄN</t>
        </is>
      </c>
      <c r="G301" t="inlineStr">
        <is>
          <t>DOROTEA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26124-2026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46181</v>
      </c>
      <c r="E302" s="1" t="n">
        <v>46258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26237-2026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46182</v>
      </c>
      <c r="E303" s="1" t="n">
        <v>46258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26255-2026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46182</v>
      </c>
      <c r="E304" s="1" t="n">
        <v>46258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31573-2026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46224</v>
      </c>
      <c r="E305" s="1" t="n">
        <v>46258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31574-2026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46224</v>
      </c>
      <c r="E306" s="1" t="n">
        <v>46258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31575-2026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46224</v>
      </c>
      <c r="E307" s="1" t="n">
        <v>46258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42473-2024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45565</v>
      </c>
      <c r="E308" s="1" t="n">
        <v>46258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12082-2026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46086</v>
      </c>
      <c r="E309" s="1" t="n">
        <v>46258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11817-2026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46085</v>
      </c>
      <c r="E310" s="1" t="n">
        <v>46258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57070-2023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45244</v>
      </c>
      <c r="E311" s="1" t="n">
        <v>46258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59007-2024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45636</v>
      </c>
      <c r="E312" s="1" t="n">
        <v>46258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22944-2024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45448</v>
      </c>
      <c r="E313" s="1" t="n">
        <v>46258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35202-2025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45852</v>
      </c>
      <c r="E314" s="1" t="n">
        <v>46258</v>
      </c>
      <c r="F314" t="inlineStr">
        <is>
          <t>VÄSTERBOTTENS LÄN</t>
        </is>
      </c>
      <c r="G314" t="inlineStr">
        <is>
          <t>DOROTEA</t>
        </is>
      </c>
      <c r="H314" t="inlineStr">
        <is>
          <t>Allmännings- och besparingsskogar</t>
        </is>
      </c>
      <c r="I314" t="n">
        <v>22.1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45852</v>
      </c>
      <c r="E315" s="1" t="n">
        <v>46258</v>
      </c>
      <c r="F315" t="inlineStr">
        <is>
          <t>VÄSTERBOTTENS LÄN</t>
        </is>
      </c>
      <c r="G315" t="inlineStr">
        <is>
          <t>DOROTEA</t>
        </is>
      </c>
      <c r="H315" t="inlineStr">
        <is>
          <t>Allmännings- och besparingsskogar</t>
        </is>
      </c>
      <c r="I315" t="n">
        <v>20.3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26926-2026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46185</v>
      </c>
      <c r="E316" s="1" t="n">
        <v>46258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7.4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45755</v>
      </c>
      <c r="E317" s="1" t="n">
        <v>46258</v>
      </c>
      <c r="F317" t="inlineStr">
        <is>
          <t>VÄSTERBOTTENS LÄN</t>
        </is>
      </c>
      <c r="G317" t="inlineStr">
        <is>
          <t>DOROTEA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24003-2025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45796</v>
      </c>
      <c r="E318" s="1" t="n">
        <v>46258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13170-2025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45735</v>
      </c>
      <c r="E319" s="1" t="n">
        <v>46258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42889-2024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45566</v>
      </c>
      <c r="E320" s="1" t="n">
        <v>46258</v>
      </c>
      <c r="F320" t="inlineStr">
        <is>
          <t>VÄSTERBOTTENS LÄN</t>
        </is>
      </c>
      <c r="G320" t="inlineStr">
        <is>
          <t>DOROTEA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44942</v>
      </c>
      <c r="E321" s="1" t="n">
        <v>46258</v>
      </c>
      <c r="F321" t="inlineStr">
        <is>
          <t>VÄSTERBOTTENS LÄN</t>
        </is>
      </c>
      <c r="G321" t="inlineStr">
        <is>
          <t>DOROTEA</t>
        </is>
      </c>
      <c r="I321" t="n">
        <v>22.7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14249-2026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46258</v>
      </c>
      <c r="F322" t="inlineStr">
        <is>
          <t>VÄSTERBOTTENS LÄN</t>
        </is>
      </c>
      <c r="G322" t="inlineStr">
        <is>
          <t>DOROTEA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27738-2026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46191</v>
      </c>
      <c r="E323" s="1" t="n">
        <v>46258</v>
      </c>
      <c r="F323" t="inlineStr">
        <is>
          <t>VÄSTERBOTTENS LÄN</t>
        </is>
      </c>
      <c r="G323" t="inlineStr">
        <is>
          <t>DOROTEA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45632</v>
      </c>
      <c r="E324" s="1" t="n">
        <v>46258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46258</v>
      </c>
      <c r="F325" t="inlineStr">
        <is>
          <t>VÄSTERBOTTENS LÄN</t>
        </is>
      </c>
      <c r="G325" t="inlineStr">
        <is>
          <t>DOROTEA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15901-2026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46107</v>
      </c>
      <c r="E326" s="1" t="n">
        <v>46258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33372-2024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45519</v>
      </c>
      <c r="E327" s="1" t="n">
        <v>46258</v>
      </c>
      <c r="F327" t="inlineStr">
        <is>
          <t>VÄSTERBOTTENS LÄN</t>
        </is>
      </c>
      <c r="G327" t="inlineStr">
        <is>
          <t>DOROTEA</t>
        </is>
      </c>
      <c r="I327" t="n">
        <v>8.9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46111</v>
      </c>
      <c r="E328" s="1" t="n">
        <v>46258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16276-2026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46111</v>
      </c>
      <c r="E329" s="1" t="n">
        <v>46258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16352-2026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46111</v>
      </c>
      <c r="E330" s="1" t="n">
        <v>46258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33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28180-2026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46195</v>
      </c>
      <c r="E331" s="1" t="n">
        <v>46258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28176-2026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46195</v>
      </c>
      <c r="E332" s="1" t="n">
        <v>46258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28360-2026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46196</v>
      </c>
      <c r="E333" s="1" t="n">
        <v>46258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49.5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16985-2026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46114</v>
      </c>
      <c r="E334" s="1" t="n">
        <v>46258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16896-2026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46113</v>
      </c>
      <c r="E335" s="1" t="n">
        <v>46258</v>
      </c>
      <c r="F335" t="inlineStr">
        <is>
          <t>VÄSTERBOTTENS LÄN</t>
        </is>
      </c>
      <c r="G335" t="inlineStr">
        <is>
          <t>DOROTEA</t>
        </is>
      </c>
      <c r="H335" t="inlineStr">
        <is>
          <t>Kommuner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28782-2026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46198</v>
      </c>
      <c r="E336" s="1" t="n">
        <v>46258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7.3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17537-2026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46120</v>
      </c>
      <c r="E337" s="1" t="n">
        <v>46258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8.6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17623-2026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46258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20.3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18310-2026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46126</v>
      </c>
      <c r="E339" s="1" t="n">
        <v>46258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28783-2026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46198</v>
      </c>
      <c r="E340" s="1" t="n">
        <v>46258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17971-2026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46123</v>
      </c>
      <c r="E341" s="1" t="n">
        <v>46258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14320-2024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45393</v>
      </c>
      <c r="E342" s="1" t="n">
        <v>46258</v>
      </c>
      <c r="F342" t="inlineStr">
        <is>
          <t>VÄSTERBOTTENS LÄN</t>
        </is>
      </c>
      <c r="G342" t="inlineStr">
        <is>
          <t>DOROTEA</t>
        </is>
      </c>
      <c r="I342" t="n">
        <v>10.2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18130-2026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46125</v>
      </c>
      <c r="E343" s="1" t="n">
        <v>46258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18.3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18254-2026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46126</v>
      </c>
      <c r="E344" s="1" t="n">
        <v>46258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18157-2026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46125</v>
      </c>
      <c r="E345" s="1" t="n">
        <v>46258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18143-2026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46125</v>
      </c>
      <c r="E346" s="1" t="n">
        <v>46258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59418-2023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45253</v>
      </c>
      <c r="E347" s="1" t="n">
        <v>46258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7.6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28741-2026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46258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46133</v>
      </c>
      <c r="E349" s="1" t="n">
        <v>46258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30570-2023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46258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42515-2023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45180</v>
      </c>
      <c r="E351" s="1" t="n">
        <v>46258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27.7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19445-2026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46258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19446-2026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46258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29757-2026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46204</v>
      </c>
      <c r="E354" s="1" t="n">
        <v>46258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34503-2025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45846</v>
      </c>
      <c r="E355" s="1" t="n">
        <v>46258</v>
      </c>
      <c r="F355" t="inlineStr">
        <is>
          <t>VÄSTERBOTTENS LÄN</t>
        </is>
      </c>
      <c r="G355" t="inlineStr">
        <is>
          <t>DOROTEA</t>
        </is>
      </c>
      <c r="I355" t="n">
        <v>14.7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52148-2023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45223</v>
      </c>
      <c r="E356" s="1" t="n">
        <v>46258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46136</v>
      </c>
      <c r="E357" s="1" t="n">
        <v>46258</v>
      </c>
      <c r="F357" t="inlineStr">
        <is>
          <t>VÄSTERBOTTENS LÄN</t>
        </is>
      </c>
      <c r="G357" t="inlineStr">
        <is>
          <t>DOROTEA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20333-2026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46136</v>
      </c>
      <c r="E358" s="1" t="n">
        <v>46258</v>
      </c>
      <c r="F358" t="inlineStr">
        <is>
          <t>VÄSTERBOTTENS LÄN</t>
        </is>
      </c>
      <c r="G358" t="inlineStr">
        <is>
          <t>DOROTEA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4617-2023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44956</v>
      </c>
      <c r="E359" s="1" t="n">
        <v>46258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33364-2026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46247</v>
      </c>
      <c r="E360" s="1" t="n">
        <v>46258</v>
      </c>
      <c r="F360" t="inlineStr">
        <is>
          <t>VÄSTERBOTTENS LÄN</t>
        </is>
      </c>
      <c r="G360" t="inlineStr">
        <is>
          <t>DOROTEA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31093-2026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46209</v>
      </c>
      <c r="E361" s="1" t="n">
        <v>46258</v>
      </c>
      <c r="F361" t="inlineStr">
        <is>
          <t>VÄSTERBOTTENS LÄN</t>
        </is>
      </c>
      <c r="G361" t="inlineStr">
        <is>
          <t>DOROTEA</t>
        </is>
      </c>
      <c r="I361" t="n">
        <v>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55889-2022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44888</v>
      </c>
      <c r="E362" s="1" t="n">
        <v>46258</v>
      </c>
      <c r="F362" t="inlineStr">
        <is>
          <t>VÄSTERBOTTENS LÄN</t>
        </is>
      </c>
      <c r="G362" t="inlineStr">
        <is>
          <t>DOROTEA</t>
        </is>
      </c>
      <c r="I362" t="n">
        <v>15.8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56807-2021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44481</v>
      </c>
      <c r="E363" s="1" t="n">
        <v>46258</v>
      </c>
      <c r="F363" t="inlineStr">
        <is>
          <t>VÄSTERBOTTENS LÄN</t>
        </is>
      </c>
      <c r="G363" t="inlineStr">
        <is>
          <t>DOROTEA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30078-2026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46258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7397-2025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45705</v>
      </c>
      <c r="E365" s="1" t="n">
        <v>46258</v>
      </c>
      <c r="F365" t="inlineStr">
        <is>
          <t>VÄSTERBOTTENS LÄN</t>
        </is>
      </c>
      <c r="G365" t="inlineStr">
        <is>
          <t>DOROTEA</t>
        </is>
      </c>
      <c r="I365" t="n">
        <v>13.3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20390-2026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46139</v>
      </c>
      <c r="E366" s="1" t="n">
        <v>46258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33514-2026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46248</v>
      </c>
      <c r="E367" s="1" t="n">
        <v>46258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8247-2024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45351</v>
      </c>
      <c r="E368" s="1" t="n">
        <v>46258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6.9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59395-2023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45253</v>
      </c>
      <c r="E369" s="1" t="n">
        <v>46258</v>
      </c>
      <c r="F369" t="inlineStr">
        <is>
          <t>VÄSTERBOTTENS LÄN</t>
        </is>
      </c>
      <c r="G369" t="inlineStr">
        <is>
          <t>DOROTEA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59397-2023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45253</v>
      </c>
      <c r="E370" s="1" t="n">
        <v>46258</v>
      </c>
      <c r="F370" t="inlineStr">
        <is>
          <t>VÄSTERBOTTENS LÄN</t>
        </is>
      </c>
      <c r="G370" t="inlineStr">
        <is>
          <t>DOROTEA</t>
        </is>
      </c>
      <c r="I370" t="n">
        <v>8.5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35990-2023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45148</v>
      </c>
      <c r="E371" s="1" t="n">
        <v>46258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30190-2026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46258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46136</v>
      </c>
      <c r="E373" s="1" t="n">
        <v>46258</v>
      </c>
      <c r="F373" t="inlineStr">
        <is>
          <t>VÄSTERBOTTENS LÄN</t>
        </is>
      </c>
      <c r="G373" t="inlineStr">
        <is>
          <t>DOROTEA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20327-2026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46136</v>
      </c>
      <c r="E374" s="1" t="n">
        <v>46258</v>
      </c>
      <c r="F374" t="inlineStr">
        <is>
          <t>VÄSTERBOTTENS LÄN</t>
        </is>
      </c>
      <c r="G374" t="inlineStr">
        <is>
          <t>DOROTEA</t>
        </is>
      </c>
      <c r="I374" t="n">
        <v>6.1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46818-2023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45198</v>
      </c>
      <c r="E375" s="1" t="n">
        <v>46258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46258</v>
      </c>
      <c r="F376" t="inlineStr">
        <is>
          <t>VÄSTERBOTTENS LÄN</t>
        </is>
      </c>
      <c r="G376" t="inlineStr">
        <is>
          <t>DOROTEA</t>
        </is>
      </c>
      <c r="I376" t="n">
        <v>11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34187-2026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46258</v>
      </c>
      <c r="F377" t="inlineStr">
        <is>
          <t>VÄSTERBOTTENS LÄN</t>
        </is>
      </c>
      <c r="G377" t="inlineStr">
        <is>
          <t>DOROTEA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34189-2026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46253</v>
      </c>
      <c r="E378" s="1" t="n">
        <v>46258</v>
      </c>
      <c r="F378" t="inlineStr">
        <is>
          <t>VÄSTERBOTTENS LÄN</t>
        </is>
      </c>
      <c r="G378" t="inlineStr">
        <is>
          <t>DOROTEA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63294-2025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46010</v>
      </c>
      <c r="E379" s="1" t="n">
        <v>46258</v>
      </c>
      <c r="F379" t="inlineStr">
        <is>
          <t>VÄSTERBOTTENS LÄN</t>
        </is>
      </c>
      <c r="G379" t="inlineStr">
        <is>
          <t>DOROTEA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34186-2026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46253</v>
      </c>
      <c r="E380" s="1" t="n">
        <v>46258</v>
      </c>
      <c r="F380" t="inlineStr">
        <is>
          <t>VÄSTERBOTTENS LÄN</t>
        </is>
      </c>
      <c r="G380" t="inlineStr">
        <is>
          <t>DOROTEA</t>
        </is>
      </c>
      <c r="I380" t="n">
        <v>13.6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57170-2025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46258</v>
      </c>
      <c r="F381" t="inlineStr">
        <is>
          <t>VÄSTERBOTTENS LÄN</t>
        </is>
      </c>
      <c r="G381" t="inlineStr">
        <is>
          <t>DOROTEA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59329-2025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45988</v>
      </c>
      <c r="E382" s="1" t="n">
        <v>46258</v>
      </c>
      <c r="F382" t="inlineStr">
        <is>
          <t>VÄSTERBOTTENS LÄN</t>
        </is>
      </c>
      <c r="G382" t="inlineStr">
        <is>
          <t>DOROTEA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57955-2021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44484</v>
      </c>
      <c r="E383" s="1" t="n">
        <v>46258</v>
      </c>
      <c r="F383" t="inlineStr">
        <is>
          <t>VÄSTERBOTTENS LÄN</t>
        </is>
      </c>
      <c r="G383" t="inlineStr">
        <is>
          <t>DOROTEA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57071-2023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45244</v>
      </c>
      <c r="E384" s="1" t="n">
        <v>46258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35457-2025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45855</v>
      </c>
      <c r="E385" s="1" t="n">
        <v>46258</v>
      </c>
      <c r="F385" t="inlineStr">
        <is>
          <t>VÄSTERBOTTENS LÄN</t>
        </is>
      </c>
      <c r="G385" t="inlineStr">
        <is>
          <t>DOROTEA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30645-2026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46211</v>
      </c>
      <c r="E386" s="1" t="n">
        <v>46258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30821-2026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46212</v>
      </c>
      <c r="E387" s="1" t="n">
        <v>46258</v>
      </c>
      <c r="F387" t="inlineStr">
        <is>
          <t>VÄSTERBOTTENS LÄN</t>
        </is>
      </c>
      <c r="G387" t="inlineStr">
        <is>
          <t>DOROTEA</t>
        </is>
      </c>
      <c r="I387" t="n">
        <v>8.4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34448-2026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46254</v>
      </c>
      <c r="E388" s="1" t="n">
        <v>46258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20321-2026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46136</v>
      </c>
      <c r="E389" s="1" t="n">
        <v>46258</v>
      </c>
      <c r="F389" t="inlineStr">
        <is>
          <t>VÄSTERBOTTENS LÄN</t>
        </is>
      </c>
      <c r="G389" t="inlineStr">
        <is>
          <t>DOROTEA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60145-2021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44494</v>
      </c>
      <c r="E390" s="1" t="n">
        <v>46258</v>
      </c>
      <c r="F390" t="inlineStr">
        <is>
          <t>VÄSTERBOTTENS LÄN</t>
        </is>
      </c>
      <c r="G390" t="inlineStr">
        <is>
          <t>DOROTEA</t>
        </is>
      </c>
      <c r="I390" t="n">
        <v>13.3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28549-2023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46258</v>
      </c>
      <c r="F391" t="inlineStr">
        <is>
          <t>VÄSTERBOTTENS LÄN</t>
        </is>
      </c>
      <c r="G391" t="inlineStr">
        <is>
          <t>DOROTEA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53092-2024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45611</v>
      </c>
      <c r="E392" s="1" t="n">
        <v>46258</v>
      </c>
      <c r="F392" t="inlineStr">
        <is>
          <t>VÄSTERBOTTENS LÄN</t>
        </is>
      </c>
      <c r="G392" t="inlineStr">
        <is>
          <t>DOROTEA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31006-2026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46213</v>
      </c>
      <c r="E393" s="1" t="n">
        <v>46258</v>
      </c>
      <c r="F393" t="inlineStr">
        <is>
          <t>VÄSTERBOTTENS LÄN</t>
        </is>
      </c>
      <c r="G393" t="inlineStr">
        <is>
          <t>DOROTEA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30885-2026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46212</v>
      </c>
      <c r="E394" s="1" t="n">
        <v>46258</v>
      </c>
      <c r="F394" t="inlineStr">
        <is>
          <t>VÄSTERBOTTENS LÄN</t>
        </is>
      </c>
      <c r="G394" t="inlineStr">
        <is>
          <t>DOROTEA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31016-2026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46213</v>
      </c>
      <c r="E395" s="1" t="n">
        <v>46258</v>
      </c>
      <c r="F395" t="inlineStr">
        <is>
          <t>VÄSTERBOTTENS LÄN</t>
        </is>
      </c>
      <c r="G395" t="inlineStr">
        <is>
          <t>DOROTEA</t>
        </is>
      </c>
      <c r="I395" t="n">
        <v>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30823-2026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46212</v>
      </c>
      <c r="E396" s="1" t="n">
        <v>46258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30740-2026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46211</v>
      </c>
      <c r="E397" s="1" t="n">
        <v>46258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20286-2026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46136</v>
      </c>
      <c r="E398" s="1" t="n">
        <v>46258</v>
      </c>
      <c r="F398" t="inlineStr">
        <is>
          <t>VÄSTERBOTTENS LÄN</t>
        </is>
      </c>
      <c r="G398" t="inlineStr">
        <is>
          <t>DOROTEA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45295</v>
      </c>
      <c r="E399" s="1" t="n">
        <v>46258</v>
      </c>
      <c r="F399" t="inlineStr">
        <is>
          <t>VÄSTERBOTTENS LÄN</t>
        </is>
      </c>
      <c r="G399" t="inlineStr">
        <is>
          <t>DOROTEA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20680-2026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46141</v>
      </c>
      <c r="E400" s="1" t="n">
        <v>46258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37282-2025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45876</v>
      </c>
      <c r="E401" s="1" t="n">
        <v>46258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20290-2026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46136</v>
      </c>
      <c r="E402" s="1" t="n">
        <v>46258</v>
      </c>
      <c r="F402" t="inlineStr">
        <is>
          <t>VÄSTERBOTTENS LÄN</t>
        </is>
      </c>
      <c r="G402" t="inlineStr">
        <is>
          <t>DOROTEA</t>
        </is>
      </c>
      <c r="I402" t="n">
        <v>17.8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20754-2026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46141</v>
      </c>
      <c r="E403" s="1" t="n">
        <v>46258</v>
      </c>
      <c r="F403" t="inlineStr">
        <is>
          <t>VÄSTERBOTTENS LÄN</t>
        </is>
      </c>
      <c r="G403" t="inlineStr">
        <is>
          <t>DOROTEA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46817-2022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44848</v>
      </c>
      <c r="E404" s="1" t="n">
        <v>46258</v>
      </c>
      <c r="F404" t="inlineStr">
        <is>
          <t>VÄSTERBOTTENS LÄN</t>
        </is>
      </c>
      <c r="G404" t="inlineStr">
        <is>
          <t>DOROTEA</t>
        </is>
      </c>
      <c r="I404" t="n">
        <v>29.8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13035-2024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45385</v>
      </c>
      <c r="E405" s="1" t="n">
        <v>46258</v>
      </c>
      <c r="F405" t="inlineStr">
        <is>
          <t>VÄSTERBOTTENS LÄN</t>
        </is>
      </c>
      <c r="G405" t="inlineStr">
        <is>
          <t>DOROTEA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46258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20755-2026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46141</v>
      </c>
      <c r="E407" s="1" t="n">
        <v>46258</v>
      </c>
      <c r="F407" t="inlineStr">
        <is>
          <t>VÄSTERBOTTENS LÄN</t>
        </is>
      </c>
      <c r="G407" t="inlineStr">
        <is>
          <t>DOROTEA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46966-2024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45586</v>
      </c>
      <c r="E408" s="1" t="n">
        <v>46258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Sveaskog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53272-2024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45614</v>
      </c>
      <c r="E409" s="1" t="n">
        <v>46258</v>
      </c>
      <c r="F409" t="inlineStr">
        <is>
          <t>VÄSTERBOTTENS LÄN</t>
        </is>
      </c>
      <c r="G409" t="inlineStr">
        <is>
          <t>DOROTEA</t>
        </is>
      </c>
      <c r="I409" t="n">
        <v>31.7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63575-2025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46013</v>
      </c>
      <c r="E410" s="1" t="n">
        <v>46258</v>
      </c>
      <c r="F410" t="inlineStr">
        <is>
          <t>VÄSTERBOTTENS LÄN</t>
        </is>
      </c>
      <c r="G410" t="inlineStr">
        <is>
          <t>DOROTEA</t>
        </is>
      </c>
      <c r="I410" t="n">
        <v>6.6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20231-2026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46136</v>
      </c>
      <c r="E411" s="1" t="n">
        <v>46258</v>
      </c>
      <c r="F411" t="inlineStr">
        <is>
          <t>VÄSTERBOTTENS LÄN</t>
        </is>
      </c>
      <c r="G411" t="inlineStr">
        <is>
          <t>DOROTEA</t>
        </is>
      </c>
      <c r="I411" t="n">
        <v>21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3098-2025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45678</v>
      </c>
      <c r="E412" s="1" t="n">
        <v>46258</v>
      </c>
      <c r="F412" t="inlineStr">
        <is>
          <t>VÄSTERBOTTENS LÄN</t>
        </is>
      </c>
      <c r="G412" t="inlineStr">
        <is>
          <t>DOROTEA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36096-2025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45866</v>
      </c>
      <c r="E413" s="1" t="n">
        <v>46258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23300-2023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45075</v>
      </c>
      <c r="E414" s="1" t="n">
        <v>46258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28717-2022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44748</v>
      </c>
      <c r="E415" s="1" t="n">
        <v>46258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30059-2024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45488</v>
      </c>
      <c r="E416" s="1" t="n">
        <v>46258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43092-2023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45182</v>
      </c>
      <c r="E417" s="1" t="n">
        <v>46258</v>
      </c>
      <c r="F417" t="inlineStr">
        <is>
          <t>VÄSTERBOTTENS LÄN</t>
        </is>
      </c>
      <c r="G417" t="inlineStr">
        <is>
          <t>DOROTEA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21152-2026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46146</v>
      </c>
      <c r="E418" s="1" t="n">
        <v>46258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21338-2026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46147</v>
      </c>
      <c r="E419" s="1" t="n">
        <v>46258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21199-2026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46146</v>
      </c>
      <c r="E420" s="1" t="n">
        <v>46258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21332-2026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46147</v>
      </c>
      <c r="E421" s="1" t="n">
        <v>46258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27777-2026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46189</v>
      </c>
      <c r="E422" s="1" t="n">
        <v>46258</v>
      </c>
      <c r="F422" t="inlineStr">
        <is>
          <t>VÄSTERBOTTENS LÄN</t>
        </is>
      </c>
      <c r="G422" t="inlineStr">
        <is>
          <t>DOROTEA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27780-2026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46189</v>
      </c>
      <c r="E423" s="1" t="n">
        <v>46258</v>
      </c>
      <c r="F423" t="inlineStr">
        <is>
          <t>VÄSTERBOTTENS LÄN</t>
        </is>
      </c>
      <c r="G423" t="inlineStr">
        <is>
          <t>DOROTEA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27762-2026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46258</v>
      </c>
      <c r="F424" t="inlineStr">
        <is>
          <t>VÄSTERBOTTENS LÄN</t>
        </is>
      </c>
      <c r="G424" t="inlineStr">
        <is>
          <t>DOROTEA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21749-2026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46149</v>
      </c>
      <c r="E425" s="1" t="n">
        <v>46258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15352-2025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45747</v>
      </c>
      <c r="E426" s="1" t="n">
        <v>46258</v>
      </c>
      <c r="F426" t="inlineStr">
        <is>
          <t>VÄSTERBOTTENS LÄN</t>
        </is>
      </c>
      <c r="G426" t="inlineStr">
        <is>
          <t>DOROTEA</t>
        </is>
      </c>
      <c r="I426" t="n">
        <v>10.3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13023-2025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45734</v>
      </c>
      <c r="E427" s="1" t="n">
        <v>46258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21902-2026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46150</v>
      </c>
      <c r="E428" s="1" t="n">
        <v>46258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12.8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46258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21812-2026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46150</v>
      </c>
      <c r="E430" s="1" t="n">
        <v>46258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22214-2026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46258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16.4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22650-2026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46155</v>
      </c>
      <c r="E432" s="1" t="n">
        <v>46258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6.5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55888-2022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44888</v>
      </c>
      <c r="E433" s="1" t="n">
        <v>46258</v>
      </c>
      <c r="F433" t="inlineStr">
        <is>
          <t>VÄSTERBOTTENS LÄN</t>
        </is>
      </c>
      <c r="G433" t="inlineStr">
        <is>
          <t>DOROTEA</t>
        </is>
      </c>
      <c r="I433" t="n">
        <v>7.6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6621-2023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44960</v>
      </c>
      <c r="E434" s="1" t="n">
        <v>46258</v>
      </c>
      <c r="F434" t="inlineStr">
        <is>
          <t>VÄSTERBOTTENS LÄN</t>
        </is>
      </c>
      <c r="G434" t="inlineStr">
        <is>
          <t>DOROTEA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43944-2024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45572</v>
      </c>
      <c r="E435" s="1" t="n">
        <v>46258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38096-2025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45882</v>
      </c>
      <c r="E436" s="1" t="n">
        <v>46258</v>
      </c>
      <c r="F436" t="inlineStr">
        <is>
          <t>VÄSTERBOTTENS LÄN</t>
        </is>
      </c>
      <c r="G436" t="inlineStr">
        <is>
          <t>DOROTEA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28856-2024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45478</v>
      </c>
      <c r="E437" s="1" t="n">
        <v>46258</v>
      </c>
      <c r="F437" t="inlineStr">
        <is>
          <t>VÄSTERBOTTENS LÄN</t>
        </is>
      </c>
      <c r="G437" t="inlineStr">
        <is>
          <t>DOROTEA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15735-2026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46258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11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38377-2023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45161</v>
      </c>
      <c r="E439" s="1" t="n">
        <v>46258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53382-2024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45614</v>
      </c>
      <c r="E440" s="1" t="n">
        <v>46258</v>
      </c>
      <c r="F440" t="inlineStr">
        <is>
          <t>VÄSTERBOTTENS LÄN</t>
        </is>
      </c>
      <c r="G440" t="inlineStr">
        <is>
          <t>DOROTEA</t>
        </is>
      </c>
      <c r="I440" t="n">
        <v>11.2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31497-2024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45505</v>
      </c>
      <c r="E441" s="1" t="n">
        <v>46258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42104-2024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45562</v>
      </c>
      <c r="E442" s="1" t="n">
        <v>46258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23001-2026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46160</v>
      </c>
      <c r="E443" s="1" t="n">
        <v>46258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30461-2024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45491</v>
      </c>
      <c r="E444" s="1" t="n">
        <v>46258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7.1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54031-2025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45962</v>
      </c>
      <c r="E445" s="1" t="n">
        <v>46258</v>
      </c>
      <c r="F445" t="inlineStr">
        <is>
          <t>VÄSTERBOTTENS LÄN</t>
        </is>
      </c>
      <c r="G445" t="inlineStr">
        <is>
          <t>DOROTEA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23214-2026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46162</v>
      </c>
      <c r="E446" s="1" t="n">
        <v>46258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14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23408-2026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46258</v>
      </c>
      <c r="F447" t="inlineStr">
        <is>
          <t>VÄSTERBOTTENS LÄN</t>
        </is>
      </c>
      <c r="G447" t="inlineStr">
        <is>
          <t>DOROTEA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22774-2025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45789</v>
      </c>
      <c r="E448" s="1" t="n">
        <v>46258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13451-2022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44645</v>
      </c>
      <c r="E449" s="1" t="n">
        <v>46258</v>
      </c>
      <c r="F449" t="inlineStr">
        <is>
          <t>VÄSTERBOTTENS LÄN</t>
        </is>
      </c>
      <c r="G449" t="inlineStr">
        <is>
          <t>DOROTEA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19889-2025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45771</v>
      </c>
      <c r="E450" s="1" t="n">
        <v>46258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34820-2023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45140</v>
      </c>
      <c r="E451" s="1" t="n">
        <v>46258</v>
      </c>
      <c r="F451" t="inlineStr">
        <is>
          <t>VÄSTERBOTTENS LÄN</t>
        </is>
      </c>
      <c r="G451" t="inlineStr">
        <is>
          <t>DOROTEA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29737-2024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45485</v>
      </c>
      <c r="E452" s="1" t="n">
        <v>46258</v>
      </c>
      <c r="F452" t="inlineStr">
        <is>
          <t>VÄSTERBOTTENS LÄN</t>
        </is>
      </c>
      <c r="G452" t="inlineStr">
        <is>
          <t>DOROTEA</t>
        </is>
      </c>
      <c r="I452" t="n">
        <v>10.2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23457-2025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45792</v>
      </c>
      <c r="E453" s="1" t="n">
        <v>46258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39470-2024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45551</v>
      </c>
      <c r="E454" s="1" t="n">
        <v>46258</v>
      </c>
      <c r="F454" t="inlineStr">
        <is>
          <t>VÄSTERBOTTENS LÄN</t>
        </is>
      </c>
      <c r="G454" t="inlineStr">
        <is>
          <t>DOROTEA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33113-2024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45517</v>
      </c>
      <c r="E455" s="1" t="n">
        <v>46258</v>
      </c>
      <c r="F455" t="inlineStr">
        <is>
          <t>VÄSTERBOTTENS LÄN</t>
        </is>
      </c>
      <c r="G455" t="inlineStr">
        <is>
          <t>DOROTEA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53380-2024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45614</v>
      </c>
      <c r="E456" s="1" t="n">
        <v>46258</v>
      </c>
      <c r="F456" t="inlineStr">
        <is>
          <t>VÄSTERBOTTENS LÄN</t>
        </is>
      </c>
      <c r="G456" t="inlineStr">
        <is>
          <t>DOROTEA</t>
        </is>
      </c>
      <c r="I456" t="n">
        <v>12.8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2945-2024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45506</v>
      </c>
      <c r="E457" s="1" t="n">
        <v>46258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1058-2025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45749</v>
      </c>
      <c r="E458" s="1" t="n">
        <v>46258</v>
      </c>
      <c r="F458" t="inlineStr">
        <is>
          <t>VÄSTERBOTTENS LÄN</t>
        </is>
      </c>
      <c r="G458" t="inlineStr">
        <is>
          <t>DOROTEA</t>
        </is>
      </c>
      <c r="I458" t="n">
        <v>10.9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844-2025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45733</v>
      </c>
      <c r="E459" s="1" t="n">
        <v>46258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1293.5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2195-2025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45858</v>
      </c>
      <c r="E460" s="1" t="n">
        <v>46258</v>
      </c>
      <c r="F460" t="inlineStr">
        <is>
          <t>VÄSTERBOTTENS LÄN</t>
        </is>
      </c>
      <c r="G460" t="inlineStr">
        <is>
          <t>DOROTEA</t>
        </is>
      </c>
      <c r="I460" t="n">
        <v>27.4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2283-2025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45876</v>
      </c>
      <c r="E461" s="1" t="n">
        <v>46258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10.1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2360-2025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45889</v>
      </c>
      <c r="E462" s="1" t="n">
        <v>46258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>
      <c r="A463" t="inlineStr">
        <is>
          <t>S 1763-2026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46189</v>
      </c>
      <c r="E463" s="1" t="n">
        <v>46258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2026-08-24T01:50:26Z</dcterms:created>
  <dcterms:modified xmlns:dcterms="http://purl.org/dc/terms/" xmlns:xsi="http://www.w3.org/2001/XMLSchema-instance" xsi:type="dcterms:W3CDTF">2026-08-24T01:50:26Z</dcterms:modified>
</cp:coreProperties>
</file>