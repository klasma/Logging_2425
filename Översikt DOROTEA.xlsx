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27557-2025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45813</v>
      </c>
      <c r="E2" s="1" t="n">
        <v>46319</v>
      </c>
      <c r="F2" t="inlineStr">
        <is>
          <t>VÄSTERBOTTENS LÄN</t>
        </is>
      </c>
      <c r="G2" t="inlineStr">
        <is>
          <t>DOROTEA</t>
        </is>
      </c>
      <c r="H2" t="inlineStr">
        <is>
          <t>SCA</t>
        </is>
      </c>
      <c r="I2" t="n">
        <v>20.7</v>
      </c>
      <c r="J2" t="n">
        <v>4</v>
      </c>
      <c r="K2" t="n">
        <v>5</v>
      </c>
      <c r="L2" t="n">
        <v>10</v>
      </c>
      <c r="M2" t="n">
        <v>6</v>
      </c>
      <c r="N2" t="n">
        <v>0</v>
      </c>
      <c r="O2" t="n">
        <v>0</v>
      </c>
      <c r="P2" t="n">
        <v>0</v>
      </c>
      <c r="Q2" t="n">
        <v>16</v>
      </c>
      <c r="R2" t="n">
        <v>6</v>
      </c>
      <c r="S2" t="n">
        <v>23</v>
      </c>
      <c r="T2" t="n">
        <v>138</v>
      </c>
      <c r="U2" t="n">
        <v>124</v>
      </c>
      <c r="V2" s="2" t="inlineStr">
        <is>
          <t>Finporing
Garnlav
Gränsticka
Ostticka
Skuggnål
Vitskaftad svartspik
Gammelgransskål
Harticka
Koralltaggsvamp
Liten svartspik
Rosenticka
Rödbrun blekspik
Talltita
Tretåig hackspett
Ullticka
Vitgrynig nållav
Blodticka
Kransrams
Luddlav
Stuplav
Trådticka
Spillkråka
Skogsrör</t>
        </is>
      </c>
      <c r="W2">
        <f>HYPERLINK("https://klasma.github.io/Logging_2425/artfynd/A 27557-2025 artfynd.xlsx", "A 27557-2025")</f>
        <v/>
      </c>
      <c r="X2">
        <f>HYPERLINK("https://klasma.github.io/Logging_2425/kartor/A 27557-2025 karta.png", "A 27557-2025")</f>
        <v/>
      </c>
      <c r="Y2">
        <f>HYPERLINK("https://klasma.github.io/Logging_2425/kartor_geotiff/A 27557-2025 georefererad karta.tif", "A 27557-2025")</f>
        <v/>
      </c>
      <c r="AA2">
        <f>HYPERLINK("https://klasma.github.io/Logging_2425/klagomål/A 27557-2025 FSC-klagomål.docx", "A 27557-2025")</f>
        <v/>
      </c>
      <c r="AB2">
        <f>HYPERLINK("https://klasma.github.io/Logging_2425/klagomålsmail/A 27557-2025 FSC-klagomål mail.docx", "A 27557-2025")</f>
        <v/>
      </c>
      <c r="AC2">
        <f>HYPERLINK("https://klasma.github.io/Logging_2425/tillsyn/A 27557-2025 tillsynsbegäran.docx", "A 27557-2025")</f>
        <v/>
      </c>
      <c r="AD2">
        <f>HYPERLINK("https://klasma.github.io/Logging_2425/tillsynsmail/A 27557-2025 tillsynsbegäran mail.docx", "A 27557-2025")</f>
        <v/>
      </c>
      <c r="AE2">
        <f>HYPERLINK("https://klasma.github.io/Logging_2425/fåglar/A 27557-2025 prioriterade fågelarter.docx", "A 27557-2025")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46319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4</v>
      </c>
      <c r="K3" t="n">
        <v>5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22</v>
      </c>
      <c r="T3" t="n">
        <v>54</v>
      </c>
      <c r="U3" t="n">
        <v>48</v>
      </c>
      <c r="V3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  <c r="AE3">
        <f>HYPERLINK("https://klasma.github.io/Logging_2425/fåglar/A 28716-2023 prioriterade fågelarter.docx",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46319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35203-2025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45852</v>
      </c>
      <c r="E5" s="1" t="n">
        <v>46319</v>
      </c>
      <c r="F5" t="inlineStr">
        <is>
          <t>VÄSTERBOTTENS LÄN</t>
        </is>
      </c>
      <c r="G5" t="inlineStr">
        <is>
          <t>DOROTEA</t>
        </is>
      </c>
      <c r="H5" t="inlineStr">
        <is>
          <t>Allmännings- och besparingsskogar</t>
        </is>
      </c>
      <c r="I5" t="n">
        <v>20.3</v>
      </c>
      <c r="J5" t="n">
        <v>1</v>
      </c>
      <c r="K5" t="n">
        <v>1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14</v>
      </c>
      <c r="T5" t="n">
        <v>14</v>
      </c>
      <c r="U5" t="n">
        <v>14</v>
      </c>
      <c r="V5" s="2" t="inlineStr">
        <is>
          <t>Garnlav
Gränsticka
Liten sotlav
Skuggnål
Vitskaftad svartspik
Doftskinn
Harticka
Liten svartspik
Rynkskinn
Stjärntagging
Talltita
Ullticka
Vitgrynig nållav
Trådticka</t>
        </is>
      </c>
      <c r="W5">
        <f>HYPERLINK("https://klasma.github.io/Logging_2425/artfynd/A 35203-2025 artfynd.xlsx", "A 35203-2025")</f>
        <v/>
      </c>
      <c r="X5">
        <f>HYPERLINK("https://klasma.github.io/Logging_2425/kartor/A 35203-2025 karta.png", "A 35203-2025")</f>
        <v/>
      </c>
      <c r="Y5">
        <f>HYPERLINK("https://klasma.github.io/Logging_2425/kartor_geotiff/A 35203-2025 georefererad karta.tif", "A 35203-2025")</f>
        <v/>
      </c>
      <c r="AA5">
        <f>HYPERLINK("https://klasma.github.io/Logging_2425/klagomål/A 35203-2025 FSC-klagomål.docx", "A 35203-2025")</f>
        <v/>
      </c>
      <c r="AB5">
        <f>HYPERLINK("https://klasma.github.io/Logging_2425/klagomålsmail/A 35203-2025 FSC-klagomål mail.docx", "A 35203-2025")</f>
        <v/>
      </c>
      <c r="AC5">
        <f>HYPERLINK("https://klasma.github.io/Logging_2425/tillsyn/A 35203-2025 tillsynsbegäran.docx", "A 35203-2025")</f>
        <v/>
      </c>
      <c r="AD5">
        <f>HYPERLINK("https://klasma.github.io/Logging_2425/tillsynsmail/A 35203-2025 tillsynsbegäran mail.docx", "A 35203-2025")</f>
        <v/>
      </c>
      <c r="AE5">
        <f>HYPERLINK("https://klasma.github.io/Logging_2425/fåglar/A 35203-2025 prioriterade fågelarter.docx", "A 35203-2025")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46319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35202-2025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45852</v>
      </c>
      <c r="E7" s="1" t="n">
        <v>46319</v>
      </c>
      <c r="F7" t="inlineStr">
        <is>
          <t>VÄSTERBOTTENS LÄN</t>
        </is>
      </c>
      <c r="G7" t="inlineStr">
        <is>
          <t>DOROTEA</t>
        </is>
      </c>
      <c r="H7" t="inlineStr">
        <is>
          <t>Allmännings- och besparingsskogar</t>
        </is>
      </c>
      <c r="I7" t="n">
        <v>22.1</v>
      </c>
      <c r="J7" t="n">
        <v>0</v>
      </c>
      <c r="K7" t="n">
        <v>1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12</v>
      </c>
      <c r="T7" t="n">
        <v>18</v>
      </c>
      <c r="U7" t="n">
        <v>18</v>
      </c>
      <c r="V7" s="2" t="inlineStr">
        <is>
          <t>Garnlav
Skuggnål
Vitskaftad svartspik
Brunpudrad nållav
Gammelgransskål
Harticka
Kavernularia
Knottrig blåslav
Rödbrun blekspik
Skrovellav
Vitgrynig nållav
Rostfläck</t>
        </is>
      </c>
      <c r="W7">
        <f>HYPERLINK("https://klasma.github.io/Logging_2425/artfynd/A 35202-2025 artfynd.xlsx", "A 35202-2025")</f>
        <v/>
      </c>
      <c r="X7">
        <f>HYPERLINK("https://klasma.github.io/Logging_2425/kartor/A 35202-2025 karta.png", "A 35202-2025")</f>
        <v/>
      </c>
      <c r="Y7">
        <f>HYPERLINK("https://klasma.github.io/Logging_2425/kartor_geotiff/A 35202-2025 georefererad karta.tif", "A 35202-2025")</f>
        <v/>
      </c>
      <c r="AA7">
        <f>HYPERLINK("https://klasma.github.io/Logging_2425/klagomål/A 35202-2025 FSC-klagomål.docx", "A 35202-2025")</f>
        <v/>
      </c>
      <c r="AB7">
        <f>HYPERLINK("https://klasma.github.io/Logging_2425/klagomålsmail/A 35202-2025 FSC-klagomål mail.docx", "A 35202-2025")</f>
        <v/>
      </c>
      <c r="AC7">
        <f>HYPERLINK("https://klasma.github.io/Logging_2425/tillsyn/A 35202-2025 tillsynsbegäran.docx", "A 35202-2025")</f>
        <v/>
      </c>
      <c r="AD7">
        <f>HYPERLINK("https://klasma.github.io/Logging_2425/tillsynsmail/A 35202-2025 tillsynsbegäran mail.docx", "A 35202-2025")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46319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19331-2024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45428</v>
      </c>
      <c r="E9" s="1" t="n">
        <v>46319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21.7</v>
      </c>
      <c r="J9" t="n">
        <v>1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72</v>
      </c>
      <c r="U9" t="n">
        <v>71</v>
      </c>
      <c r="V9" s="2" t="inlineStr">
        <is>
          <t>Garnlav
Lunglav
Skrovellav
Tretåig hackspett
Bårdlav
Luddlav
Stuplav</t>
        </is>
      </c>
      <c r="W9">
        <f>HYPERLINK("https://klasma.github.io/Logging_2425/artfynd/A 19331-2024 artfynd.xlsx", "A 19331-2024")</f>
        <v/>
      </c>
      <c r="X9">
        <f>HYPERLINK("https://klasma.github.io/Logging_2425/kartor/A 19331-2024 karta.png", "A 19331-2024")</f>
        <v/>
      </c>
      <c r="Y9">
        <f>HYPERLINK("https://klasma.github.io/Logging_2425/kartor_geotiff/A 19331-2024 georefererad karta.tif", "A 19331-2024")</f>
        <v/>
      </c>
      <c r="AA9">
        <f>HYPERLINK("https://klasma.github.io/Logging_2425/klagomål/A 19331-2024 FSC-klagomål.docx", "A 19331-2024")</f>
        <v/>
      </c>
      <c r="AB9">
        <f>HYPERLINK("https://klasma.github.io/Logging_2425/klagomålsmail/A 19331-2024 FSC-klagomål mail.docx", "A 19331-2024")</f>
        <v/>
      </c>
      <c r="AC9">
        <f>HYPERLINK("https://klasma.github.io/Logging_2425/tillsyn/A 19331-2024 tillsynsbegäran.docx", "A 19331-2024")</f>
        <v/>
      </c>
      <c r="AD9">
        <f>HYPERLINK("https://klasma.github.io/Logging_2425/tillsynsmail/A 19331-2024 tillsynsbegäran mail.docx", "A 19331-2024")</f>
        <v/>
      </c>
      <c r="AE9">
        <f>HYPERLINK("https://klasma.github.io/Logging_2425/fåglar/A 19331-2024 prioriterade fågelarter.docx", "A 19331-2024")</f>
        <v/>
      </c>
    </row>
    <row r="10" ht="15" customHeight="1">
      <c r="A10" t="inlineStr">
        <is>
          <t>A 57059-2024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45629</v>
      </c>
      <c r="E10" s="1" t="n">
        <v>46319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7.5</v>
      </c>
      <c r="J10" t="n">
        <v>0</v>
      </c>
      <c r="K10" t="n">
        <v>2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9</v>
      </c>
      <c r="U10" t="n">
        <v>0</v>
      </c>
      <c r="V10" s="2" t="inlineStr">
        <is>
          <t>Garnlav
Harticka
Lunglav
Skrovellav
Vitgrynig nållav
Barkticka
Luddlav</t>
        </is>
      </c>
      <c r="W10">
        <f>HYPERLINK("https://klasma.github.io/Logging_2425/artfynd/A 57059-2024 artfynd.xlsx", "A 57059-2024")</f>
        <v/>
      </c>
      <c r="X10">
        <f>HYPERLINK("https://klasma.github.io/Logging_2425/kartor/A 57059-2024 karta.png", "A 57059-2024")</f>
        <v/>
      </c>
      <c r="Y10">
        <f>HYPERLINK("https://klasma.github.io/Logging_2425/kartor_geotiff/A 57059-2024 georefererad karta.tif", "A 57059-2024")</f>
        <v/>
      </c>
      <c r="AA10">
        <f>HYPERLINK("https://klasma.github.io/Logging_2425/klagomål/A 57059-2024 FSC-klagomål.docx", "A 57059-2024")</f>
        <v/>
      </c>
      <c r="AB10">
        <f>HYPERLINK("https://klasma.github.io/Logging_2425/klagomålsmail/A 57059-2024 FSC-klagomål mail.docx", "A 57059-2024")</f>
        <v/>
      </c>
      <c r="AC10">
        <f>HYPERLINK("https://klasma.github.io/Logging_2425/tillsyn/A 57059-2024 tillsynsbegäran.docx", "A 57059-2024")</f>
        <v/>
      </c>
      <c r="AD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46319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21.1</v>
      </c>
      <c r="J11" t="n">
        <v>2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36</v>
      </c>
      <c r="U11" t="n">
        <v>36</v>
      </c>
      <c r="V11" s="2" t="inlineStr">
        <is>
          <t>Garnlav
Harticka
Lavskrika
Stjärntagging
Tretåig hackspett
Trådticka</t>
        </is>
      </c>
      <c r="W11">
        <f>HYPERLINK("https://klasma.github.io/Logging_2425/artfynd/A 33659-2023 artfynd.xlsx", "A 33659-2023")</f>
        <v/>
      </c>
      <c r="X11">
        <f>HYPERLINK("https://klasma.github.io/Logging_2425/kartor/A 33659-2023 karta.png", "A 33659-2023")</f>
        <v/>
      </c>
      <c r="Y11">
        <f>HYPERLINK("https://klasma.github.io/Logging_2425/kartor_geotiff/A 33659-2023 georefererad karta.tif", "A 33659-2023")</f>
        <v/>
      </c>
      <c r="AA11">
        <f>HYPERLINK("https://klasma.github.io/Logging_2425/klagomål/A 33659-2023 FSC-klagomål.docx", "A 33659-2023")</f>
        <v/>
      </c>
      <c r="AB11">
        <f>HYPERLINK("https://klasma.github.io/Logging_2425/klagomålsmail/A 33659-2023 FSC-klagomål mail.docx", "A 33659-2023")</f>
        <v/>
      </c>
      <c r="AC11">
        <f>HYPERLINK("https://klasma.github.io/Logging_2425/tillsyn/A 33659-2023 tillsynsbegäran.docx", "A 33659-2023")</f>
        <v/>
      </c>
      <c r="AD11">
        <f>HYPERLINK("https://klasma.github.io/Logging_2425/tillsynsmail/A 33659-2023 tillsynsbegäran mail.docx", "A 33659-2023")</f>
        <v/>
      </c>
      <c r="AE11">
        <f>HYPERLINK("https://klasma.github.io/Logging_2425/fåglar/A 33659-2023 prioriterade fågelarter.docx", "A 33659-2023")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46319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46319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46319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46319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46319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46319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46319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46319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46319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46319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46319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4828-2023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46319</v>
      </c>
      <c r="F24" t="inlineStr">
        <is>
          <t>VÄSTERBOTTENS LÄN</t>
        </is>
      </c>
      <c r="G24" t="inlineStr">
        <is>
          <t>DOROTEA</t>
        </is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Garnlav
Vitgrynig nållav
Spindelblomster</t>
        </is>
      </c>
      <c r="W24">
        <f>HYPERLINK("https://klasma.github.io/Logging_2425/artfynd/A 4828-2023 artfynd.xlsx", "A 4828-2023")</f>
        <v/>
      </c>
      <c r="X24">
        <f>HYPERLINK("https://klasma.github.io/Logging_2425/kartor/A 4828-2023 karta.png", "A 4828-2023")</f>
        <v/>
      </c>
      <c r="Y24">
        <f>HYPERLINK("https://klasma.github.io/Logging_2425/kartor_geotiff/A 4828-2023 georefererad karta.tif", "A 4828-2023")</f>
        <v/>
      </c>
      <c r="AA24">
        <f>HYPERLINK("https://klasma.github.io/Logging_2425/klagomål/A 4828-2023 FSC-klagomål.docx", "A 4828-2023")</f>
        <v/>
      </c>
      <c r="AB24">
        <f>HYPERLINK("https://klasma.github.io/Logging_2425/klagomålsmail/A 4828-2023 FSC-klagomål mail.docx", "A 4828-2023")</f>
        <v/>
      </c>
      <c r="AC24">
        <f>HYPERLINK("https://klasma.github.io/Logging_2425/tillsyn/A 4828-2023 tillsynsbegäran.docx", "A 4828-2023")</f>
        <v/>
      </c>
      <c r="AD24">
        <f>HYPERLINK("https://klasma.github.io/Logging_2425/tillsynsmail/A 4828-2023 tillsynsbegäran mail.docx", "A 4828-2023")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46319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S 2410-2026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46279</v>
      </c>
      <c r="E26" s="1" t="n">
        <v>46319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8.800000000000001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Gammelgransskål
Lunglav
Vitgrynig nållav</t>
        </is>
      </c>
      <c r="W26">
        <f>HYPERLINK("https://klasma.github.io/Logging_2425/artfynd/S 2410-2026 artfynd.xlsx", "S 2410-2026")</f>
        <v/>
      </c>
      <c r="X26">
        <f>HYPERLINK("https://klasma.github.io/Logging_2425/kartor/S 2410-2026 karta.png", "S 2410-2026")</f>
        <v/>
      </c>
      <c r="Y26">
        <f>HYPERLINK("https://klasma.github.io/Logging_2425/kartor_geotiff/S 2410-2026 georefererad karta.tif", "S 2410-2026")</f>
        <v/>
      </c>
      <c r="AA26">
        <f>HYPERLINK("https://klasma.github.io/Logging_2425/klagomål/S 2410-2026 FSC-klagomål.docx", "S 2410-2026")</f>
        <v/>
      </c>
      <c r="AB26">
        <f>HYPERLINK("https://klasma.github.io/Logging_2425/klagomålsmail/S 2410-2026 FSC-klagomål mail.docx", "S 2410-2026")</f>
        <v/>
      </c>
      <c r="AC26">
        <f>HYPERLINK("https://klasma.github.io/Logging_2425/tillsyn/S 2410-2026 tillsynsbegäran.docx", "S 2410-2026")</f>
        <v/>
      </c>
      <c r="AD26">
        <f>HYPERLINK("https://klasma.github.io/Logging_2425/tillsynsmail/S 2410-2026 tillsynsbegäran mail.docx", "S 2410-2026")</f>
        <v/>
      </c>
    </row>
    <row r="27" ht="15" customHeight="1">
      <c r="A27" t="inlineStr">
        <is>
          <t>A 27234-2024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45471</v>
      </c>
      <c r="E27" s="1" t="n">
        <v>46319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2.2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Rynkskinn
Skrovellav</t>
        </is>
      </c>
      <c r="W27">
        <f>HYPERLINK("https://klasma.github.io/Logging_2425/artfynd/A 27234-2024 artfynd.xlsx", "A 27234-2024")</f>
        <v/>
      </c>
      <c r="X27">
        <f>HYPERLINK("https://klasma.github.io/Logging_2425/kartor/A 27234-2024 karta.png", "A 27234-2024")</f>
        <v/>
      </c>
      <c r="Y27">
        <f>HYPERLINK("https://klasma.github.io/Logging_2425/kartor_geotiff/A 27234-2024 georefererad karta.tif", "A 27234-2024")</f>
        <v/>
      </c>
      <c r="AA27">
        <f>HYPERLINK("https://klasma.github.io/Logging_2425/klagomål/A 27234-2024 FSC-klagomål.docx", "A 27234-2024")</f>
        <v/>
      </c>
      <c r="AB27">
        <f>HYPERLINK("https://klasma.github.io/Logging_2425/klagomålsmail/A 27234-2024 FSC-klagomål mail.docx", "A 27234-2024")</f>
        <v/>
      </c>
      <c r="AC27">
        <f>HYPERLINK("https://klasma.github.io/Logging_2425/tillsyn/A 27234-2024 tillsynsbegäran.docx", "A 27234-2024")</f>
        <v/>
      </c>
      <c r="AD27">
        <f>HYPERLINK("https://klasma.github.io/Logging_2425/tillsynsmail/A 27234-2024 tillsynsbegäran mail.docx", "A 27234-2024")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46319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4554-2026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46047</v>
      </c>
      <c r="E29" s="1" t="n">
        <v>46319</v>
      </c>
      <c r="F29" t="inlineStr">
        <is>
          <t>VÄSTERBOTTENS LÄN</t>
        </is>
      </c>
      <c r="G29" t="inlineStr">
        <is>
          <t>DOROTEA</t>
        </is>
      </c>
      <c r="I29" t="n">
        <v>6.1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Violettkantad guldvinge
Kricka</t>
        </is>
      </c>
      <c r="W29">
        <f>HYPERLINK("https://klasma.github.io/Logging_2425/artfynd/A 4554-2026 artfynd.xlsx", "A 4554-2026")</f>
        <v/>
      </c>
      <c r="X29">
        <f>HYPERLINK("https://klasma.github.io/Logging_2425/kartor/A 4554-2026 karta.png", "A 4554-2026")</f>
        <v/>
      </c>
      <c r="Y29">
        <f>HYPERLINK("https://klasma.github.io/Logging_2425/kartor_geotiff/A 4554-2026 georefererad karta.tif", "A 4554-2026")</f>
        <v/>
      </c>
      <c r="AA29">
        <f>HYPERLINK("https://klasma.github.io/Logging_2425/klagomål/A 4554-2026 FSC-klagomål.docx", "A 4554-2026")</f>
        <v/>
      </c>
      <c r="AB29">
        <f>HYPERLINK("https://klasma.github.io/Logging_2425/klagomålsmail/A 4554-2026 FSC-klagomål mail.docx", "A 4554-2026")</f>
        <v/>
      </c>
      <c r="AC29">
        <f>HYPERLINK("https://klasma.github.io/Logging_2425/tillsyn/A 4554-2026 tillsynsbegäran.docx", "A 4554-2026")</f>
        <v/>
      </c>
      <c r="AD29">
        <f>HYPERLINK("https://klasma.github.io/Logging_2425/tillsynsmail/A 4554-2026 tillsynsbegäran mail.docx", "A 4554-2026")</f>
        <v/>
      </c>
      <c r="AE29">
        <f>HYPERLINK("https://klasma.github.io/Logging_2425/fåglar/A 4554-2026 prioriterade fågelarter.docx", "A 4554-2026")</f>
        <v/>
      </c>
    </row>
    <row r="30" ht="15" customHeight="1">
      <c r="A30" t="inlineStr">
        <is>
          <t>A 17825-2024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45418</v>
      </c>
      <c r="E30" s="1" t="n">
        <v>46319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17825-2024 artfynd.xlsx", "A 17825-2024")</f>
        <v/>
      </c>
      <c r="X30">
        <f>HYPERLINK("https://klasma.github.io/Logging_2425/kartor/A 17825-2024 karta.png", "A 17825-2024")</f>
        <v/>
      </c>
      <c r="Y30">
        <f>HYPERLINK("https://klasma.github.io/Logging_2425/kartor_geotiff/A 17825-2024 georefererad karta.tif", "A 17825-2024")</f>
        <v/>
      </c>
      <c r="AA30">
        <f>HYPERLINK("https://klasma.github.io/Logging_2425/klagomål/A 17825-2024 FSC-klagomål.docx", "A 17825-2024")</f>
        <v/>
      </c>
      <c r="AB30">
        <f>HYPERLINK("https://klasma.github.io/Logging_2425/klagomålsmail/A 17825-2024 FSC-klagomål mail.docx", "A 17825-2024")</f>
        <v/>
      </c>
      <c r="AC30">
        <f>HYPERLINK("https://klasma.github.io/Logging_2425/tillsyn/A 17825-2024 tillsynsbegäran.docx", "A 17825-2024")</f>
        <v/>
      </c>
      <c r="AD30">
        <f>HYPERLINK("https://klasma.github.io/Logging_2425/tillsynsmail/A 17825-2024 tillsynsbegäran mail.docx", "A 17825-2024")</f>
        <v/>
      </c>
    </row>
    <row r="31" ht="15" customHeight="1">
      <c r="A31" t="inlineStr">
        <is>
          <t>A 40654-2026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46296</v>
      </c>
      <c r="E31" s="1" t="n">
        <v>46319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8.800000000000001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Plattlummer
Mattlummer</t>
        </is>
      </c>
      <c r="W31">
        <f>HYPERLINK("https://klasma.github.io/Logging_2425/artfynd/A 40654-2026 artfynd.xlsx", "A 40654-2026")</f>
        <v/>
      </c>
      <c r="X31">
        <f>HYPERLINK("https://klasma.github.io/Logging_2425/kartor/A 40654-2026 karta.png", "A 40654-2026")</f>
        <v/>
      </c>
      <c r="Y31">
        <f>HYPERLINK("https://klasma.github.io/Logging_2425/kartor_geotiff/A 40654-2026 georefererad karta.tif", "A 40654-2026")</f>
        <v/>
      </c>
      <c r="AA31">
        <f>HYPERLINK("https://klasma.github.io/Logging_2425/klagomål/A 40654-2026 FSC-klagomål.docx", "A 40654-2026")</f>
        <v/>
      </c>
      <c r="AB31">
        <f>HYPERLINK("https://klasma.github.io/Logging_2425/klagomålsmail/A 40654-2026 FSC-klagomål mail.docx", "A 40654-2026")</f>
        <v/>
      </c>
      <c r="AC31">
        <f>HYPERLINK("https://klasma.github.io/Logging_2425/tillsyn/A 40654-2026 tillsynsbegäran.docx", "A 40654-2026")</f>
        <v/>
      </c>
      <c r="AD31">
        <f>HYPERLINK("https://klasma.github.io/Logging_2425/tillsynsmail/A 40654-2026 tillsynsbegäran mail.docx", "A 40654-2026")</f>
        <v/>
      </c>
    </row>
    <row r="32" ht="15" customHeight="1">
      <c r="A32" t="inlineStr">
        <is>
          <t>A 33263-2025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45840</v>
      </c>
      <c r="E32" s="1" t="n">
        <v>46319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Gammelgransskål
Vedticka</t>
        </is>
      </c>
      <c r="W32">
        <f>HYPERLINK("https://klasma.github.io/Logging_2425/artfynd/A 33263-2025 artfynd.xlsx", "A 33263-2025")</f>
        <v/>
      </c>
      <c r="X32">
        <f>HYPERLINK("https://klasma.github.io/Logging_2425/kartor/A 33263-2025 karta.png", "A 33263-2025")</f>
        <v/>
      </c>
      <c r="Y32">
        <f>HYPERLINK("https://klasma.github.io/Logging_2425/kartor_geotiff/A 33263-2025 georefererad karta.tif", "A 33263-2025")</f>
        <v/>
      </c>
      <c r="AA32">
        <f>HYPERLINK("https://klasma.github.io/Logging_2425/klagomål/A 33263-2025 FSC-klagomål.docx", "A 33263-2025")</f>
        <v/>
      </c>
      <c r="AB32">
        <f>HYPERLINK("https://klasma.github.io/Logging_2425/klagomålsmail/A 33263-2025 FSC-klagomål mail.docx", "A 33263-2025")</f>
        <v/>
      </c>
      <c r="AC32">
        <f>HYPERLINK("https://klasma.github.io/Logging_2425/tillsyn/A 33263-2025 tillsynsbegäran.docx", "A 33263-2025")</f>
        <v/>
      </c>
      <c r="AD32">
        <f>HYPERLINK("https://klasma.github.io/Logging_2425/tillsynsmail/A 33263-2025 tillsynsbegäran mail.docx", "A 33263-2025")</f>
        <v/>
      </c>
    </row>
    <row r="33" ht="15" customHeight="1">
      <c r="A33" t="inlineStr">
        <is>
          <t>A 35336-2026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46261</v>
      </c>
      <c r="E33" s="1" t="n">
        <v>46319</v>
      </c>
      <c r="F33" t="inlineStr">
        <is>
          <t>VÄSTERBOTTENS LÄN</t>
        </is>
      </c>
      <c r="G33" t="inlineStr">
        <is>
          <t>DOROTEA</t>
        </is>
      </c>
      <c r="I33" t="n">
        <v>4.2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Garnlav
Blodticka</t>
        </is>
      </c>
      <c r="W33">
        <f>HYPERLINK("https://klasma.github.io/Logging_2425/artfynd/A 35336-2026 artfynd.xlsx", "A 35336-2026")</f>
        <v/>
      </c>
      <c r="X33">
        <f>HYPERLINK("https://klasma.github.io/Logging_2425/kartor/A 35336-2026 karta.png", "A 35336-2026")</f>
        <v/>
      </c>
      <c r="Y33">
        <f>HYPERLINK("https://klasma.github.io/Logging_2425/kartor_geotiff/A 35336-2026 georefererad karta.tif", "A 35336-2026")</f>
        <v/>
      </c>
      <c r="AA33">
        <f>HYPERLINK("https://klasma.github.io/Logging_2425/klagomål/A 35336-2026 FSC-klagomål.docx", "A 35336-2026")</f>
        <v/>
      </c>
      <c r="AB33">
        <f>HYPERLINK("https://klasma.github.io/Logging_2425/klagomålsmail/A 35336-2026 FSC-klagomål mail.docx", "A 35336-2026")</f>
        <v/>
      </c>
      <c r="AC33">
        <f>HYPERLINK("https://klasma.github.io/Logging_2425/tillsyn/A 35336-2026 tillsynsbegäran.docx", "A 35336-2026")</f>
        <v/>
      </c>
      <c r="AD33">
        <f>HYPERLINK("https://klasma.github.io/Logging_2425/tillsynsmail/A 35336-2026 tillsynsbegäran mail.docx", "A 35336-2026")</f>
        <v/>
      </c>
    </row>
    <row r="34" ht="15" customHeight="1">
      <c r="A34" t="inlineStr">
        <is>
          <t>A 40013-2024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45553</v>
      </c>
      <c r="E34" s="1" t="n">
        <v>46319</v>
      </c>
      <c r="F34" t="inlineStr">
        <is>
          <t>VÄSTERBOTTENS LÄN</t>
        </is>
      </c>
      <c r="G34" t="inlineStr">
        <is>
          <t>DOROTEA</t>
        </is>
      </c>
      <c r="H34" t="inlineStr">
        <is>
          <t>Övriga statliga verk och myndigheter</t>
        </is>
      </c>
      <c r="I34" t="n">
        <v>1.5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Tretåig hackspett
Tjäder</t>
        </is>
      </c>
      <c r="W34">
        <f>HYPERLINK("https://klasma.github.io/Logging_2425/artfynd/A 40013-2024 artfynd.xlsx", "A 40013-2024")</f>
        <v/>
      </c>
      <c r="X34">
        <f>HYPERLINK("https://klasma.github.io/Logging_2425/kartor/A 40013-2024 karta.png", "A 40013-2024")</f>
        <v/>
      </c>
      <c r="Y34">
        <f>HYPERLINK("https://klasma.github.io/Logging_2425/kartor_geotiff/A 40013-2024 georefererad karta.tif", "A 40013-2024")</f>
        <v/>
      </c>
      <c r="AA34">
        <f>HYPERLINK("https://klasma.github.io/Logging_2425/klagomål/A 40013-2024 FSC-klagomål.docx", "A 40013-2024")</f>
        <v/>
      </c>
      <c r="AB34">
        <f>HYPERLINK("https://klasma.github.io/Logging_2425/klagomålsmail/A 40013-2024 FSC-klagomål mail.docx", "A 40013-2024")</f>
        <v/>
      </c>
      <c r="AC34">
        <f>HYPERLINK("https://klasma.github.io/Logging_2425/tillsyn/A 40013-2024 tillsynsbegäran.docx", "A 40013-2024")</f>
        <v/>
      </c>
      <c r="AD34">
        <f>HYPERLINK("https://klasma.github.io/Logging_2425/tillsynsmail/A 40013-2024 tillsynsbegäran mail.docx", "A 40013-2024")</f>
        <v/>
      </c>
      <c r="AE34">
        <f>HYPERLINK("https://klasma.github.io/Logging_2425/fåglar/A 40013-2024 prioriterade fågelarter.docx", "A 40013-2024")</f>
        <v/>
      </c>
    </row>
    <row r="35" ht="15" customHeight="1">
      <c r="A35" t="inlineStr">
        <is>
          <t>A 58736-2022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44902</v>
      </c>
      <c r="E35" s="1" t="n">
        <v>46319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3.4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Skrovellav</t>
        </is>
      </c>
      <c r="W35">
        <f>HYPERLINK("https://klasma.github.io/Logging_2425/artfynd/A 58736-2022 artfynd.xlsx", "A 58736-2022")</f>
        <v/>
      </c>
      <c r="X35">
        <f>HYPERLINK("https://klasma.github.io/Logging_2425/kartor/A 58736-2022 karta.png", "A 58736-2022")</f>
        <v/>
      </c>
      <c r="Y35">
        <f>HYPERLINK("https://klasma.github.io/Logging_2425/kartor_geotiff/A 58736-2022 georefererad karta.tif", "A 58736-2022")</f>
        <v/>
      </c>
      <c r="AA35">
        <f>HYPERLINK("https://klasma.github.io/Logging_2425/klagomål/A 58736-2022 FSC-klagomål.docx", "A 58736-2022")</f>
        <v/>
      </c>
      <c r="AB35">
        <f>HYPERLINK("https://klasma.github.io/Logging_2425/klagomålsmail/A 58736-2022 FSC-klagomål mail.docx", "A 58736-2022")</f>
        <v/>
      </c>
      <c r="AC35">
        <f>HYPERLINK("https://klasma.github.io/Logging_2425/tillsyn/A 58736-2022 tillsynsbegäran.docx", "A 58736-2022")</f>
        <v/>
      </c>
      <c r="AD35">
        <f>HYPERLINK("https://klasma.github.io/Logging_2425/tillsynsmail/A 58736-2022 tillsynsbegäran mail.docx", "A 58736-2022")</f>
        <v/>
      </c>
    </row>
    <row r="36" ht="15" customHeight="1">
      <c r="A36" t="inlineStr">
        <is>
          <t>A 19589-2024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45429</v>
      </c>
      <c r="E36" s="1" t="n">
        <v>46319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Lunglav
Talltita</t>
        </is>
      </c>
      <c r="W36">
        <f>HYPERLINK("https://klasma.github.io/Logging_2425/artfynd/A 19589-2024 artfynd.xlsx", "A 19589-2024")</f>
        <v/>
      </c>
      <c r="X36">
        <f>HYPERLINK("https://klasma.github.io/Logging_2425/kartor/A 19589-2024 karta.png", "A 19589-2024")</f>
        <v/>
      </c>
      <c r="Y36">
        <f>HYPERLINK("https://klasma.github.io/Logging_2425/kartor_geotiff/A 19589-2024 georefererad karta.tif", "A 19589-2024")</f>
        <v/>
      </c>
      <c r="AA36">
        <f>HYPERLINK("https://klasma.github.io/Logging_2425/klagomål/A 19589-2024 FSC-klagomål.docx", "A 19589-2024")</f>
        <v/>
      </c>
      <c r="AB36">
        <f>HYPERLINK("https://klasma.github.io/Logging_2425/klagomålsmail/A 19589-2024 FSC-klagomål mail.docx", "A 19589-2024")</f>
        <v/>
      </c>
      <c r="AC36">
        <f>HYPERLINK("https://klasma.github.io/Logging_2425/tillsyn/A 19589-2024 tillsynsbegäran.docx", "A 19589-2024")</f>
        <v/>
      </c>
      <c r="AD36">
        <f>HYPERLINK("https://klasma.github.io/Logging_2425/tillsynsmail/A 19589-2024 tillsynsbegäran mail.docx", "A 19589-2024")</f>
        <v/>
      </c>
      <c r="AE36">
        <f>HYPERLINK("https://klasma.github.io/Logging_2425/fåglar/A 19589-2024 prioriterade fågelarter.docx", "A 19589-2024")</f>
        <v/>
      </c>
    </row>
    <row r="37" ht="15" customHeight="1">
      <c r="A37" t="inlineStr">
        <is>
          <t>S 832-2022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44603</v>
      </c>
      <c r="E37" s="1" t="n">
        <v>46319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459.7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Rödbrun blekspik
Stuplav</t>
        </is>
      </c>
      <c r="W37">
        <f>HYPERLINK("https://klasma.github.io/Logging_2425/artfynd/S 832-2022 artfynd.xlsx", "S 832-2022")</f>
        <v/>
      </c>
      <c r="X37">
        <f>HYPERLINK("https://klasma.github.io/Logging_2425/kartor/S 832-2022 karta.png", "S 832-2022")</f>
        <v/>
      </c>
      <c r="Y37">
        <f>HYPERLINK("https://klasma.github.io/Logging_2425/kartor_geotiff/S 832-2022 georefererad karta.tif", "S 832-2022")</f>
        <v/>
      </c>
      <c r="AA37">
        <f>HYPERLINK("https://klasma.github.io/Logging_2425/klagomål/S 832-2022 FSC-klagomål.docx", "S 832-2022")</f>
        <v/>
      </c>
      <c r="AB37">
        <f>HYPERLINK("https://klasma.github.io/Logging_2425/klagomålsmail/S 832-2022 FSC-klagomål mail.docx", "S 832-2022")</f>
        <v/>
      </c>
      <c r="AC37">
        <f>HYPERLINK("https://klasma.github.io/Logging_2425/tillsyn/S 832-2022 tillsynsbegäran.docx", "S 832-2022")</f>
        <v/>
      </c>
      <c r="AD37">
        <f>HYPERLINK("https://klasma.github.io/Logging_2425/tillsynsmail/S 832-2022 tillsynsbegäran mail.docx", "S 832-2022")</f>
        <v/>
      </c>
    </row>
    <row r="38" ht="15" customHeight="1">
      <c r="A38" t="inlineStr">
        <is>
          <t>S 2106-2026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46240</v>
      </c>
      <c r="E38" s="1" t="n">
        <v>46319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Stor aspticka</t>
        </is>
      </c>
      <c r="W38">
        <f>HYPERLINK("https://klasma.github.io/Logging_2425/artfynd/S 2106-2026 artfynd.xlsx", "S 2106-2026")</f>
        <v/>
      </c>
      <c r="X38">
        <f>HYPERLINK("https://klasma.github.io/Logging_2425/kartor/S 2106-2026 karta.png", "S 2106-2026")</f>
        <v/>
      </c>
      <c r="Y38">
        <f>HYPERLINK("https://klasma.github.io/Logging_2425/kartor_geotiff/S 2106-2026 georefererad karta.tif", "S 2106-2026")</f>
        <v/>
      </c>
      <c r="AA38">
        <f>HYPERLINK("https://klasma.github.io/Logging_2425/klagomål/S 2106-2026 FSC-klagomål.docx", "S 2106-2026")</f>
        <v/>
      </c>
      <c r="AB38">
        <f>HYPERLINK("https://klasma.github.io/Logging_2425/klagomålsmail/S 2106-2026 FSC-klagomål mail.docx", "S 2106-2026")</f>
        <v/>
      </c>
      <c r="AC38">
        <f>HYPERLINK("https://klasma.github.io/Logging_2425/tillsyn/S 2106-2026 tillsynsbegäran.docx", "S 2106-2026")</f>
        <v/>
      </c>
      <c r="AD38">
        <f>HYPERLINK("https://klasma.github.io/Logging_2425/tillsynsmail/S 2106-2026 tillsynsbegäran mail.docx", "S 2106-2026")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46319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46319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57060-2024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45629</v>
      </c>
      <c r="E41" s="1" t="n">
        <v>46319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8.9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Garnlav</t>
        </is>
      </c>
      <c r="W41">
        <f>HYPERLINK("https://klasma.github.io/Logging_2425/artfynd/A 57060-2024 artfynd.xlsx", "A 57060-2024")</f>
        <v/>
      </c>
      <c r="X41">
        <f>HYPERLINK("https://klasma.github.io/Logging_2425/kartor/A 57060-2024 karta.png", "A 57060-2024")</f>
        <v/>
      </c>
      <c r="Y41">
        <f>HYPERLINK("https://klasma.github.io/Logging_2425/kartor_geotiff/A 57060-2024 georefererad karta.tif", "A 57060-2024")</f>
        <v/>
      </c>
      <c r="AA41">
        <f>HYPERLINK("https://klasma.github.io/Logging_2425/klagomål/A 57060-2024 FSC-klagomål.docx", "A 57060-2024")</f>
        <v/>
      </c>
      <c r="AB41">
        <f>HYPERLINK("https://klasma.github.io/Logging_2425/klagomålsmail/A 57060-2024 FSC-klagomål mail.docx", "A 57060-2024")</f>
        <v/>
      </c>
      <c r="AC41">
        <f>HYPERLINK("https://klasma.github.io/Logging_2425/tillsyn/A 57060-2024 tillsynsbegäran.docx", "A 57060-2024")</f>
        <v/>
      </c>
      <c r="AD41">
        <f>HYPERLINK("https://klasma.github.io/Logging_2425/tillsynsmail/A 57060-2024 tillsynsbegäran mail.docx", "A 57060-2024")</f>
        <v/>
      </c>
    </row>
    <row r="42" ht="15" customHeight="1">
      <c r="A42" t="inlineStr">
        <is>
          <t>A 50530-2025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45945</v>
      </c>
      <c r="E42" s="1" t="n">
        <v>46319</v>
      </c>
      <c r="F42" t="inlineStr">
        <is>
          <t>VÄSTERBOTTENS LÄN</t>
        </is>
      </c>
      <c r="G42" t="inlineStr">
        <is>
          <t>DOROTEA</t>
        </is>
      </c>
      <c r="I42" t="n">
        <v>2.6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Ängsnycklar</t>
        </is>
      </c>
      <c r="W42">
        <f>HYPERLINK("https://klasma.github.io/Logging_2425/artfynd/A 50530-2025 artfynd.xlsx", "A 50530-2025")</f>
        <v/>
      </c>
      <c r="X42">
        <f>HYPERLINK("https://klasma.github.io/Logging_2425/kartor/A 50530-2025 karta.png", "A 50530-2025")</f>
        <v/>
      </c>
      <c r="Y42">
        <f>HYPERLINK("https://klasma.github.io/Logging_2425/kartor_geotiff/A 50530-2025 georefererad karta.tif", "A 50530-2025")</f>
        <v/>
      </c>
      <c r="AA42">
        <f>HYPERLINK("https://klasma.github.io/Logging_2425/klagomål/A 50530-2025 FSC-klagomål.docx", "A 50530-2025")</f>
        <v/>
      </c>
      <c r="AB42">
        <f>HYPERLINK("https://klasma.github.io/Logging_2425/klagomålsmail/A 50530-2025 FSC-klagomål mail.docx", "A 50530-2025")</f>
        <v/>
      </c>
      <c r="AC42">
        <f>HYPERLINK("https://klasma.github.io/Logging_2425/tillsyn/A 50530-2025 tillsynsbegäran.docx", "A 50530-2025")</f>
        <v/>
      </c>
      <c r="AD42">
        <f>HYPERLINK("https://klasma.github.io/Logging_2425/tillsynsmail/A 50530-2025 tillsynsbegäran mail.docx", "A 50530-2025")</f>
        <v/>
      </c>
    </row>
    <row r="43" ht="15" customHeight="1">
      <c r="A43" t="inlineStr">
        <is>
          <t>A 25980-2026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46319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40.2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Lunglav</t>
        </is>
      </c>
      <c r="W43">
        <f>HYPERLINK("https://klasma.github.io/Logging_2425/artfynd/A 25980-2026 artfynd.xlsx", "A 25980-2026")</f>
        <v/>
      </c>
      <c r="X43">
        <f>HYPERLINK("https://klasma.github.io/Logging_2425/kartor/A 25980-2026 karta.png", "A 25980-2026")</f>
        <v/>
      </c>
      <c r="Y43">
        <f>HYPERLINK("https://klasma.github.io/Logging_2425/kartor_geotiff/A 25980-2026 georefererad karta.tif", "A 25980-2026")</f>
        <v/>
      </c>
      <c r="AA43">
        <f>HYPERLINK("https://klasma.github.io/Logging_2425/klagomål/A 25980-2026 FSC-klagomål.docx", "A 25980-2026")</f>
        <v/>
      </c>
      <c r="AB43">
        <f>HYPERLINK("https://klasma.github.io/Logging_2425/klagomålsmail/A 25980-2026 FSC-klagomål mail.docx", "A 25980-2026")</f>
        <v/>
      </c>
      <c r="AC43">
        <f>HYPERLINK("https://klasma.github.io/Logging_2425/tillsyn/A 25980-2026 tillsynsbegäran.docx", "A 25980-2026")</f>
        <v/>
      </c>
      <c r="AD43">
        <f>HYPERLINK("https://klasma.github.io/Logging_2425/tillsynsmail/A 25980-2026 tillsynsbegäran mail.docx", "A 25980-2026")</f>
        <v/>
      </c>
    </row>
    <row r="44" ht="15" customHeight="1">
      <c r="A44" t="inlineStr">
        <is>
          <t>A 30357-2026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46209</v>
      </c>
      <c r="E44" s="1" t="n">
        <v>46319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Tajgahumla</t>
        </is>
      </c>
      <c r="W44">
        <f>HYPERLINK("https://klasma.github.io/Logging_2425/artfynd/A 30357-2026 artfynd.xlsx", "A 30357-2026")</f>
        <v/>
      </c>
      <c r="X44">
        <f>HYPERLINK("https://klasma.github.io/Logging_2425/kartor/A 30357-2026 karta.png", "A 30357-2026")</f>
        <v/>
      </c>
      <c r="Y44">
        <f>HYPERLINK("https://klasma.github.io/Logging_2425/kartor_geotiff/A 30357-2026 georefererad karta.tif", "A 30357-2026")</f>
        <v/>
      </c>
      <c r="AA44">
        <f>HYPERLINK("https://klasma.github.io/Logging_2425/klagomål/A 30357-2026 FSC-klagomål.docx", "A 30357-2026")</f>
        <v/>
      </c>
      <c r="AB44">
        <f>HYPERLINK("https://klasma.github.io/Logging_2425/klagomålsmail/A 30357-2026 FSC-klagomål mail.docx", "A 30357-2026")</f>
        <v/>
      </c>
      <c r="AC44">
        <f>HYPERLINK("https://klasma.github.io/Logging_2425/tillsyn/A 30357-2026 tillsynsbegäran.docx", "A 30357-2026")</f>
        <v/>
      </c>
      <c r="AD44">
        <f>HYPERLINK("https://klasma.github.io/Logging_2425/tillsynsmail/A 30357-2026 tillsynsbegäran mail.docx", "A 30357-2026")</f>
        <v/>
      </c>
    </row>
    <row r="45" ht="15" customHeight="1">
      <c r="A45" t="inlineStr">
        <is>
          <t>A 48089-2022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44855</v>
      </c>
      <c r="E45" s="1" t="n">
        <v>46319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9.199999999999999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Gammelgransskål</t>
        </is>
      </c>
      <c r="W45">
        <f>HYPERLINK("https://klasma.github.io/Logging_2425/artfynd/A 48089-2022 artfynd.xlsx", "A 48089-2022")</f>
        <v/>
      </c>
      <c r="X45">
        <f>HYPERLINK("https://klasma.github.io/Logging_2425/kartor/A 48089-2022 karta.png", "A 48089-2022")</f>
        <v/>
      </c>
      <c r="Y45">
        <f>HYPERLINK("https://klasma.github.io/Logging_2425/kartor_geotiff/A 48089-2022 georefererad karta.tif", "A 48089-2022")</f>
        <v/>
      </c>
      <c r="AA45">
        <f>HYPERLINK("https://klasma.github.io/Logging_2425/klagomål/A 48089-2022 FSC-klagomål.docx", "A 48089-2022")</f>
        <v/>
      </c>
      <c r="AB45">
        <f>HYPERLINK("https://klasma.github.io/Logging_2425/klagomålsmail/A 48089-2022 FSC-klagomål mail.docx", "A 48089-2022")</f>
        <v/>
      </c>
      <c r="AC45">
        <f>HYPERLINK("https://klasma.github.io/Logging_2425/tillsyn/A 48089-2022 tillsynsbegäran.docx", "A 48089-2022")</f>
        <v/>
      </c>
      <c r="AD45">
        <f>HYPERLINK("https://klasma.github.io/Logging_2425/tillsynsmail/A 48089-2022 tillsynsbegäran mail.docx", "A 48089-2022")</f>
        <v/>
      </c>
    </row>
    <row r="46" ht="15" customHeight="1">
      <c r="A46" t="inlineStr">
        <is>
          <t>A 32331-2026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46238</v>
      </c>
      <c r="E46" s="1" t="n">
        <v>46319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1.9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Skrovellav</t>
        </is>
      </c>
      <c r="W46">
        <f>HYPERLINK("https://klasma.github.io/Logging_2425/artfynd/A 32331-2026 artfynd.xlsx", "A 32331-2026")</f>
        <v/>
      </c>
      <c r="X46">
        <f>HYPERLINK("https://klasma.github.io/Logging_2425/kartor/A 32331-2026 karta.png", "A 32331-2026")</f>
        <v/>
      </c>
      <c r="Y46">
        <f>HYPERLINK("https://klasma.github.io/Logging_2425/kartor_geotiff/A 32331-2026 georefererad karta.tif", "A 32331-2026")</f>
        <v/>
      </c>
      <c r="AA46">
        <f>HYPERLINK("https://klasma.github.io/Logging_2425/klagomål/A 32331-2026 FSC-klagomål.docx", "A 32331-2026")</f>
        <v/>
      </c>
      <c r="AB46">
        <f>HYPERLINK("https://klasma.github.io/Logging_2425/klagomålsmail/A 32331-2026 FSC-klagomål mail.docx", "A 32331-2026")</f>
        <v/>
      </c>
      <c r="AC46">
        <f>HYPERLINK("https://klasma.github.io/Logging_2425/tillsyn/A 32331-2026 tillsynsbegäran.docx", "A 32331-2026")</f>
        <v/>
      </c>
      <c r="AD46">
        <f>HYPERLINK("https://klasma.github.io/Logging_2425/tillsynsmail/A 32331-2026 tillsynsbegäran mail.docx", "A 32331-2026")</f>
        <v/>
      </c>
    </row>
    <row r="47" ht="15" customHeight="1">
      <c r="A47" t="inlineStr">
        <is>
          <t>A 26440-2025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45807</v>
      </c>
      <c r="E47" s="1" t="n">
        <v>46319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26440-2025 artfynd.xlsx", "A 26440-2025")</f>
        <v/>
      </c>
      <c r="X47">
        <f>HYPERLINK("https://klasma.github.io/Logging_2425/kartor/A 26440-2025 karta.png", "A 26440-2025")</f>
        <v/>
      </c>
      <c r="Y47">
        <f>HYPERLINK("https://klasma.github.io/Logging_2425/kartor_geotiff/A 26440-2025 georefererad karta.tif", "A 26440-2025")</f>
        <v/>
      </c>
      <c r="AA47">
        <f>HYPERLINK("https://klasma.github.io/Logging_2425/klagomål/A 26440-2025 FSC-klagomål.docx", "A 26440-2025")</f>
        <v/>
      </c>
      <c r="AB47">
        <f>HYPERLINK("https://klasma.github.io/Logging_2425/klagomålsmail/A 26440-2025 FSC-klagomål mail.docx", "A 26440-2025")</f>
        <v/>
      </c>
      <c r="AC47">
        <f>HYPERLINK("https://klasma.github.io/Logging_2425/tillsyn/A 26440-2025 tillsynsbegäran.docx", "A 26440-2025")</f>
        <v/>
      </c>
      <c r="AD47">
        <f>HYPERLINK("https://klasma.github.io/Logging_2425/tillsynsmail/A 26440-2025 tillsynsbegäran mail.docx", "A 26440-2025")</f>
        <v/>
      </c>
    </row>
    <row r="48" ht="15" customHeight="1">
      <c r="A48" t="inlineStr">
        <is>
          <t>A 35297-2026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5.5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Harticka</t>
        </is>
      </c>
      <c r="W48">
        <f>HYPERLINK("https://klasma.github.io/Logging_2425/artfynd/A 35297-2026 artfynd.xlsx", "A 35297-2026")</f>
        <v/>
      </c>
      <c r="X48">
        <f>HYPERLINK("https://klasma.github.io/Logging_2425/kartor/A 35297-2026 karta.png", "A 35297-2026")</f>
        <v/>
      </c>
      <c r="Y48">
        <f>HYPERLINK("https://klasma.github.io/Logging_2425/kartor_geotiff/A 35297-2026 georefererad karta.tif", "A 35297-2026")</f>
        <v/>
      </c>
      <c r="AA48">
        <f>HYPERLINK("https://klasma.github.io/Logging_2425/klagomål/A 35297-2026 FSC-klagomål.docx", "A 35297-2026")</f>
        <v/>
      </c>
      <c r="AB48">
        <f>HYPERLINK("https://klasma.github.io/Logging_2425/klagomålsmail/A 35297-2026 FSC-klagomål mail.docx", "A 35297-2026")</f>
        <v/>
      </c>
      <c r="AC48">
        <f>HYPERLINK("https://klasma.github.io/Logging_2425/tillsyn/A 35297-2026 tillsynsbegäran.docx", "A 35297-2026")</f>
        <v/>
      </c>
      <c r="AD48">
        <f>HYPERLINK("https://klasma.github.io/Logging_2425/tillsynsmail/A 35297-2026 tillsynsbegäran mail.docx", "A 35297-2026")</f>
        <v/>
      </c>
    </row>
    <row r="49" ht="15" customHeight="1">
      <c r="A49" t="inlineStr">
        <is>
          <t>A 42536-2026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46308</v>
      </c>
      <c r="E49" s="1" t="n">
        <v>46319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8.6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Lappranunkel</t>
        </is>
      </c>
      <c r="W49">
        <f>HYPERLINK("https://klasma.github.io/Logging_2425/artfynd/A 42536-2026 artfynd.xlsx", "A 42536-2026")</f>
        <v/>
      </c>
      <c r="X49">
        <f>HYPERLINK("https://klasma.github.io/Logging_2425/kartor/A 42536-2026 karta.png", "A 42536-2026")</f>
        <v/>
      </c>
      <c r="Y49">
        <f>HYPERLINK("https://klasma.github.io/Logging_2425/kartor_geotiff/A 42536-2026 georefererad karta.tif", "A 42536-2026")</f>
        <v/>
      </c>
      <c r="AA49">
        <f>HYPERLINK("https://klasma.github.io/Logging_2425/klagomål/A 42536-2026 FSC-klagomål.docx", "A 42536-2026")</f>
        <v/>
      </c>
      <c r="AB49">
        <f>HYPERLINK("https://klasma.github.io/Logging_2425/klagomålsmail/A 42536-2026 FSC-klagomål mail.docx", "A 42536-2026")</f>
        <v/>
      </c>
      <c r="AC49">
        <f>HYPERLINK("https://klasma.github.io/Logging_2425/tillsyn/A 42536-2026 tillsynsbegäran.docx", "A 42536-2026")</f>
        <v/>
      </c>
      <c r="AD49">
        <f>HYPERLINK("https://klasma.github.io/Logging_2425/tillsynsmail/A 42536-2026 tillsynsbegäran mail.docx", "A 42536-2026")</f>
        <v/>
      </c>
    </row>
    <row r="50" ht="15" customHeight="1">
      <c r="A50" t="inlineStr">
        <is>
          <t>A 20600-2023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45057</v>
      </c>
      <c r="E50" s="1" t="n">
        <v>46319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1.6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HYPERLINK("https://klasma.github.io/Logging_2425/artfynd/A 20600-2023 artfynd.xlsx", "A 20600-2023")</f>
        <v/>
      </c>
      <c r="X50">
        <f>HYPERLINK("https://klasma.github.io/Logging_2425/kartor/A 20600-2023 karta.png", "A 20600-2023")</f>
        <v/>
      </c>
      <c r="Y50">
        <f>HYPERLINK("https://klasma.github.io/Logging_2425/kartor_geotiff/A 20600-2023 georefererad karta.tif", "A 20600-2023")</f>
        <v/>
      </c>
      <c r="AA50">
        <f>HYPERLINK("https://klasma.github.io/Logging_2425/klagomål/A 20600-2023 FSC-klagomål.docx", "A 20600-2023")</f>
        <v/>
      </c>
      <c r="AB50">
        <f>HYPERLINK("https://klasma.github.io/Logging_2425/klagomålsmail/A 20600-2023 FSC-klagomål mail.docx", "A 20600-2023")</f>
        <v/>
      </c>
      <c r="AC50">
        <f>HYPERLINK("https://klasma.github.io/Logging_2425/tillsyn/A 20600-2023 tillsynsbegäran.docx", "A 20600-2023")</f>
        <v/>
      </c>
      <c r="AD50">
        <f>HYPERLINK("https://klasma.github.io/Logging_2425/tillsynsmail/A 20600-2023 tillsynsbegäran mail.docx", "A 20600-2023")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46319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30286-2023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46319</v>
      </c>
      <c r="F52" t="inlineStr">
        <is>
          <t>VÄSTERBOTTENS LÄN</t>
        </is>
      </c>
      <c r="G52" t="inlineStr">
        <is>
          <t>DOROTEA</t>
        </is>
      </c>
      <c r="I52" t="n">
        <v>21.2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Skogsrör</t>
        </is>
      </c>
      <c r="W52">
        <f>HYPERLINK("https://klasma.github.io/Logging_2425/artfynd/A 30286-2023 artfynd.xlsx", "A 30286-2023")</f>
        <v/>
      </c>
      <c r="X52">
        <f>HYPERLINK("https://klasma.github.io/Logging_2425/kartor/A 30286-2023 karta.png", "A 30286-2023")</f>
        <v/>
      </c>
      <c r="Y52">
        <f>HYPERLINK("https://klasma.github.io/Logging_2425/kartor_geotiff/A 30286-2023 georefererad karta.tif", "A 30286-2023")</f>
        <v/>
      </c>
      <c r="AA52">
        <f>HYPERLINK("https://klasma.github.io/Logging_2425/klagomål/A 30286-2023 FSC-klagomål.docx", "A 30286-2023")</f>
        <v/>
      </c>
      <c r="AB52">
        <f>HYPERLINK("https://klasma.github.io/Logging_2425/klagomålsmail/A 30286-2023 FSC-klagomål mail.docx", "A 30286-2023")</f>
        <v/>
      </c>
      <c r="AC52">
        <f>HYPERLINK("https://klasma.github.io/Logging_2425/tillsyn/A 30286-2023 tillsynsbegäran.docx", "A 30286-2023")</f>
        <v/>
      </c>
      <c r="AD52">
        <f>HYPERLINK("https://klasma.github.io/Logging_2425/tillsynsmail/A 30286-2023 tillsynsbegäran mail.docx", "A 30286-2023")</f>
        <v/>
      </c>
    </row>
    <row r="53" ht="15" customHeight="1">
      <c r="A53" t="inlineStr">
        <is>
          <t>A 36318-2024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45534</v>
      </c>
      <c r="E53" s="1" t="n">
        <v>46319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8</v>
      </c>
      <c r="U53" t="n">
        <v>8</v>
      </c>
      <c r="V53" s="2" t="inlineStr">
        <is>
          <t>Garnlav</t>
        </is>
      </c>
      <c r="W53">
        <f>HYPERLINK("https://klasma.github.io/Logging_2425/artfynd/A 36318-2024 artfynd.xlsx", "A 36318-2024")</f>
        <v/>
      </c>
      <c r="X53">
        <f>HYPERLINK("https://klasma.github.io/Logging_2425/kartor/A 36318-2024 karta.png", "A 36318-2024")</f>
        <v/>
      </c>
      <c r="Y53">
        <f>HYPERLINK("https://klasma.github.io/Logging_2425/kartor_geotiff/A 36318-2024 georefererad karta.tif", "A 36318-2024")</f>
        <v/>
      </c>
      <c r="AA53">
        <f>HYPERLINK("https://klasma.github.io/Logging_2425/klagomål/A 36318-2024 FSC-klagomål.docx", "A 36318-2024")</f>
        <v/>
      </c>
      <c r="AB53">
        <f>HYPERLINK("https://klasma.github.io/Logging_2425/klagomålsmail/A 36318-2024 FSC-klagomål mail.docx", "A 36318-2024")</f>
        <v/>
      </c>
      <c r="AC53">
        <f>HYPERLINK("https://klasma.github.io/Logging_2425/tillsyn/A 36318-2024 tillsynsbegäran.docx", "A 36318-2024")</f>
        <v/>
      </c>
      <c r="AD53">
        <f>HYPERLINK("https://klasma.github.io/Logging_2425/tillsynsmail/A 36318-2024 tillsynsbegäran mail.docx", "A 36318-2024")</f>
        <v/>
      </c>
    </row>
    <row r="54" ht="15" customHeight="1">
      <c r="A54" t="inlineStr">
        <is>
          <t>A 12005-2023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44994</v>
      </c>
      <c r="E54" s="1" t="n">
        <v>46319</v>
      </c>
      <c r="F54" t="inlineStr">
        <is>
          <t>VÄSTERBOTTENS LÄN</t>
        </is>
      </c>
      <c r="G54" t="inlineStr">
        <is>
          <t>DOROTEA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Utter</t>
        </is>
      </c>
      <c r="W54">
        <f>HYPERLINK("https://klasma.github.io/Logging_2425/artfynd/A 12005-2023 artfynd.xlsx", "A 12005-2023")</f>
        <v/>
      </c>
      <c r="X54">
        <f>HYPERLINK("https://klasma.github.io/Logging_2425/kartor/A 12005-2023 karta.png", "A 12005-2023")</f>
        <v/>
      </c>
      <c r="Y54">
        <f>HYPERLINK("https://klasma.github.io/Logging_2425/kartor_geotiff/A 12005-2023 georefererad karta.tif", "A 12005-2023")</f>
        <v/>
      </c>
      <c r="AA54">
        <f>HYPERLINK("https://klasma.github.io/Logging_2425/klagomål/A 12005-2023 FSC-klagomål.docx", "A 12005-2023")</f>
        <v/>
      </c>
      <c r="AB54">
        <f>HYPERLINK("https://klasma.github.io/Logging_2425/klagomålsmail/A 12005-2023 FSC-klagomål mail.docx", "A 12005-2023")</f>
        <v/>
      </c>
      <c r="AC54">
        <f>HYPERLINK("https://klasma.github.io/Logging_2425/tillsyn/A 12005-2023 tillsynsbegäran.docx", "A 12005-2023")</f>
        <v/>
      </c>
      <c r="AD54">
        <f>HYPERLINK("https://klasma.github.io/Logging_2425/tillsynsmail/A 12005-2023 tillsynsbegäran mail.docx", "A 12005-2023")</f>
        <v/>
      </c>
    </row>
    <row r="55" ht="15" customHeight="1">
      <c r="A55" t="inlineStr">
        <is>
          <t>A 57058-2024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46319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57058-2024 artfynd.xlsx", "A 57058-2024")</f>
        <v/>
      </c>
      <c r="X55">
        <f>HYPERLINK("https://klasma.github.io/Logging_2425/kartor/A 57058-2024 karta.png", "A 57058-2024")</f>
        <v/>
      </c>
      <c r="Y55">
        <f>HYPERLINK("https://klasma.github.io/Logging_2425/kartor_geotiff/A 57058-2024 georefererad karta.tif", "A 57058-2024")</f>
        <v/>
      </c>
      <c r="AA55">
        <f>HYPERLINK("https://klasma.github.io/Logging_2425/klagomål/A 57058-2024 FSC-klagomål.docx", "A 57058-2024")</f>
        <v/>
      </c>
      <c r="AB55">
        <f>HYPERLINK("https://klasma.github.io/Logging_2425/klagomålsmail/A 57058-2024 FSC-klagomål mail.docx", "A 57058-2024")</f>
        <v/>
      </c>
      <c r="AC55">
        <f>HYPERLINK("https://klasma.github.io/Logging_2425/tillsyn/A 57058-2024 tillsynsbegäran.docx", "A 57058-2024")</f>
        <v/>
      </c>
      <c r="AD55">
        <f>HYPERLINK("https://klasma.github.io/Logging_2425/tillsynsmail/A 57058-2024 tillsynsbegäran mail.docx", "A 57058-2024")</f>
        <v/>
      </c>
    </row>
    <row r="56" ht="15" customHeight="1">
      <c r="A56" t="inlineStr">
        <is>
          <t>A 53309-2022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44878</v>
      </c>
      <c r="E56" s="1" t="n">
        <v>46319</v>
      </c>
      <c r="F56" t="inlineStr">
        <is>
          <t>VÄSTERBOTTENS LÄN</t>
        </is>
      </c>
      <c r="G56" t="inlineStr">
        <is>
          <t>DOROTEA</t>
        </is>
      </c>
      <c r="I56" t="n">
        <v>6.6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Göktyta</t>
        </is>
      </c>
      <c r="W56">
        <f>HYPERLINK("https://klasma.github.io/Logging_2425/artfynd/A 53309-2022 artfynd.xlsx", "A 53309-2022")</f>
        <v/>
      </c>
      <c r="X56">
        <f>HYPERLINK("https://klasma.github.io/Logging_2425/kartor/A 53309-2022 karta.png", "A 53309-2022")</f>
        <v/>
      </c>
      <c r="Y56">
        <f>HYPERLINK("https://klasma.github.io/Logging_2425/kartor_geotiff/A 53309-2022 georefererad karta.tif", "A 53309-2022")</f>
        <v/>
      </c>
      <c r="AA56">
        <f>HYPERLINK("https://klasma.github.io/Logging_2425/klagomål/A 53309-2022 FSC-klagomål.docx", "A 53309-2022")</f>
        <v/>
      </c>
      <c r="AB56">
        <f>HYPERLINK("https://klasma.github.io/Logging_2425/klagomålsmail/A 53309-2022 FSC-klagomål mail.docx", "A 53309-2022")</f>
        <v/>
      </c>
      <c r="AC56">
        <f>HYPERLINK("https://klasma.github.io/Logging_2425/tillsyn/A 53309-2022 tillsynsbegäran.docx", "A 53309-2022")</f>
        <v/>
      </c>
      <c r="AD56">
        <f>HYPERLINK("https://klasma.github.io/Logging_2425/tillsynsmail/A 53309-2022 tillsynsbegäran mail.docx", "A 53309-2022")</f>
        <v/>
      </c>
      <c r="AE56">
        <f>HYPERLINK("https://klasma.github.io/Logging_2425/fåglar/A 53309-2022 prioriterade fågelarter.docx", "A 53309-2022")</f>
        <v/>
      </c>
    </row>
    <row r="57" ht="15" customHeight="1">
      <c r="A57" t="inlineStr">
        <is>
          <t>A 46815-2023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45198</v>
      </c>
      <c r="E57" s="1" t="n">
        <v>46319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3.7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Harticka</t>
        </is>
      </c>
      <c r="W57">
        <f>HYPERLINK("https://klasma.github.io/Logging_2425/artfynd/A 46815-2023 artfynd.xlsx", "A 46815-2023")</f>
        <v/>
      </c>
      <c r="X57">
        <f>HYPERLINK("https://klasma.github.io/Logging_2425/kartor/A 46815-2023 karta.png", "A 46815-2023")</f>
        <v/>
      </c>
      <c r="Y57">
        <f>HYPERLINK("https://klasma.github.io/Logging_2425/kartor_geotiff/A 46815-2023 georefererad karta.tif", "A 46815-2023")</f>
        <v/>
      </c>
      <c r="AA57">
        <f>HYPERLINK("https://klasma.github.io/Logging_2425/klagomål/A 46815-2023 FSC-klagomål.docx", "A 46815-2023")</f>
        <v/>
      </c>
      <c r="AB57">
        <f>HYPERLINK("https://klasma.github.io/Logging_2425/klagomålsmail/A 46815-2023 FSC-klagomål mail.docx", "A 46815-2023")</f>
        <v/>
      </c>
      <c r="AC57">
        <f>HYPERLINK("https://klasma.github.io/Logging_2425/tillsyn/A 46815-2023 tillsynsbegäran.docx", "A 46815-2023")</f>
        <v/>
      </c>
      <c r="AD57">
        <f>HYPERLINK("https://klasma.github.io/Logging_2425/tillsynsmail/A 46815-2023 tillsynsbegäran mail.docx", "A 46815-2023")</f>
        <v/>
      </c>
    </row>
    <row r="58" ht="15" customHeight="1">
      <c r="A58" t="inlineStr">
        <is>
          <t>A 1278-2024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45302</v>
      </c>
      <c r="E58" s="1" t="n">
        <v>46319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1.3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Gräddticka</t>
        </is>
      </c>
      <c r="W58">
        <f>HYPERLINK("https://klasma.github.io/Logging_2425/artfynd/A 1278-2024 artfynd.xlsx", "A 1278-2024")</f>
        <v/>
      </c>
      <c r="X58">
        <f>HYPERLINK("https://klasma.github.io/Logging_2425/kartor/A 1278-2024 karta.png", "A 1278-2024")</f>
        <v/>
      </c>
      <c r="Y58">
        <f>HYPERLINK("https://klasma.github.io/Logging_2425/kartor_geotiff/A 1278-2024 georefererad karta.tif", "A 1278-2024")</f>
        <v/>
      </c>
      <c r="AA58">
        <f>HYPERLINK("https://klasma.github.io/Logging_2425/klagomål/A 1278-2024 FSC-klagomål.docx", "A 1278-2024")</f>
        <v/>
      </c>
      <c r="AB58">
        <f>HYPERLINK("https://klasma.github.io/Logging_2425/klagomålsmail/A 1278-2024 FSC-klagomål mail.docx", "A 1278-2024")</f>
        <v/>
      </c>
      <c r="AC58">
        <f>HYPERLINK("https://klasma.github.io/Logging_2425/tillsyn/A 1278-2024 tillsynsbegäran.docx", "A 1278-2024")</f>
        <v/>
      </c>
      <c r="AD58">
        <f>HYPERLINK("https://klasma.github.io/Logging_2425/tillsynsmail/A 1278-2024 tillsynsbegäran mail.docx", "A 1278-2024")</f>
        <v/>
      </c>
    </row>
    <row r="59" ht="15" customHeight="1">
      <c r="A59" t="inlineStr">
        <is>
          <t>S 877-2022</t>
        </is>
      </c>
      <c r="B59" t="inlineStr">
        <is>
          <t>samrådsanmälan</t>
        </is>
      </c>
      <c r="C59" t="inlineStr">
        <is>
          <t>Skogsgödsling</t>
        </is>
      </c>
      <c r="D59" s="1" t="n">
        <v>44606</v>
      </c>
      <c r="E59" s="1" t="n">
        <v>46319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598.1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Gammelgransskål</t>
        </is>
      </c>
      <c r="W59">
        <f>HYPERLINK("https://klasma.github.io/Logging_2425/artfynd/S 877-2022 artfynd.xlsx", "S 877-2022")</f>
        <v/>
      </c>
      <c r="X59">
        <f>HYPERLINK("https://klasma.github.io/Logging_2425/kartor/S 877-2022 karta.png", "S 877-2022")</f>
        <v/>
      </c>
      <c r="Y59">
        <f>HYPERLINK("https://klasma.github.io/Logging_2425/kartor_geotiff/S 877-2022 georefererad karta.tif", "S 877-2022")</f>
        <v/>
      </c>
      <c r="AA59">
        <f>HYPERLINK("https://klasma.github.io/Logging_2425/klagomål/S 877-2022 FSC-klagomål.docx", "S 877-2022")</f>
        <v/>
      </c>
      <c r="AB59">
        <f>HYPERLINK("https://klasma.github.io/Logging_2425/klagomålsmail/S 877-2022 FSC-klagomål mail.docx", "S 877-2022")</f>
        <v/>
      </c>
      <c r="AC59">
        <f>HYPERLINK("https://klasma.github.io/Logging_2425/tillsyn/S 877-2022 tillsynsbegäran.docx", "S 877-2022")</f>
        <v/>
      </c>
      <c r="AD59">
        <f>HYPERLINK("https://klasma.github.io/Logging_2425/tillsynsmail/S 877-2022 tillsynsbegäran mail.docx", "S 877-2022")</f>
        <v/>
      </c>
    </row>
    <row r="60" ht="15" customHeight="1">
      <c r="A60" t="inlineStr">
        <is>
          <t>S 1194-2025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45756</v>
      </c>
      <c r="E60" s="1" t="n">
        <v>46319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13.9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Stjärntagging</t>
        </is>
      </c>
      <c r="W60">
        <f>HYPERLINK("https://klasma.github.io/Logging_2425/artfynd/S 1194-2025 artfynd.xlsx", "S 1194-2025")</f>
        <v/>
      </c>
      <c r="X60">
        <f>HYPERLINK("https://klasma.github.io/Logging_2425/kartor/S 1194-2025 karta.png", "S 1194-2025")</f>
        <v/>
      </c>
      <c r="Y60">
        <f>HYPERLINK("https://klasma.github.io/Logging_2425/kartor_geotiff/S 1194-2025 georefererad karta.tif", "S 1194-2025")</f>
        <v/>
      </c>
      <c r="AA60">
        <f>HYPERLINK("https://klasma.github.io/Logging_2425/klagomål/S 1194-2025 FSC-klagomål.docx", "S 1194-2025")</f>
        <v/>
      </c>
      <c r="AB60">
        <f>HYPERLINK("https://klasma.github.io/Logging_2425/klagomålsmail/S 1194-2025 FSC-klagomål mail.docx", "S 1194-2025")</f>
        <v/>
      </c>
      <c r="AC60">
        <f>HYPERLINK("https://klasma.github.io/Logging_2425/tillsyn/S 1194-2025 tillsynsbegäran.docx", "S 1194-2025")</f>
        <v/>
      </c>
      <c r="AD60">
        <f>HYPERLINK("https://klasma.github.io/Logging_2425/tillsynsmail/S 1194-2025 tillsynsbegäran mail.docx", "S 1194-2025")</f>
        <v/>
      </c>
    </row>
    <row r="61" ht="15" customHeight="1">
      <c r="A61" t="inlineStr">
        <is>
          <t>S 2107-2026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46240</v>
      </c>
      <c r="E61" s="1" t="n">
        <v>46319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Ullticka</t>
        </is>
      </c>
      <c r="W61">
        <f>HYPERLINK("https://klasma.github.io/Logging_2425/artfynd/S 2107-2026 artfynd.xlsx", "S 2107-2026")</f>
        <v/>
      </c>
      <c r="X61">
        <f>HYPERLINK("https://klasma.github.io/Logging_2425/kartor/S 2107-2026 karta.png", "S 2107-2026")</f>
        <v/>
      </c>
      <c r="Y61">
        <f>HYPERLINK("https://klasma.github.io/Logging_2425/kartor_geotiff/S 2107-2026 georefererad karta.tif", "S 2107-2026")</f>
        <v/>
      </c>
      <c r="AA61">
        <f>HYPERLINK("https://klasma.github.io/Logging_2425/klagomål/S 2107-2026 FSC-klagomål.docx", "S 2107-2026")</f>
        <v/>
      </c>
      <c r="AB61">
        <f>HYPERLINK("https://klasma.github.io/Logging_2425/klagomålsmail/S 2107-2026 FSC-klagomål mail.docx", "S 2107-2026")</f>
        <v/>
      </c>
      <c r="AC61">
        <f>HYPERLINK("https://klasma.github.io/Logging_2425/tillsyn/S 2107-2026 tillsynsbegäran.docx", "S 2107-2026")</f>
        <v/>
      </c>
      <c r="AD61">
        <f>HYPERLINK("https://klasma.github.io/Logging_2425/tillsynsmail/S 2107-2026 tillsynsbegäran mail.docx", "S 2107-2026")</f>
        <v/>
      </c>
    </row>
    <row r="62" ht="15" customHeight="1">
      <c r="A62" t="inlineStr">
        <is>
          <t>S 2218-2026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46258</v>
      </c>
      <c r="E62" s="1" t="n">
        <v>46319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Ullticka</t>
        </is>
      </c>
      <c r="W62">
        <f>HYPERLINK("https://klasma.github.io/Logging_2425/artfynd/S 2218-2026 artfynd.xlsx", "S 2218-2026")</f>
        <v/>
      </c>
      <c r="X62">
        <f>HYPERLINK("https://klasma.github.io/Logging_2425/kartor/S 2218-2026 karta.png", "S 2218-2026")</f>
        <v/>
      </c>
      <c r="Y62">
        <f>HYPERLINK("https://klasma.github.io/Logging_2425/kartor_geotiff/S 2218-2026 georefererad karta.tif", "S 2218-2026")</f>
        <v/>
      </c>
      <c r="AA62">
        <f>HYPERLINK("https://klasma.github.io/Logging_2425/klagomål/S 2218-2026 FSC-klagomål.docx", "S 2218-2026")</f>
        <v/>
      </c>
      <c r="AB62">
        <f>HYPERLINK("https://klasma.github.io/Logging_2425/klagomålsmail/S 2218-2026 FSC-klagomål mail.docx", "S 2218-2026")</f>
        <v/>
      </c>
      <c r="AC62">
        <f>HYPERLINK("https://klasma.github.io/Logging_2425/tillsyn/S 2218-2026 tillsynsbegäran.docx", "S 2218-2026")</f>
        <v/>
      </c>
      <c r="AD62">
        <f>HYPERLINK("https://klasma.github.io/Logging_2425/tillsynsmail/S 2218-2026 tillsynsbegäran mail.docx", "S 2218-2026")</f>
        <v/>
      </c>
    </row>
    <row r="63" ht="15" customHeight="1">
      <c r="A63" t="inlineStr">
        <is>
          <t>A 64063-2021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44509</v>
      </c>
      <c r="E63" s="1" t="n">
        <v>46319</v>
      </c>
      <c r="F63" t="inlineStr">
        <is>
          <t>VÄSTERBOTTENS LÄN</t>
        </is>
      </c>
      <c r="G63" t="inlineStr">
        <is>
          <t>DOROTEA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37833-2022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44810</v>
      </c>
      <c r="E64" s="1" t="n">
        <v>46319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11309-2022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44629</v>
      </c>
      <c r="E65" s="1" t="n">
        <v>46319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16.8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46319</v>
      </c>
      <c r="F66" t="inlineStr">
        <is>
          <t>VÄSTERBOTTENS LÄN</t>
        </is>
      </c>
      <c r="G66" t="inlineStr">
        <is>
          <t>DOROTEA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24183-2022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46319</v>
      </c>
      <c r="F67" t="inlineStr">
        <is>
          <t>VÄSTERBOTTENS LÄN</t>
        </is>
      </c>
      <c r="G67" t="inlineStr">
        <is>
          <t>DOROTEA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44859</v>
      </c>
      <c r="E68" s="1" t="n">
        <v>46319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46319</v>
      </c>
      <c r="F69" t="inlineStr">
        <is>
          <t>VÄSTERBOTTENS LÄN</t>
        </is>
      </c>
      <c r="G69" t="inlineStr">
        <is>
          <t>DOROTEA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46982-2022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44851</v>
      </c>
      <c r="E70" s="1" t="n">
        <v>46319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44587</v>
      </c>
      <c r="E71" s="1" t="n">
        <v>46319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38239-2025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45883</v>
      </c>
      <c r="E72" s="1" t="n">
        <v>46319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46965-2024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45586</v>
      </c>
      <c r="E73" s="1" t="n">
        <v>46319</v>
      </c>
      <c r="F73" t="inlineStr">
        <is>
          <t>VÄSTERBOTTENS LÄN</t>
        </is>
      </c>
      <c r="G73" t="inlineStr">
        <is>
          <t>DOROTEA</t>
        </is>
      </c>
      <c r="H73" t="inlineStr">
        <is>
          <t>Sveaskog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27199-2024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45471</v>
      </c>
      <c r="E74" s="1" t="n">
        <v>46319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46319</v>
      </c>
      <c r="F75" t="inlineStr">
        <is>
          <t>VÄSTERBOTTENS LÄN</t>
        </is>
      </c>
      <c r="G75" t="inlineStr">
        <is>
          <t>DOROTEA</t>
        </is>
      </c>
      <c r="H75" t="inlineStr">
        <is>
          <t>SCA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45330</v>
      </c>
      <c r="E76" s="1" t="n">
        <v>46319</v>
      </c>
      <c r="F76" t="inlineStr">
        <is>
          <t>VÄSTERBOTTENS LÄN</t>
        </is>
      </c>
      <c r="G76" t="inlineStr">
        <is>
          <t>DOROTEA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39778-2025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46319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53117-2023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45228</v>
      </c>
      <c r="E78" s="1" t="n">
        <v>46319</v>
      </c>
      <c r="F78" t="inlineStr">
        <is>
          <t>VÄSTERBOTTENS LÄN</t>
        </is>
      </c>
      <c r="G78" t="inlineStr">
        <is>
          <t>DOROTEA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53118-2023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45228</v>
      </c>
      <c r="E79" s="1" t="n">
        <v>46319</v>
      </c>
      <c r="F79" t="inlineStr">
        <is>
          <t>VÄSTERBOTTENS LÄN</t>
        </is>
      </c>
      <c r="G79" t="inlineStr">
        <is>
          <t>DOROTEA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39977-2025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45893</v>
      </c>
      <c r="E80" s="1" t="n">
        <v>46319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10360-2023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44980</v>
      </c>
      <c r="E81" s="1" t="n">
        <v>46319</v>
      </c>
      <c r="F81" t="inlineStr">
        <is>
          <t>VÄSTERBOTTENS LÄN</t>
        </is>
      </c>
      <c r="G81" t="inlineStr">
        <is>
          <t>DOROTEA</t>
        </is>
      </c>
      <c r="I81" t="n">
        <v>18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46319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14320-2024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45393</v>
      </c>
      <c r="E83" s="1" t="n">
        <v>46319</v>
      </c>
      <c r="F83" t="inlineStr">
        <is>
          <t>VÄSTERBOTTENS LÄN</t>
        </is>
      </c>
      <c r="G83" t="inlineStr">
        <is>
          <t>DOROTEA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42125-2025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46319</v>
      </c>
      <c r="F84" t="inlineStr">
        <is>
          <t>VÄSTERBOTTENS LÄN</t>
        </is>
      </c>
      <c r="G84" t="inlineStr">
        <is>
          <t>DOROTEA</t>
        </is>
      </c>
      <c r="H84" t="inlineStr">
        <is>
          <t>Övriga Aktiebolag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41871-2025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45903</v>
      </c>
      <c r="E85" s="1" t="n">
        <v>46319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30456-2022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44761</v>
      </c>
      <c r="E86" s="1" t="n">
        <v>46319</v>
      </c>
      <c r="F86" t="inlineStr">
        <is>
          <t>VÄSTERBOTTENS LÄN</t>
        </is>
      </c>
      <c r="G86" t="inlineStr">
        <is>
          <t>DOROTEA</t>
        </is>
      </c>
      <c r="I86" t="n">
        <v>10.6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45562</v>
      </c>
      <c r="E87" s="1" t="n">
        <v>46319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46319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48006-2023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45198</v>
      </c>
      <c r="E89" s="1" t="n">
        <v>46319</v>
      </c>
      <c r="F89" t="inlineStr">
        <is>
          <t>VÄSTERBOTTENS LÄN</t>
        </is>
      </c>
      <c r="G89" t="inlineStr">
        <is>
          <t>DOROTEA</t>
        </is>
      </c>
      <c r="H89" t="inlineStr">
        <is>
          <t>Övriga statliga verk och myndigheter</t>
        </is>
      </c>
      <c r="I89" t="n">
        <v>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31497-2024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45505</v>
      </c>
      <c r="E90" s="1" t="n">
        <v>46319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23336-2026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46319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46162</v>
      </c>
      <c r="E92" s="1" t="n">
        <v>46319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46319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11.1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27477-2023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45097</v>
      </c>
      <c r="E94" s="1" t="n">
        <v>46319</v>
      </c>
      <c r="F94" t="inlineStr">
        <is>
          <t>VÄSTERBOTTENS LÄN</t>
        </is>
      </c>
      <c r="G94" t="inlineStr">
        <is>
          <t>DOROTEA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43876-2025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45912</v>
      </c>
      <c r="E95" s="1" t="n">
        <v>46319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30461-2024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45491</v>
      </c>
      <c r="E96" s="1" t="n">
        <v>46319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43866-2025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45912</v>
      </c>
      <c r="E97" s="1" t="n">
        <v>46319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44282-2025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45916</v>
      </c>
      <c r="E98" s="1" t="n">
        <v>46319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44942</v>
      </c>
      <c r="E99" s="1" t="n">
        <v>46319</v>
      </c>
      <c r="F99" t="inlineStr">
        <is>
          <t>VÄSTERBOTTENS LÄN</t>
        </is>
      </c>
      <c r="G99" t="inlineStr">
        <is>
          <t>DOROTEA</t>
        </is>
      </c>
      <c r="I99" t="n">
        <v>22.7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45962</v>
      </c>
      <c r="E100" s="1" t="n">
        <v>46319</v>
      </c>
      <c r="F100" t="inlineStr">
        <is>
          <t>VÄSTERBOTTENS LÄN</t>
        </is>
      </c>
      <c r="G100" t="inlineStr">
        <is>
          <t>DOROTEA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46319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8.4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45915</v>
      </c>
      <c r="E102" s="1" t="n">
        <v>46319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44395-2025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45916</v>
      </c>
      <c r="E103" s="1" t="n">
        <v>46319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Övriga statliga verk och myndigheter</t>
        </is>
      </c>
      <c r="I103" t="n">
        <v>15.2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45566</v>
      </c>
      <c r="E104" s="1" t="n">
        <v>46319</v>
      </c>
      <c r="F104" t="inlineStr">
        <is>
          <t>VÄSTERBOTTENS LÄN</t>
        </is>
      </c>
      <c r="G104" t="inlineStr">
        <is>
          <t>DOROTEA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23214-2026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46162</v>
      </c>
      <c r="E105" s="1" t="n">
        <v>46319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44594-2025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45917</v>
      </c>
      <c r="E106" s="1" t="n">
        <v>46319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23408-2026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46319</v>
      </c>
      <c r="F107" t="inlineStr">
        <is>
          <t>VÄSTERBOTTENS LÄN</t>
        </is>
      </c>
      <c r="G107" t="inlineStr">
        <is>
          <t>DOROTEA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44593-2025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46319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44784-2025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45917</v>
      </c>
      <c r="E109" s="1" t="n">
        <v>46319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45845</v>
      </c>
      <c r="E110" s="1" t="n">
        <v>46319</v>
      </c>
      <c r="F110" t="inlineStr">
        <is>
          <t>VÄSTERBOTTENS LÄN</t>
        </is>
      </c>
      <c r="G110" t="inlineStr">
        <is>
          <t>DOROTEA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34408-2025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46319</v>
      </c>
      <c r="F111" t="inlineStr">
        <is>
          <t>VÄSTERBOTTENS LÄN</t>
        </is>
      </c>
      <c r="G111" t="inlineStr">
        <is>
          <t>DOROTEA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50582-2024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46319</v>
      </c>
      <c r="F112" t="inlineStr">
        <is>
          <t>VÄSTERBOTTENS LÄN</t>
        </is>
      </c>
      <c r="G112" t="inlineStr">
        <is>
          <t>DOROTEA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59653-2024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45639</v>
      </c>
      <c r="E113" s="1" t="n">
        <v>46319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45036</v>
      </c>
      <c r="E114" s="1" t="n">
        <v>46319</v>
      </c>
      <c r="F114" t="inlineStr">
        <is>
          <t>VÄSTERBOTTENS LÄN</t>
        </is>
      </c>
      <c r="G114" t="inlineStr">
        <is>
          <t>DOROTEA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22944-2024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45448</v>
      </c>
      <c r="E115" s="1" t="n">
        <v>46319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46319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46319</v>
      </c>
      <c r="F117" t="inlineStr">
        <is>
          <t>VÄSTERBOTTENS LÄN</t>
        </is>
      </c>
      <c r="G117" t="inlineStr">
        <is>
          <t>DOROTEA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8852-2024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45356</v>
      </c>
      <c r="E118" s="1" t="n">
        <v>46319</v>
      </c>
      <c r="F118" t="inlineStr">
        <is>
          <t>VÄSTERBOTTENS LÄN</t>
        </is>
      </c>
      <c r="G118" t="inlineStr">
        <is>
          <t>DOROTEA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48530-2025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45936</v>
      </c>
      <c r="E119" s="1" t="n">
        <v>46319</v>
      </c>
      <c r="F119" t="inlineStr">
        <is>
          <t>VÄSTERBOTTENS LÄN</t>
        </is>
      </c>
      <c r="G119" t="inlineStr">
        <is>
          <t>DOROTEA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19657-2025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45770</v>
      </c>
      <c r="E120" s="1" t="n">
        <v>46319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8246-2024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45351</v>
      </c>
      <c r="E121" s="1" t="n">
        <v>46319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45938</v>
      </c>
      <c r="E122" s="1" t="n">
        <v>46319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45399</v>
      </c>
      <c r="E123" s="1" t="n">
        <v>46319</v>
      </c>
      <c r="F123" t="inlineStr">
        <is>
          <t>VÄSTERBOTTENS LÄN</t>
        </is>
      </c>
      <c r="G123" t="inlineStr">
        <is>
          <t>DOROTEA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45937</v>
      </c>
      <c r="E124" s="1" t="n">
        <v>46319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9.800000000000001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44979</v>
      </c>
      <c r="E125" s="1" t="n">
        <v>46319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24839-2026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46174</v>
      </c>
      <c r="E126" s="1" t="n">
        <v>46319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46174</v>
      </c>
      <c r="E127" s="1" t="n">
        <v>46319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13035-2024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45385</v>
      </c>
      <c r="E128" s="1" t="n">
        <v>46319</v>
      </c>
      <c r="F128" t="inlineStr">
        <is>
          <t>VÄSTERBOTTENS LÄN</t>
        </is>
      </c>
      <c r="G128" t="inlineStr">
        <is>
          <t>DOROTEA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45574</v>
      </c>
      <c r="E129" s="1" t="n">
        <v>46319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14255-2026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46099</v>
      </c>
      <c r="E130" s="1" t="n">
        <v>46319</v>
      </c>
      <c r="F130" t="inlineStr">
        <is>
          <t>VÄSTERBOTTENS LÄN</t>
        </is>
      </c>
      <c r="G130" t="inlineStr">
        <is>
          <t>DOROTEA</t>
        </is>
      </c>
      <c r="I130" t="n">
        <v>26.2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60304-2022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44910</v>
      </c>
      <c r="E131" s="1" t="n">
        <v>46319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25719-2024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46319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16.2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37105-2024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45539</v>
      </c>
      <c r="E133" s="1" t="n">
        <v>46319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12.3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46319</v>
      </c>
      <c r="F134" t="inlineStr">
        <is>
          <t>VÄSTERBOTTENS LÄN</t>
        </is>
      </c>
      <c r="G134" t="inlineStr">
        <is>
          <t>DOROTEA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45253</v>
      </c>
      <c r="E135" s="1" t="n">
        <v>46319</v>
      </c>
      <c r="F135" t="inlineStr">
        <is>
          <t>VÄSTERBOTTENS LÄN</t>
        </is>
      </c>
      <c r="G135" t="inlineStr">
        <is>
          <t>DOROTEA</t>
        </is>
      </c>
      <c r="I135" t="n">
        <v>8.5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45224</v>
      </c>
      <c r="E136" s="1" t="n">
        <v>46319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20759-2023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46319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Övriga statliga verk och myndigheter</t>
        </is>
      </c>
      <c r="I137" t="n">
        <v>13.9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41353-2022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44824</v>
      </c>
      <c r="E138" s="1" t="n">
        <v>46319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67686-2021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44524</v>
      </c>
      <c r="E139" s="1" t="n">
        <v>46319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26124-2026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46319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32821-2024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45516</v>
      </c>
      <c r="E141" s="1" t="n">
        <v>46319</v>
      </c>
      <c r="F141" t="inlineStr">
        <is>
          <t>VÄSTERBOTTENS LÄN</t>
        </is>
      </c>
      <c r="G141" t="inlineStr">
        <is>
          <t>DOROTEA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57376-2022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46319</v>
      </c>
      <c r="F142" t="inlineStr">
        <is>
          <t>VÄSTERBOTTENS LÄN</t>
        </is>
      </c>
      <c r="G142" t="inlineStr">
        <is>
          <t>DOROTEA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25682-2026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46178</v>
      </c>
      <c r="E143" s="1" t="n">
        <v>46319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26237-2026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46182</v>
      </c>
      <c r="E144" s="1" t="n">
        <v>46319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52412-2025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46319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45125</v>
      </c>
      <c r="E146" s="1" t="n">
        <v>46319</v>
      </c>
      <c r="F146" t="inlineStr">
        <is>
          <t>VÄSTERBOTTENS LÄN</t>
        </is>
      </c>
      <c r="G146" t="inlineStr">
        <is>
          <t>DOROTEA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35000-2023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45142</v>
      </c>
      <c r="E147" s="1" t="n">
        <v>46319</v>
      </c>
      <c r="F147" t="inlineStr">
        <is>
          <t>VÄSTERBOTTENS LÄN</t>
        </is>
      </c>
      <c r="G147" t="inlineStr">
        <is>
          <t>DOROTEA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26255-2026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46319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45959</v>
      </c>
      <c r="E149" s="1" t="n">
        <v>46319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52276-2023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45217</v>
      </c>
      <c r="E150" s="1" t="n">
        <v>46319</v>
      </c>
      <c r="F150" t="inlineStr">
        <is>
          <t>VÄSTERBOTTENS LÄN</t>
        </is>
      </c>
      <c r="G150" t="inlineStr">
        <is>
          <t>DOROTEA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26926-2026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46185</v>
      </c>
      <c r="E151" s="1" t="n">
        <v>46319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46319</v>
      </c>
      <c r="F152" t="inlineStr">
        <is>
          <t>VÄSTERBOTTENS LÄN</t>
        </is>
      </c>
      <c r="G152" t="inlineStr">
        <is>
          <t>DOROTEA</t>
        </is>
      </c>
      <c r="H152" t="inlineStr">
        <is>
          <t>SCA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45966</v>
      </c>
      <c r="E153" s="1" t="n">
        <v>46319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53795-2022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44876</v>
      </c>
      <c r="E154" s="1" t="n">
        <v>46319</v>
      </c>
      <c r="F154" t="inlineStr">
        <is>
          <t>VÄSTERBOTTENS LÄN</t>
        </is>
      </c>
      <c r="G154" t="inlineStr">
        <is>
          <t>DOROTEA</t>
        </is>
      </c>
      <c r="I154" t="n">
        <v>12.3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54624-2025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45966</v>
      </c>
      <c r="E155" s="1" t="n">
        <v>46319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27738-2026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46191</v>
      </c>
      <c r="E156" s="1" t="n">
        <v>46319</v>
      </c>
      <c r="F156" t="inlineStr">
        <is>
          <t>VÄSTERBOTTENS LÄN</t>
        </is>
      </c>
      <c r="G156" t="inlineStr">
        <is>
          <t>DOROTEA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45735</v>
      </c>
      <c r="E157" s="1" t="n">
        <v>46319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28176-2026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46319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28180-2026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46195</v>
      </c>
      <c r="E159" s="1" t="n">
        <v>46319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28360-2026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46196</v>
      </c>
      <c r="E160" s="1" t="n">
        <v>46319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49.5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28782-2026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46198</v>
      </c>
      <c r="E161" s="1" t="n">
        <v>46319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7.3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52144-2023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45223</v>
      </c>
      <c r="E162" s="1" t="n">
        <v>46319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28741-2026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56428-2025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46319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28783-2026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46319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56556-2025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46319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45978</v>
      </c>
      <c r="E167" s="1" t="n">
        <v>46319</v>
      </c>
      <c r="F167" t="inlineStr">
        <is>
          <t>VÄSTERBOTTENS LÄN</t>
        </is>
      </c>
      <c r="G167" t="inlineStr">
        <is>
          <t>DOROTEA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45978</v>
      </c>
      <c r="E168" s="1" t="n">
        <v>46319</v>
      </c>
      <c r="F168" t="inlineStr">
        <is>
          <t>VÄSTERBOTTENS LÄN</t>
        </is>
      </c>
      <c r="G168" t="inlineStr">
        <is>
          <t>DOROTEA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45977</v>
      </c>
      <c r="E169" s="1" t="n">
        <v>46319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45980</v>
      </c>
      <c r="E170" s="1" t="n">
        <v>46319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57481-2025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45980</v>
      </c>
      <c r="E171" s="1" t="n">
        <v>46319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57380-2025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45980</v>
      </c>
      <c r="E172" s="1" t="n">
        <v>46319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45982</v>
      </c>
      <c r="E173" s="1" t="n">
        <v>46319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18.2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22450-2024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45446</v>
      </c>
      <c r="E174" s="1" t="n">
        <v>46319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45981</v>
      </c>
      <c r="E175" s="1" t="n">
        <v>46319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57819-2025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45981</v>
      </c>
      <c r="E176" s="1" t="n">
        <v>46319</v>
      </c>
      <c r="F176" t="inlineStr">
        <is>
          <t>VÄSTERBOTTENS LÄN</t>
        </is>
      </c>
      <c r="G176" t="inlineStr">
        <is>
          <t>DOROTEA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60153-2024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45642</v>
      </c>
      <c r="E177" s="1" t="n">
        <v>46319</v>
      </c>
      <c r="F177" t="inlineStr">
        <is>
          <t>VÄSTERBOTTENS LÄN</t>
        </is>
      </c>
      <c r="G177" t="inlineStr">
        <is>
          <t>DOROTEA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29757-2026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46204</v>
      </c>
      <c r="E178" s="1" t="n">
        <v>46319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9.300000000000001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9030-2025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45713</v>
      </c>
      <c r="E179" s="1" t="n">
        <v>46319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60015-2023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45257</v>
      </c>
      <c r="E180" s="1" t="n">
        <v>46319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45982</v>
      </c>
      <c r="E181" s="1" t="n">
        <v>46319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45986</v>
      </c>
      <c r="E182" s="1" t="n">
        <v>46319</v>
      </c>
      <c r="F182" t="inlineStr">
        <is>
          <t>VÄSTERBOTTENS LÄN</t>
        </is>
      </c>
      <c r="G182" t="inlineStr">
        <is>
          <t>DOROTEA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30078-2026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46319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44974</v>
      </c>
      <c r="E184" s="1" t="n">
        <v>46319</v>
      </c>
      <c r="F184" t="inlineStr">
        <is>
          <t>VÄSTERBOTTENS LÄN</t>
        </is>
      </c>
      <c r="G184" t="inlineStr">
        <is>
          <t>DOROTEA</t>
        </is>
      </c>
      <c r="I184" t="n">
        <v>14.8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59338-2025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46319</v>
      </c>
      <c r="F185" t="inlineStr">
        <is>
          <t>VÄSTERBOTTENS LÄN</t>
        </is>
      </c>
      <c r="G185" t="inlineStr">
        <is>
          <t>DOROTEA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31093-2026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46319</v>
      </c>
      <c r="F186" t="inlineStr">
        <is>
          <t>VÄSTERBOTTENS LÄN</t>
        </is>
      </c>
      <c r="G186" t="inlineStr">
        <is>
          <t>DOROTEA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46319</v>
      </c>
      <c r="F187" t="inlineStr">
        <is>
          <t>VÄSTERBOTTENS LÄN</t>
        </is>
      </c>
      <c r="G187" t="inlineStr">
        <is>
          <t>DOROTEA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45988</v>
      </c>
      <c r="E188" s="1" t="n">
        <v>46319</v>
      </c>
      <c r="F188" t="inlineStr">
        <is>
          <t>VÄSTERBOTTENS LÄN</t>
        </is>
      </c>
      <c r="G188" t="inlineStr">
        <is>
          <t>DOROTEA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30190-2026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46206</v>
      </c>
      <c r="E189" s="1" t="n">
        <v>46319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46319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46319</v>
      </c>
      <c r="F191" t="inlineStr">
        <is>
          <t>VÄSTERBOTTENS LÄN</t>
        </is>
      </c>
      <c r="G191" t="inlineStr">
        <is>
          <t>DOROTEA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46211</v>
      </c>
      <c r="E192" s="1" t="n">
        <v>46319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30645-2026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46211</v>
      </c>
      <c r="E193" s="1" t="n">
        <v>46319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59394-2023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46319</v>
      </c>
      <c r="F194" t="inlineStr">
        <is>
          <t>VÄSTERBOTTENS LÄN</t>
        </is>
      </c>
      <c r="G194" t="inlineStr">
        <is>
          <t>DOROTEA</t>
        </is>
      </c>
      <c r="I194" t="n">
        <v>28.8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46212</v>
      </c>
      <c r="E195" s="1" t="n">
        <v>46319</v>
      </c>
      <c r="F195" t="inlineStr">
        <is>
          <t>VÄSTERBOTTENS LÄN</t>
        </is>
      </c>
      <c r="G195" t="inlineStr">
        <is>
          <t>DOROTEA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35937-2025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45862</v>
      </c>
      <c r="E196" s="1" t="n">
        <v>46319</v>
      </c>
      <c r="F196" t="inlineStr">
        <is>
          <t>VÄSTERBOTTENS LÄN</t>
        </is>
      </c>
      <c r="G196" t="inlineStr">
        <is>
          <t>DOROTEA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46212</v>
      </c>
      <c r="E197" s="1" t="n">
        <v>46319</v>
      </c>
      <c r="F197" t="inlineStr">
        <is>
          <t>VÄSTERBOTTENS LÄN</t>
        </is>
      </c>
      <c r="G197" t="inlineStr">
        <is>
          <t>DOROTEA</t>
        </is>
      </c>
      <c r="I197" t="n">
        <v>8.4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30823-2026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46212</v>
      </c>
      <c r="E198" s="1" t="n">
        <v>46319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46213</v>
      </c>
      <c r="E199" s="1" t="n">
        <v>46319</v>
      </c>
      <c r="F199" t="inlineStr">
        <is>
          <t>VÄSTERBOTTENS LÄN</t>
        </is>
      </c>
      <c r="G199" t="inlineStr">
        <is>
          <t>DOROTEA</t>
        </is>
      </c>
      <c r="I199" t="n">
        <v>7.8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46213</v>
      </c>
      <c r="E200" s="1" t="n">
        <v>46319</v>
      </c>
      <c r="F200" t="inlineStr">
        <is>
          <t>VÄSTERBOTTENS LÄN</t>
        </is>
      </c>
      <c r="G200" t="inlineStr">
        <is>
          <t>DOROTEA</t>
        </is>
      </c>
      <c r="I200" t="n">
        <v>5.1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45551</v>
      </c>
      <c r="E201" s="1" t="n">
        <v>46319</v>
      </c>
      <c r="F201" t="inlineStr">
        <is>
          <t>VÄSTERBOTTENS LÄN</t>
        </is>
      </c>
      <c r="G201" t="inlineStr">
        <is>
          <t>DOROTEA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31181-2026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46217</v>
      </c>
      <c r="E202" s="1" t="n">
        <v>46319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60724-2025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45996</v>
      </c>
      <c r="E203" s="1" t="n">
        <v>46319</v>
      </c>
      <c r="F203" t="inlineStr">
        <is>
          <t>VÄSTERBOTTENS LÄN</t>
        </is>
      </c>
      <c r="G203" t="inlineStr">
        <is>
          <t>DOROTEA</t>
        </is>
      </c>
      <c r="I203" t="n">
        <v>23.9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31179-2026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46217</v>
      </c>
      <c r="E204" s="1" t="n">
        <v>46319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31259-2026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46218</v>
      </c>
      <c r="E205" s="1" t="n">
        <v>46319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31302-2026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46218</v>
      </c>
      <c r="E206" s="1" t="n">
        <v>46319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27305-2024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45471</v>
      </c>
      <c r="E207" s="1" t="n">
        <v>46319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28549-2023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45103</v>
      </c>
      <c r="E208" s="1" t="n">
        <v>46319</v>
      </c>
      <c r="F208" t="inlineStr">
        <is>
          <t>VÄSTERBOTTENS LÄN</t>
        </is>
      </c>
      <c r="G208" t="inlineStr">
        <is>
          <t>DOROTEA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31260-2026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46218</v>
      </c>
      <c r="E209" s="1" t="n">
        <v>46319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31439-2026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46220</v>
      </c>
      <c r="E210" s="1" t="n">
        <v>46319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31575-2026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46224</v>
      </c>
      <c r="E211" s="1" t="n">
        <v>46319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31573-2026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46319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45572</v>
      </c>
      <c r="E213" s="1" t="n">
        <v>46319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46224</v>
      </c>
      <c r="E214" s="1" t="n">
        <v>46319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28856-2024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46319</v>
      </c>
      <c r="F215" t="inlineStr">
        <is>
          <t>VÄSTERBOTTENS LÄN</t>
        </is>
      </c>
      <c r="G215" t="inlineStr">
        <is>
          <t>DOROTEA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62193-2025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46003</v>
      </c>
      <c r="E216" s="1" t="n">
        <v>46319</v>
      </c>
      <c r="F216" t="inlineStr">
        <is>
          <t>VÄSTERBOTTENS LÄN</t>
        </is>
      </c>
      <c r="G216" t="inlineStr">
        <is>
          <t>DOROTEA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53382-2024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45614</v>
      </c>
      <c r="E217" s="1" t="n">
        <v>46319</v>
      </c>
      <c r="F217" t="inlineStr">
        <is>
          <t>VÄSTERBOTTENS LÄN</t>
        </is>
      </c>
      <c r="G217" t="inlineStr">
        <is>
          <t>DOROTEA</t>
        </is>
      </c>
      <c r="I217" t="n">
        <v>11.2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46003</v>
      </c>
      <c r="E218" s="1" t="n">
        <v>46319</v>
      </c>
      <c r="F218" t="inlineStr">
        <is>
          <t>VÄSTERBOTTENS LÄN</t>
        </is>
      </c>
      <c r="G218" t="inlineStr">
        <is>
          <t>DOROTEA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37072-2024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45539</v>
      </c>
      <c r="E219" s="1" t="n">
        <v>46319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8.199999999999999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46319</v>
      </c>
      <c r="F220" t="inlineStr">
        <is>
          <t>VÄSTERBOTTENS LÄN</t>
        </is>
      </c>
      <c r="G220" t="inlineStr">
        <is>
          <t>DOROTEA</t>
        </is>
      </c>
      <c r="I220" t="n">
        <v>16.7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46007</v>
      </c>
      <c r="E221" s="1" t="n">
        <v>46319</v>
      </c>
      <c r="F221" t="inlineStr">
        <is>
          <t>VÄSTERBOTTENS LÄN</t>
        </is>
      </c>
      <c r="G221" t="inlineStr">
        <is>
          <t>DOROTEA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46319</v>
      </c>
      <c r="F222" t="inlineStr">
        <is>
          <t>VÄSTERBOTTENS LÄN</t>
        </is>
      </c>
      <c r="G222" t="inlineStr">
        <is>
          <t>DOROTEA</t>
        </is>
      </c>
      <c r="I222" t="n">
        <v>13.2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45755</v>
      </c>
      <c r="E223" s="1" t="n">
        <v>46319</v>
      </c>
      <c r="F223" t="inlineStr">
        <is>
          <t>VÄSTERBOTTENS LÄN</t>
        </is>
      </c>
      <c r="G223" t="inlineStr">
        <is>
          <t>DOROTEA</t>
        </is>
      </c>
      <c r="I223" t="n">
        <v>7.6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4958-2023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44956</v>
      </c>
      <c r="E224" s="1" t="n">
        <v>46319</v>
      </c>
      <c r="F224" t="inlineStr">
        <is>
          <t>VÄSTERBOTTENS LÄN</t>
        </is>
      </c>
      <c r="G224" t="inlineStr">
        <is>
          <t>DOROTEA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46319</v>
      </c>
      <c r="F225" t="inlineStr">
        <is>
          <t>VÄSTERBOTTENS LÄN</t>
        </is>
      </c>
      <c r="G225" t="inlineStr">
        <is>
          <t>DOROTEA</t>
        </is>
      </c>
      <c r="I225" t="n">
        <v>12.3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62974-2025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46009</v>
      </c>
      <c r="E226" s="1" t="n">
        <v>46319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9.4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63939-2025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46319</v>
      </c>
      <c r="F227" t="inlineStr">
        <is>
          <t>VÄSTERBOTTENS LÄN</t>
        </is>
      </c>
      <c r="G227" t="inlineStr">
        <is>
          <t>DOROTEA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37826-2026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46279</v>
      </c>
      <c r="E228" s="1" t="n">
        <v>46319</v>
      </c>
      <c r="F228" t="inlineStr">
        <is>
          <t>VÄSTERBOTTENS LÄN</t>
        </is>
      </c>
      <c r="G228" t="inlineStr">
        <is>
          <t>DOROTEA</t>
        </is>
      </c>
      <c r="H228" t="inlineStr">
        <is>
          <t>SCA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42104-2024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45562</v>
      </c>
      <c r="E229" s="1" t="n">
        <v>46319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46319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38087-2026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46281</v>
      </c>
      <c r="E231" s="1" t="n">
        <v>46319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22774-2025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45789</v>
      </c>
      <c r="E232" s="1" t="n">
        <v>46319</v>
      </c>
      <c r="F232" t="inlineStr">
        <is>
          <t>VÄSTERBOTTENS LÄN</t>
        </is>
      </c>
      <c r="G232" t="inlineStr">
        <is>
          <t>DOROTEA</t>
        </is>
      </c>
      <c r="H232" t="inlineStr">
        <is>
          <t>SCA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46319</v>
      </c>
      <c r="F233" t="inlineStr">
        <is>
          <t>VÄSTERBOTTENS LÄN</t>
        </is>
      </c>
      <c r="G233" t="inlineStr">
        <is>
          <t>DOROTEA</t>
        </is>
      </c>
      <c r="I233" t="n">
        <v>18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38299-2026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46282</v>
      </c>
      <c r="E234" s="1" t="n">
        <v>46319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19889-2025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45771</v>
      </c>
      <c r="E235" s="1" t="n">
        <v>46319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46319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22946-2024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46319</v>
      </c>
      <c r="F237" t="inlineStr">
        <is>
          <t>VÄSTERBOTTENS LÄN</t>
        </is>
      </c>
      <c r="G237" t="inlineStr">
        <is>
          <t>DOROTEA</t>
        </is>
      </c>
      <c r="H237" t="inlineStr">
        <is>
          <t>SCA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45485</v>
      </c>
      <c r="E238" s="1" t="n">
        <v>46319</v>
      </c>
      <c r="F238" t="inlineStr">
        <is>
          <t>VÄSTERBOTTENS LÄN</t>
        </is>
      </c>
      <c r="G238" t="inlineStr">
        <is>
          <t>DOROTEA</t>
        </is>
      </c>
      <c r="I238" t="n">
        <v>10.2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13451-2022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44645</v>
      </c>
      <c r="E239" s="1" t="n">
        <v>46319</v>
      </c>
      <c r="F239" t="inlineStr">
        <is>
          <t>VÄSTERBOTTENS LÄN</t>
        </is>
      </c>
      <c r="G239" t="inlineStr">
        <is>
          <t>DOROTEA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46319</v>
      </c>
      <c r="F240" t="inlineStr">
        <is>
          <t>VÄSTERBOTTENS LÄN</t>
        </is>
      </c>
      <c r="G240" t="inlineStr">
        <is>
          <t>DOROTEA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2146-2026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46319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39470-2024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45551</v>
      </c>
      <c r="E242" s="1" t="n">
        <v>46319</v>
      </c>
      <c r="F242" t="inlineStr">
        <is>
          <t>VÄSTERBOTTENS LÄN</t>
        </is>
      </c>
      <c r="G242" t="inlineStr">
        <is>
          <t>DOROTEA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33113-2024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45517</v>
      </c>
      <c r="E243" s="1" t="n">
        <v>46319</v>
      </c>
      <c r="F243" t="inlineStr">
        <is>
          <t>VÄSTERBOTTENS LÄN</t>
        </is>
      </c>
      <c r="G243" t="inlineStr">
        <is>
          <t>DOROTEA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46319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46319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46319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12.9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46319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46042</v>
      </c>
      <c r="E248" s="1" t="n">
        <v>46319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7.8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995-2026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46029</v>
      </c>
      <c r="E249" s="1" t="n">
        <v>46319</v>
      </c>
      <c r="F249" t="inlineStr">
        <is>
          <t>VÄSTERBOTTENS LÄN</t>
        </is>
      </c>
      <c r="G249" t="inlineStr">
        <is>
          <t>DOROTEA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45614</v>
      </c>
      <c r="E250" s="1" t="n">
        <v>46319</v>
      </c>
      <c r="F250" t="inlineStr">
        <is>
          <t>VÄSTERBOTTENS LÄN</t>
        </is>
      </c>
      <c r="G250" t="inlineStr">
        <is>
          <t>DOROTEA</t>
        </is>
      </c>
      <c r="I250" t="n">
        <v>12.8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46319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39088-2026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46287</v>
      </c>
      <c r="E252" s="1" t="n">
        <v>46319</v>
      </c>
      <c r="F252" t="inlineStr">
        <is>
          <t>VÄSTERBOTTENS LÄN</t>
        </is>
      </c>
      <c r="G252" t="inlineStr">
        <is>
          <t>DOROTEA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34700-2023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45140</v>
      </c>
      <c r="E253" s="1" t="n">
        <v>46319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34702-2023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45140</v>
      </c>
      <c r="E254" s="1" t="n">
        <v>46319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45800</v>
      </c>
      <c r="E255" s="1" t="n">
        <v>46319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46010</v>
      </c>
      <c r="E256" s="1" t="n">
        <v>46319</v>
      </c>
      <c r="F256" t="inlineStr">
        <is>
          <t>VÄSTERBOTTENS LÄN</t>
        </is>
      </c>
      <c r="G256" t="inlineStr">
        <is>
          <t>DOROTEA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46036</v>
      </c>
      <c r="E257" s="1" t="n">
        <v>46319</v>
      </c>
      <c r="F257" t="inlineStr">
        <is>
          <t>VÄSTERBOTTENS LÄN</t>
        </is>
      </c>
      <c r="G257" t="inlineStr">
        <is>
          <t>DOROTEA</t>
        </is>
      </c>
      <c r="I257" t="n">
        <v>11.8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46247</v>
      </c>
      <c r="E258" s="1" t="n">
        <v>46319</v>
      </c>
      <c r="F258" t="inlineStr">
        <is>
          <t>VÄSTERBOTTENS LÄN</t>
        </is>
      </c>
      <c r="G258" t="inlineStr">
        <is>
          <t>DOROTEA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12773-2026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46091</v>
      </c>
      <c r="E259" s="1" t="n">
        <v>46319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25606-2025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45803</v>
      </c>
      <c r="E260" s="1" t="n">
        <v>46319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46319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5758-2026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46051</v>
      </c>
      <c r="E262" s="1" t="n">
        <v>46319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46055</v>
      </c>
      <c r="E263" s="1" t="n">
        <v>46319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26315-2025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45805</v>
      </c>
      <c r="E264" s="1" t="n">
        <v>46319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46054</v>
      </c>
      <c r="E265" s="1" t="n">
        <v>46319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26481-2025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45807</v>
      </c>
      <c r="E266" s="1" t="n">
        <v>46319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26480-2025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45807</v>
      </c>
      <c r="E267" s="1" t="n">
        <v>46319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45664</v>
      </c>
      <c r="E268" s="1" t="n">
        <v>46319</v>
      </c>
      <c r="F268" t="inlineStr">
        <is>
          <t>VÄSTERBOTTENS LÄN</t>
        </is>
      </c>
      <c r="G268" t="inlineStr">
        <is>
          <t>DOROTEA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57070-2023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45244</v>
      </c>
      <c r="E269" s="1" t="n">
        <v>46319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14759-2025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45742</v>
      </c>
      <c r="E270" s="1" t="n">
        <v>46319</v>
      </c>
      <c r="F270" t="inlineStr">
        <is>
          <t>VÄSTERBOTTENS LÄN</t>
        </is>
      </c>
      <c r="G270" t="inlineStr">
        <is>
          <t>DOROTEA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40178-2026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46293</v>
      </c>
      <c r="E271" s="1" t="n">
        <v>46319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26904-2025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46319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46319</v>
      </c>
      <c r="F273" t="inlineStr">
        <is>
          <t>VÄSTERBOTTENS LÄN</t>
        </is>
      </c>
      <c r="G273" t="inlineStr">
        <is>
          <t>DOROTEA</t>
        </is>
      </c>
      <c r="H273" t="inlineStr">
        <is>
          <t>Allmännings- och besparingsskogar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7713-2026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46319</v>
      </c>
      <c r="F274" t="inlineStr">
        <is>
          <t>VÄSTERBOTTENS LÄN</t>
        </is>
      </c>
      <c r="G274" t="inlineStr">
        <is>
          <t>DOROTEA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46319</v>
      </c>
      <c r="F275" t="inlineStr">
        <is>
          <t>VÄSTERBOTTENS LÄN</t>
        </is>
      </c>
      <c r="G275" t="inlineStr">
        <is>
          <t>DOROTEA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7963-2026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46063</v>
      </c>
      <c r="E276" s="1" t="n">
        <v>46319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46319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46319</v>
      </c>
      <c r="F278" t="inlineStr">
        <is>
          <t>VÄSTERBOTTENS LÄN</t>
        </is>
      </c>
      <c r="G278" t="inlineStr">
        <is>
          <t>DOROTEA</t>
        </is>
      </c>
      <c r="I278" t="n">
        <v>11.1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33514-2026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46248</v>
      </c>
      <c r="E279" s="1" t="n">
        <v>46319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35925-2026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46319</v>
      </c>
      <c r="F280" t="inlineStr">
        <is>
          <t>VÄSTERBOTTENS LÄN</t>
        </is>
      </c>
      <c r="G280" t="inlineStr">
        <is>
          <t>DOROTEA</t>
        </is>
      </c>
      <c r="H280" t="inlineStr">
        <is>
          <t>Allmännings- och besparingsskogar</t>
        </is>
      </c>
      <c r="I280" t="n">
        <v>16.4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59418-2023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45253</v>
      </c>
      <c r="E281" s="1" t="n">
        <v>46319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9796-2026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46072</v>
      </c>
      <c r="E282" s="1" t="n">
        <v>46319</v>
      </c>
      <c r="F282" t="inlineStr">
        <is>
          <t>VÄSTERBOTTENS LÄN</t>
        </is>
      </c>
      <c r="G282" t="inlineStr">
        <is>
          <t>DOROTEA</t>
        </is>
      </c>
      <c r="I282" t="n">
        <v>20.1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34186-2026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46253</v>
      </c>
      <c r="E283" s="1" t="n">
        <v>46319</v>
      </c>
      <c r="F283" t="inlineStr">
        <is>
          <t>VÄSTERBOTTENS LÄN</t>
        </is>
      </c>
      <c r="G283" t="inlineStr">
        <is>
          <t>DOROTEA</t>
        </is>
      </c>
      <c r="I283" t="n">
        <v>13.6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49077-2022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44860</v>
      </c>
      <c r="E284" s="1" t="n">
        <v>46319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Sveaskog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34149-2026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46253</v>
      </c>
      <c r="E285" s="1" t="n">
        <v>46319</v>
      </c>
      <c r="F285" t="inlineStr">
        <is>
          <t>VÄSTERBOTTENS LÄN</t>
        </is>
      </c>
      <c r="G285" t="inlineStr">
        <is>
          <t>DOROTEA</t>
        </is>
      </c>
      <c r="I285" t="n">
        <v>11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46253</v>
      </c>
      <c r="E286" s="1" t="n">
        <v>46319</v>
      </c>
      <c r="F286" t="inlineStr">
        <is>
          <t>VÄSTERBOTTENS LÄN</t>
        </is>
      </c>
      <c r="G286" t="inlineStr">
        <is>
          <t>DOROTEA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29258-2025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45824</v>
      </c>
      <c r="E287" s="1" t="n">
        <v>46319</v>
      </c>
      <c r="F287" t="inlineStr">
        <is>
          <t>VÄSTERBOTTENS LÄN</t>
        </is>
      </c>
      <c r="G287" t="inlineStr">
        <is>
          <t>DOROTEA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46295</v>
      </c>
      <c r="E288" s="1" t="n">
        <v>46319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13.2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34187-2026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46253</v>
      </c>
      <c r="E289" s="1" t="n">
        <v>46319</v>
      </c>
      <c r="F289" t="inlineStr">
        <is>
          <t>VÄSTERBOTTENS LÄN</t>
        </is>
      </c>
      <c r="G289" t="inlineStr">
        <is>
          <t>DOROTEA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46085</v>
      </c>
      <c r="E290" s="1" t="n">
        <v>46319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12082-2026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46086</v>
      </c>
      <c r="E291" s="1" t="n">
        <v>46319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31532-2025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45833</v>
      </c>
      <c r="E292" s="1" t="n">
        <v>46319</v>
      </c>
      <c r="F292" t="inlineStr">
        <is>
          <t>VÄSTERBOTTENS LÄN</t>
        </is>
      </c>
      <c r="G292" t="inlineStr">
        <is>
          <t>DOROTEA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31510-2025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46319</v>
      </c>
      <c r="F293" t="inlineStr">
        <is>
          <t>VÄSTERBOTTENS LÄN</t>
        </is>
      </c>
      <c r="G293" t="inlineStr">
        <is>
          <t>DOROTEA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41157-2026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46300</v>
      </c>
      <c r="E294" s="1" t="n">
        <v>46319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46319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46254</v>
      </c>
      <c r="E296" s="1" t="n">
        <v>46319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45755</v>
      </c>
      <c r="E297" s="1" t="n">
        <v>46319</v>
      </c>
      <c r="F297" t="inlineStr">
        <is>
          <t>VÄSTERBOTTENS LÄN</t>
        </is>
      </c>
      <c r="G297" t="inlineStr">
        <is>
          <t>DOROTEA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46319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14249-2026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46099</v>
      </c>
      <c r="E299" s="1" t="n">
        <v>46319</v>
      </c>
      <c r="F299" t="inlineStr">
        <is>
          <t>VÄSTERBOTTENS LÄN</t>
        </is>
      </c>
      <c r="G299" t="inlineStr">
        <is>
          <t>DOROTEA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45483</v>
      </c>
      <c r="E300" s="1" t="n">
        <v>46319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12.4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34279-2025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45846</v>
      </c>
      <c r="E301" s="1" t="n">
        <v>46319</v>
      </c>
      <c r="F301" t="inlineStr">
        <is>
          <t>VÄSTERBOTTENS LÄN</t>
        </is>
      </c>
      <c r="G301" t="inlineStr">
        <is>
          <t>DOROTEA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15020-2026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46104</v>
      </c>
      <c r="E302" s="1" t="n">
        <v>46319</v>
      </c>
      <c r="F302" t="inlineStr">
        <is>
          <t>VÄSTERBOTTENS LÄN</t>
        </is>
      </c>
      <c r="G302" t="inlineStr">
        <is>
          <t>DOROTEA</t>
        </is>
      </c>
      <c r="I302" t="n">
        <v>7.8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45848</v>
      </c>
      <c r="E303" s="1" t="n">
        <v>46319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34488-2025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45847</v>
      </c>
      <c r="E304" s="1" t="n">
        <v>46319</v>
      </c>
      <c r="F304" t="inlineStr">
        <is>
          <t>VÄSTERBOTTENS LÄN</t>
        </is>
      </c>
      <c r="G304" t="inlineStr">
        <is>
          <t>DOROTEA</t>
        </is>
      </c>
      <c r="H304" t="inlineStr">
        <is>
          <t>SCA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34856-2025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46319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35093-2025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45852</v>
      </c>
      <c r="E306" s="1" t="n">
        <v>46319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41261-2026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46319</v>
      </c>
      <c r="F307" t="inlineStr">
        <is>
          <t>VÄSTERBOTTENS LÄN</t>
        </is>
      </c>
      <c r="G307" t="inlineStr">
        <is>
          <t>DOROTEA</t>
        </is>
      </c>
      <c r="I307" t="n">
        <v>13.1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15901-2026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46107</v>
      </c>
      <c r="E308" s="1" t="n">
        <v>46319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40435-2023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45169</v>
      </c>
      <c r="E309" s="1" t="n">
        <v>46319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46319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5.6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46319</v>
      </c>
      <c r="F311" t="inlineStr">
        <is>
          <t>VÄSTERBOTTENS LÄN</t>
        </is>
      </c>
      <c r="G311" t="inlineStr">
        <is>
          <t>DOROTEA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16251-2026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46319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6.7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35438-2025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46319</v>
      </c>
      <c r="F313" t="inlineStr">
        <is>
          <t>VÄSTERBOTTENS LÄN</t>
        </is>
      </c>
      <c r="G313" t="inlineStr">
        <is>
          <t>DOROTEA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35458-2025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46319</v>
      </c>
      <c r="F314" t="inlineStr">
        <is>
          <t>VÄSTERBOTTENS LÄN</t>
        </is>
      </c>
      <c r="G314" t="inlineStr">
        <is>
          <t>DOROTEA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16352-2026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46111</v>
      </c>
      <c r="E315" s="1" t="n">
        <v>46319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33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16276-2026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46319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35337-2026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46261</v>
      </c>
      <c r="E317" s="1" t="n">
        <v>46319</v>
      </c>
      <c r="F317" t="inlineStr">
        <is>
          <t>VÄSTERBOTTENS LÄN</t>
        </is>
      </c>
      <c r="G317" t="inlineStr">
        <is>
          <t>DOROTEA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16896-2026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46113</v>
      </c>
      <c r="E318" s="1" t="n">
        <v>46319</v>
      </c>
      <c r="F318" t="inlineStr">
        <is>
          <t>VÄSTERBOTTENS LÄN</t>
        </is>
      </c>
      <c r="G318" t="inlineStr">
        <is>
          <t>DOROTEA</t>
        </is>
      </c>
      <c r="H318" t="inlineStr">
        <is>
          <t>Kommuner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45866</v>
      </c>
      <c r="E319" s="1" t="n">
        <v>46319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45866</v>
      </c>
      <c r="E320" s="1" t="n">
        <v>46319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16985-2026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46114</v>
      </c>
      <c r="E321" s="1" t="n">
        <v>46319</v>
      </c>
      <c r="F321" t="inlineStr">
        <is>
          <t>VÄSTERBOTTENS LÄN</t>
        </is>
      </c>
      <c r="G321" t="inlineStr">
        <is>
          <t>DOROTEA</t>
        </is>
      </c>
      <c r="H321" t="inlineStr">
        <is>
          <t>SCA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46261</v>
      </c>
      <c r="E322" s="1" t="n">
        <v>46319</v>
      </c>
      <c r="F322" t="inlineStr">
        <is>
          <t>VÄSTERBOTTENS LÄN</t>
        </is>
      </c>
      <c r="G322" t="inlineStr">
        <is>
          <t>DOROTEA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17623-2026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46121</v>
      </c>
      <c r="E323" s="1" t="n">
        <v>46319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17537-2026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46120</v>
      </c>
      <c r="E324" s="1" t="n">
        <v>46319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8.6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46319</v>
      </c>
      <c r="F325" t="inlineStr">
        <is>
          <t>VÄSTERBOTTENS LÄN</t>
        </is>
      </c>
      <c r="G325" t="inlineStr">
        <is>
          <t>DOROTEA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46304</v>
      </c>
      <c r="E326" s="1" t="n">
        <v>46319</v>
      </c>
      <c r="F326" t="inlineStr">
        <is>
          <t>VÄSTERBOTTENS LÄN</t>
        </is>
      </c>
      <c r="G326" t="inlineStr">
        <is>
          <t>DOROTEA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35335-2026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46261</v>
      </c>
      <c r="E327" s="1" t="n">
        <v>46319</v>
      </c>
      <c r="F327" t="inlineStr">
        <is>
          <t>VÄSTERBOTTENS LÄN</t>
        </is>
      </c>
      <c r="G327" t="inlineStr">
        <is>
          <t>DOROTEA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42036-2026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46304</v>
      </c>
      <c r="E328" s="1" t="n">
        <v>46319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46261</v>
      </c>
      <c r="E329" s="1" t="n">
        <v>46319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18143-2026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46319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17971-2026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46123</v>
      </c>
      <c r="E331" s="1" t="n">
        <v>46319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18130-2026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46125</v>
      </c>
      <c r="E332" s="1" t="n">
        <v>46319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18.3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18157-2026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46319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35353-2026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46261</v>
      </c>
      <c r="E334" s="1" t="n">
        <v>46319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36844-2025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46319</v>
      </c>
      <c r="F335" t="inlineStr">
        <is>
          <t>VÄSTERBOTTENS LÄN</t>
        </is>
      </c>
      <c r="G335" t="inlineStr">
        <is>
          <t>DOROTEA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18254-2026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46126</v>
      </c>
      <c r="E336" s="1" t="n">
        <v>46319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37259-2025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45876</v>
      </c>
      <c r="E337" s="1" t="n">
        <v>46319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37135-2025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46319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46304</v>
      </c>
      <c r="E339" s="1" t="n">
        <v>46319</v>
      </c>
      <c r="F339" t="inlineStr">
        <is>
          <t>VÄSTERBOTTENS LÄN</t>
        </is>
      </c>
      <c r="G339" t="inlineStr">
        <is>
          <t>DOROTEA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37276-2025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45876</v>
      </c>
      <c r="E340" s="1" t="n">
        <v>46319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37476-2025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45877</v>
      </c>
      <c r="E341" s="1" t="n">
        <v>46319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8709-2025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45712</v>
      </c>
      <c r="E342" s="1" t="n">
        <v>46319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38100-2025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45882</v>
      </c>
      <c r="E343" s="1" t="n">
        <v>46319</v>
      </c>
      <c r="F343" t="inlineStr">
        <is>
          <t>VÄSTERBOTTENS LÄN</t>
        </is>
      </c>
      <c r="G343" t="inlineStr">
        <is>
          <t>DOROTEA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38101-2025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46319</v>
      </c>
      <c r="F344" t="inlineStr">
        <is>
          <t>VÄSTERBOTTENS LÄN</t>
        </is>
      </c>
      <c r="G344" t="inlineStr">
        <is>
          <t>DOROTEA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46319</v>
      </c>
      <c r="F345" t="inlineStr">
        <is>
          <t>VÄSTERBOTTENS LÄN</t>
        </is>
      </c>
      <c r="G345" t="inlineStr">
        <is>
          <t>DOROTEA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38097-2025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46319</v>
      </c>
      <c r="F346" t="inlineStr">
        <is>
          <t>VÄSTERBOTTENS LÄN</t>
        </is>
      </c>
      <c r="G346" t="inlineStr">
        <is>
          <t>DOROTEA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38098-2025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45882</v>
      </c>
      <c r="E347" s="1" t="n">
        <v>46319</v>
      </c>
      <c r="F347" t="inlineStr">
        <is>
          <t>VÄSTERBOTTENS LÄN</t>
        </is>
      </c>
      <c r="G347" t="inlineStr">
        <is>
          <t>DOROTEA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46319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19298-2026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46319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46133</v>
      </c>
      <c r="E350" s="1" t="n">
        <v>46319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55549-2024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45622</v>
      </c>
      <c r="E351" s="1" t="n">
        <v>46319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20316-2026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46319</v>
      </c>
      <c r="F352" t="inlineStr">
        <is>
          <t>VÄSTERBOTTENS LÄN</t>
        </is>
      </c>
      <c r="G352" t="inlineStr">
        <is>
          <t>DOROTEA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46262</v>
      </c>
      <c r="E353" s="1" t="n">
        <v>46319</v>
      </c>
      <c r="F353" t="inlineStr">
        <is>
          <t>VÄSTERBOTTENS LÄN</t>
        </is>
      </c>
      <c r="G353" t="inlineStr">
        <is>
          <t>DOROTEA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57431-2022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46319</v>
      </c>
      <c r="F354" t="inlineStr">
        <is>
          <t>VÄSTERBOTTENS LÄN</t>
        </is>
      </c>
      <c r="G354" t="inlineStr">
        <is>
          <t>DOROTEA</t>
        </is>
      </c>
      <c r="I354" t="n">
        <v>15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42811-2026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46309</v>
      </c>
      <c r="E355" s="1" t="n">
        <v>46319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34503-2025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45846</v>
      </c>
      <c r="E356" s="1" t="n">
        <v>46319</v>
      </c>
      <c r="F356" t="inlineStr">
        <is>
          <t>VÄSTERBOTTENS LÄN</t>
        </is>
      </c>
      <c r="G356" t="inlineStr">
        <is>
          <t>DOROTEA</t>
        </is>
      </c>
      <c r="I356" t="n">
        <v>14.7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74013-2021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44557</v>
      </c>
      <c r="E357" s="1" t="n">
        <v>46319</v>
      </c>
      <c r="F357" t="inlineStr">
        <is>
          <t>VÄSTERBOTTENS LÄN</t>
        </is>
      </c>
      <c r="G357" t="inlineStr">
        <is>
          <t>DOROTEA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42809-2026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46309</v>
      </c>
      <c r="E358" s="1" t="n">
        <v>46319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20522-2026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46140</v>
      </c>
      <c r="E359" s="1" t="n">
        <v>46319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62657-2022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44925</v>
      </c>
      <c r="E360" s="1" t="n">
        <v>46319</v>
      </c>
      <c r="F360" t="inlineStr">
        <is>
          <t>VÄSTERBOTTENS LÄN</t>
        </is>
      </c>
      <c r="G360" t="inlineStr">
        <is>
          <t>DOROTEA</t>
        </is>
      </c>
      <c r="I360" t="n">
        <v>22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35457-2025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46319</v>
      </c>
      <c r="F361" t="inlineStr">
        <is>
          <t>VÄSTERBOTTENS LÄN</t>
        </is>
      </c>
      <c r="G361" t="inlineStr">
        <is>
          <t>DOROTEA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42681-2026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46309</v>
      </c>
      <c r="E362" s="1" t="n">
        <v>46319</v>
      </c>
      <c r="F362" t="inlineStr">
        <is>
          <t>VÄSTERBOTTENS LÄN</t>
        </is>
      </c>
      <c r="G362" t="inlineStr">
        <is>
          <t>DOROTEA</t>
        </is>
      </c>
      <c r="I362" t="n">
        <v>9.199999999999999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46319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30373-2024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45491</v>
      </c>
      <c r="E364" s="1" t="n">
        <v>46319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Sveaskog</t>
        </is>
      </c>
      <c r="I364" t="n">
        <v>13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36255-2026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46319</v>
      </c>
      <c r="F365" t="inlineStr">
        <is>
          <t>VÄSTERBOTTENS LÄN</t>
        </is>
      </c>
      <c r="G365" t="inlineStr">
        <is>
          <t>DOROTEA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45295</v>
      </c>
      <c r="E366" s="1" t="n">
        <v>46319</v>
      </c>
      <c r="F366" t="inlineStr">
        <is>
          <t>VÄSTERBOTTENS LÄN</t>
        </is>
      </c>
      <c r="G366" t="inlineStr">
        <is>
          <t>DOROTEA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46319</v>
      </c>
      <c r="F367" t="inlineStr">
        <is>
          <t>VÄSTERBOTTENS LÄN</t>
        </is>
      </c>
      <c r="G367" t="inlineStr">
        <is>
          <t>DOROTEA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57170-2025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46319</v>
      </c>
      <c r="F368" t="inlineStr">
        <is>
          <t>VÄSTERBOTTENS LÄN</t>
        </is>
      </c>
      <c r="G368" t="inlineStr">
        <is>
          <t>DOROTEA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20321-2026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46319</v>
      </c>
      <c r="F369" t="inlineStr">
        <is>
          <t>VÄSTERBOTTENS LÄN</t>
        </is>
      </c>
      <c r="G369" t="inlineStr">
        <is>
          <t>DOROTEA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20327-2026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46136</v>
      </c>
      <c r="E370" s="1" t="n">
        <v>46319</v>
      </c>
      <c r="F370" t="inlineStr">
        <is>
          <t>VÄSTERBOTTENS LÄN</t>
        </is>
      </c>
      <c r="G370" t="inlineStr">
        <is>
          <t>DOROTEA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63575-2025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46319</v>
      </c>
      <c r="F371" t="inlineStr">
        <is>
          <t>VÄSTERBOTTENS LÄN</t>
        </is>
      </c>
      <c r="G371" t="inlineStr">
        <is>
          <t>DOROTEA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44974</v>
      </c>
      <c r="E372" s="1" t="n">
        <v>46319</v>
      </c>
      <c r="F372" t="inlineStr">
        <is>
          <t>VÄSTERBOTTENS LÄN</t>
        </is>
      </c>
      <c r="G372" t="inlineStr">
        <is>
          <t>DOROTEA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53272-2024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45614</v>
      </c>
      <c r="E373" s="1" t="n">
        <v>46319</v>
      </c>
      <c r="F373" t="inlineStr">
        <is>
          <t>VÄSTERBOTTENS LÄN</t>
        </is>
      </c>
      <c r="G373" t="inlineStr">
        <is>
          <t>DOROTEA</t>
        </is>
      </c>
      <c r="I373" t="n">
        <v>31.7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55889-2022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44888</v>
      </c>
      <c r="E374" s="1" t="n">
        <v>46319</v>
      </c>
      <c r="F374" t="inlineStr">
        <is>
          <t>VÄSTERBOTTENS LÄN</t>
        </is>
      </c>
      <c r="G374" t="inlineStr">
        <is>
          <t>DOROTEA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46319</v>
      </c>
      <c r="F375" t="inlineStr">
        <is>
          <t>VÄSTERBOTTENS LÄN</t>
        </is>
      </c>
      <c r="G375" t="inlineStr">
        <is>
          <t>DOROTEA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53092-2024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45611</v>
      </c>
      <c r="E376" s="1" t="n">
        <v>46319</v>
      </c>
      <c r="F376" t="inlineStr">
        <is>
          <t>VÄSTERBOTTENS LÄN</t>
        </is>
      </c>
      <c r="G376" t="inlineStr">
        <is>
          <t>DOROTEA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42484-2024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45565</v>
      </c>
      <c r="E377" s="1" t="n">
        <v>46319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39721-2024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45552</v>
      </c>
      <c r="E378" s="1" t="n">
        <v>46319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59329-2025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45988</v>
      </c>
      <c r="E379" s="1" t="n">
        <v>46319</v>
      </c>
      <c r="F379" t="inlineStr">
        <is>
          <t>VÄSTERBOTTENS LÄN</t>
        </is>
      </c>
      <c r="G379" t="inlineStr">
        <is>
          <t>DOROTEA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7429-2023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44971</v>
      </c>
      <c r="E380" s="1" t="n">
        <v>46319</v>
      </c>
      <c r="F380" t="inlineStr">
        <is>
          <t>VÄSTERBOTTENS LÄN</t>
        </is>
      </c>
      <c r="G380" t="inlineStr">
        <is>
          <t>DOROTEA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7397-2025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46319</v>
      </c>
      <c r="F381" t="inlineStr">
        <is>
          <t>VÄSTERBOTTENS LÄN</t>
        </is>
      </c>
      <c r="G381" t="inlineStr">
        <is>
          <t>DOROTEA</t>
        </is>
      </c>
      <c r="I381" t="n">
        <v>13.3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45876</v>
      </c>
      <c r="E382" s="1" t="n">
        <v>46319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8247-2024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45351</v>
      </c>
      <c r="E383" s="1" t="n">
        <v>46319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6.9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43587-2026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46315</v>
      </c>
      <c r="E384" s="1" t="n">
        <v>46319</v>
      </c>
      <c r="F384" t="inlineStr">
        <is>
          <t>VÄSTERBOTTENS LÄN</t>
        </is>
      </c>
      <c r="G384" t="inlineStr">
        <is>
          <t>DOROTEA</t>
        </is>
      </c>
      <c r="I384" t="n">
        <v>8.699999999999999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46319</v>
      </c>
      <c r="F385" t="inlineStr">
        <is>
          <t>VÄSTERBOTTENS LÄN</t>
        </is>
      </c>
      <c r="G385" t="inlineStr">
        <is>
          <t>DOROTEA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46319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20286-2026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46319</v>
      </c>
      <c r="F387" t="inlineStr">
        <is>
          <t>VÄSTERBOTTENS LÄN</t>
        </is>
      </c>
      <c r="G387" t="inlineStr">
        <is>
          <t>DOROTEA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3098-2025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46319</v>
      </c>
      <c r="F388" t="inlineStr">
        <is>
          <t>VÄSTERBOTTENS LÄN</t>
        </is>
      </c>
      <c r="G388" t="inlineStr">
        <is>
          <t>DOROTEA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20755-2026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46319</v>
      </c>
      <c r="F389" t="inlineStr">
        <is>
          <t>VÄSTERBOTTENS LÄN</t>
        </is>
      </c>
      <c r="G389" t="inlineStr">
        <is>
          <t>DOROTEA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44956</v>
      </c>
      <c r="E390" s="1" t="n">
        <v>46319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46141</v>
      </c>
      <c r="E391" s="1" t="n">
        <v>46319</v>
      </c>
      <c r="F391" t="inlineStr">
        <is>
          <t>VÄSTERBOTTENS LÄN</t>
        </is>
      </c>
      <c r="G391" t="inlineStr">
        <is>
          <t>DOROTEA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23213-2022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44719</v>
      </c>
      <c r="E392" s="1" t="n">
        <v>46319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20231-2026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46319</v>
      </c>
      <c r="F393" t="inlineStr">
        <is>
          <t>VÄSTERBOTTENS LÄN</t>
        </is>
      </c>
      <c r="G393" t="inlineStr">
        <is>
          <t>DOROTEA</t>
        </is>
      </c>
      <c r="I393" t="n">
        <v>21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20680-2026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46141</v>
      </c>
      <c r="E394" s="1" t="n">
        <v>46319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22733-2023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45071</v>
      </c>
      <c r="E395" s="1" t="n">
        <v>46319</v>
      </c>
      <c r="F395" t="inlineStr">
        <is>
          <t>VÄSTERBOTTENS LÄN</t>
        </is>
      </c>
      <c r="G395" t="inlineStr">
        <is>
          <t>DOROTEA</t>
        </is>
      </c>
      <c r="I395" t="n">
        <v>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20290-2026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46136</v>
      </c>
      <c r="E396" s="1" t="n">
        <v>46319</v>
      </c>
      <c r="F396" t="inlineStr">
        <is>
          <t>VÄSTERBOTTENS LÄN</t>
        </is>
      </c>
      <c r="G396" t="inlineStr">
        <is>
          <t>DOROTEA</t>
        </is>
      </c>
      <c r="I396" t="n">
        <v>17.8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22942-2024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45448</v>
      </c>
      <c r="E397" s="1" t="n">
        <v>46319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41539-2026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46301</v>
      </c>
      <c r="E398" s="1" t="n">
        <v>46319</v>
      </c>
      <c r="F398" t="inlineStr">
        <is>
          <t>VÄSTERBOTTENS LÄN</t>
        </is>
      </c>
      <c r="G398" t="inlineStr">
        <is>
          <t>DOROTEA</t>
        </is>
      </c>
      <c r="I398" t="n">
        <v>10.5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46146</v>
      </c>
      <c r="E399" s="1" t="n">
        <v>46319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43946-2026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46317</v>
      </c>
      <c r="E400" s="1" t="n">
        <v>46319</v>
      </c>
      <c r="F400" t="inlineStr">
        <is>
          <t>VÄSTERBOTTENS LÄN</t>
        </is>
      </c>
      <c r="G400" t="inlineStr">
        <is>
          <t>DOROTEA</t>
        </is>
      </c>
      <c r="I400" t="n">
        <v>6.5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21152-2026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46319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21338-2026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46147</v>
      </c>
      <c r="E402" s="1" t="n">
        <v>46319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21332-2026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46147</v>
      </c>
      <c r="E403" s="1" t="n">
        <v>46319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5834-2023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46319</v>
      </c>
      <c r="F404" t="inlineStr">
        <is>
          <t>VÄSTERBOTTENS LÄN</t>
        </is>
      </c>
      <c r="G404" t="inlineStr">
        <is>
          <t>DOROTEA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21749-2026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46149</v>
      </c>
      <c r="E405" s="1" t="n">
        <v>46319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21812-2026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46150</v>
      </c>
      <c r="E406" s="1" t="n">
        <v>46319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46150</v>
      </c>
      <c r="E407" s="1" t="n">
        <v>46319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12.8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27762-2026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46319</v>
      </c>
      <c r="F408" t="inlineStr">
        <is>
          <t>VÄSTERBOTTENS LÄN</t>
        </is>
      </c>
      <c r="G408" t="inlineStr">
        <is>
          <t>DOROTEA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27777-2026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46189</v>
      </c>
      <c r="E409" s="1" t="n">
        <v>46319</v>
      </c>
      <c r="F409" t="inlineStr">
        <is>
          <t>VÄSTERBOTTENS LÄN</t>
        </is>
      </c>
      <c r="G409" t="inlineStr">
        <is>
          <t>DOROTEA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27780-2026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46189</v>
      </c>
      <c r="E410" s="1" t="n">
        <v>46319</v>
      </c>
      <c r="F410" t="inlineStr">
        <is>
          <t>VÄSTERBOTTENS LÄN</t>
        </is>
      </c>
      <c r="G410" t="inlineStr">
        <is>
          <t>DOROTEA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22128-2026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46153</v>
      </c>
      <c r="E411" s="1" t="n">
        <v>46319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55888-2022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44888</v>
      </c>
      <c r="E412" s="1" t="n">
        <v>46319</v>
      </c>
      <c r="F412" t="inlineStr">
        <is>
          <t>VÄSTERBOTTENS LÄN</t>
        </is>
      </c>
      <c r="G412" t="inlineStr">
        <is>
          <t>DOROTEA</t>
        </is>
      </c>
      <c r="I412" t="n">
        <v>7.6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22214-2026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46153</v>
      </c>
      <c r="E413" s="1" t="n">
        <v>46319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16.4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6621-2023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44960</v>
      </c>
      <c r="E414" s="1" t="n">
        <v>46319</v>
      </c>
      <c r="F414" t="inlineStr">
        <is>
          <t>VÄSTERBOTTENS LÄN</t>
        </is>
      </c>
      <c r="G414" t="inlineStr">
        <is>
          <t>DOROTEA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45747</v>
      </c>
      <c r="E415" s="1" t="n">
        <v>46319</v>
      </c>
      <c r="F415" t="inlineStr">
        <is>
          <t>VÄSTERBOTTENS LÄN</t>
        </is>
      </c>
      <c r="G415" t="inlineStr">
        <is>
          <t>DOROTEA</t>
        </is>
      </c>
      <c r="I415" t="n">
        <v>10.3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25028-2024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45461</v>
      </c>
      <c r="E416" s="1" t="n">
        <v>46319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22650-2026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46155</v>
      </c>
      <c r="E417" s="1" t="n">
        <v>46319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15735-2026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46107</v>
      </c>
      <c r="E418" s="1" t="n">
        <v>46319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45161</v>
      </c>
      <c r="E419" s="1" t="n">
        <v>46319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38096-2025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45882</v>
      </c>
      <c r="E420" s="1" t="n">
        <v>46319</v>
      </c>
      <c r="F420" t="inlineStr">
        <is>
          <t>VÄSTERBOTTENS LÄN</t>
        </is>
      </c>
      <c r="G420" t="inlineStr">
        <is>
          <t>DOROTEA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4617-2023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44956</v>
      </c>
      <c r="E421" s="1" t="n">
        <v>46319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33372-2024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45519</v>
      </c>
      <c r="E422" s="1" t="n">
        <v>46319</v>
      </c>
      <c r="F422" t="inlineStr">
        <is>
          <t>VÄSTERBOTTENS LÄN</t>
        </is>
      </c>
      <c r="G422" t="inlineStr">
        <is>
          <t>DOROTEA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60162-2024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45642</v>
      </c>
      <c r="E423" s="1" t="n">
        <v>46319</v>
      </c>
      <c r="F423" t="inlineStr">
        <is>
          <t>VÄSTERBOTTENS LÄN</t>
        </is>
      </c>
      <c r="G423" t="inlineStr">
        <is>
          <t>DOROTEA</t>
        </is>
      </c>
      <c r="I423" t="n">
        <v>4.7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60163-2024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45642</v>
      </c>
      <c r="E424" s="1" t="n">
        <v>46319</v>
      </c>
      <c r="F424" t="inlineStr">
        <is>
          <t>VÄSTERBOTTENS LÄN</t>
        </is>
      </c>
      <c r="G424" t="inlineStr">
        <is>
          <t>DOROTEA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34101-2023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45125</v>
      </c>
      <c r="E425" s="1" t="n">
        <v>46319</v>
      </c>
      <c r="F425" t="inlineStr">
        <is>
          <t>VÄSTERBOTTENS LÄN</t>
        </is>
      </c>
      <c r="G425" t="inlineStr">
        <is>
          <t>DOROTEA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43092-2023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46319</v>
      </c>
      <c r="F426" t="inlineStr">
        <is>
          <t>VÄSTERBOTTENS LÄN</t>
        </is>
      </c>
      <c r="G426" t="inlineStr">
        <is>
          <t>DOROTEA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58313-2024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45632</v>
      </c>
      <c r="E427" s="1" t="n">
        <v>46319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36137-2023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45149</v>
      </c>
      <c r="E428" s="1" t="n">
        <v>46319</v>
      </c>
      <c r="F428" t="inlineStr">
        <is>
          <t>VÄSTERBOTTENS LÄN</t>
        </is>
      </c>
      <c r="G428" t="inlineStr">
        <is>
          <t>DOROTEA</t>
        </is>
      </c>
      <c r="I428" t="n">
        <v>5.4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40434-2023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45169</v>
      </c>
      <c r="E429" s="1" t="n">
        <v>46319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46818-2023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45198</v>
      </c>
      <c r="E430" s="1" t="n">
        <v>46319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41104-2023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45170</v>
      </c>
      <c r="E431" s="1" t="n">
        <v>46319</v>
      </c>
      <c r="F431" t="inlineStr">
        <is>
          <t>VÄSTERBOTTENS LÄN</t>
        </is>
      </c>
      <c r="G431" t="inlineStr">
        <is>
          <t>DOROTEA</t>
        </is>
      </c>
      <c r="I431" t="n">
        <v>6.1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60145-2021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44494</v>
      </c>
      <c r="E432" s="1" t="n">
        <v>46319</v>
      </c>
      <c r="F432" t="inlineStr">
        <is>
          <t>VÄSTERBOTTENS LÄN</t>
        </is>
      </c>
      <c r="G432" t="inlineStr">
        <is>
          <t>DOROTEA</t>
        </is>
      </c>
      <c r="I432" t="n">
        <v>13.3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59007-2024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45636</v>
      </c>
      <c r="E433" s="1" t="n">
        <v>46319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10400-2025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46319</v>
      </c>
      <c r="F434" t="inlineStr">
        <is>
          <t>VÄSTERBOTTENS LÄN</t>
        </is>
      </c>
      <c r="G434" t="inlineStr">
        <is>
          <t>DOROTEA</t>
        </is>
      </c>
      <c r="H434" t="inlineStr">
        <is>
          <t>SCA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27909-2024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45475</v>
      </c>
      <c r="E435" s="1" t="n">
        <v>46319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13.2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45013</v>
      </c>
      <c r="E436" s="1" t="n">
        <v>46319</v>
      </c>
      <c r="F436" t="inlineStr">
        <is>
          <t>VÄSTERBOTTENS LÄN</t>
        </is>
      </c>
      <c r="G436" t="inlineStr">
        <is>
          <t>DOROTEA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57236-2022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44889</v>
      </c>
      <c r="E437" s="1" t="n">
        <v>46319</v>
      </c>
      <c r="F437" t="inlineStr">
        <is>
          <t>VÄSTERBOTTENS LÄN</t>
        </is>
      </c>
      <c r="G437" t="inlineStr">
        <is>
          <t>DOROTEA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57071-2023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45244</v>
      </c>
      <c r="E438" s="1" t="n">
        <v>46319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45111</v>
      </c>
      <c r="E439" s="1" t="n">
        <v>46319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44568</v>
      </c>
      <c r="E440" s="1" t="n">
        <v>46319</v>
      </c>
      <c r="F440" t="inlineStr">
        <is>
          <t>VÄSTERBOTTENS LÄN</t>
        </is>
      </c>
      <c r="G440" t="inlineStr">
        <is>
          <t>DOROTEA</t>
        </is>
      </c>
      <c r="I440" t="n">
        <v>5.4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45757</v>
      </c>
      <c r="E441" s="1" t="n">
        <v>46319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17787-2023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45036</v>
      </c>
      <c r="E442" s="1" t="n">
        <v>46319</v>
      </c>
      <c r="F442" t="inlineStr">
        <is>
          <t>VÄSTERBOTTENS LÄN</t>
        </is>
      </c>
      <c r="G442" t="inlineStr">
        <is>
          <t>DOROTEA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41771-2024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46319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55919-2023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45239</v>
      </c>
      <c r="E444" s="1" t="n">
        <v>46319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7.2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22580-2023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45069</v>
      </c>
      <c r="E445" s="1" t="n">
        <v>46319</v>
      </c>
      <c r="F445" t="inlineStr">
        <is>
          <t>VÄSTERBOTTENS LÄN</t>
        </is>
      </c>
      <c r="G445" t="inlineStr">
        <is>
          <t>DOROTEA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9102-2023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44979</v>
      </c>
      <c r="E446" s="1" t="n">
        <v>46319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45036</v>
      </c>
      <c r="E447" s="1" t="n">
        <v>46319</v>
      </c>
      <c r="F447" t="inlineStr">
        <is>
          <t>VÄSTERBOTTENS LÄN</t>
        </is>
      </c>
      <c r="G447" t="inlineStr">
        <is>
          <t>DOROTEA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29645-2023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46319</v>
      </c>
      <c r="F448" t="inlineStr">
        <is>
          <t>VÄSTERBOTTENS LÄN</t>
        </is>
      </c>
      <c r="G448" t="inlineStr">
        <is>
          <t>DOROTEA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40599-2024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45556</v>
      </c>
      <c r="E449" s="1" t="n">
        <v>46319</v>
      </c>
      <c r="F449" t="inlineStr">
        <is>
          <t>VÄSTERBOTTENS LÄN</t>
        </is>
      </c>
      <c r="G449" t="inlineStr">
        <is>
          <t>DOROTEA</t>
        </is>
      </c>
      <c r="I449" t="n">
        <v>5.8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46966-2024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45586</v>
      </c>
      <c r="E450" s="1" t="n">
        <v>46319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42515-2023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45180</v>
      </c>
      <c r="E451" s="1" t="n">
        <v>46319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27.7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10649-2025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45721</v>
      </c>
      <c r="E452" s="1" t="n">
        <v>46319</v>
      </c>
      <c r="F452" t="inlineStr">
        <is>
          <t>VÄSTERBOTTENS LÄN</t>
        </is>
      </c>
      <c r="G452" t="inlineStr">
        <is>
          <t>DOROTEA</t>
        </is>
      </c>
      <c r="H452" t="inlineStr">
        <is>
          <t>SCA</t>
        </is>
      </c>
      <c r="I452" t="n">
        <v>12.2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5495-2024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45331</v>
      </c>
      <c r="E453" s="1" t="n">
        <v>46319</v>
      </c>
      <c r="F453" t="inlineStr">
        <is>
          <t>VÄSTERBOTTENS LÄN</t>
        </is>
      </c>
      <c r="G453" t="inlineStr">
        <is>
          <t>DOROTEA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23300-2023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45075</v>
      </c>
      <c r="E454" s="1" t="n">
        <v>46319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17658-2023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45036</v>
      </c>
      <c r="E455" s="1" t="n">
        <v>46319</v>
      </c>
      <c r="F455" t="inlineStr">
        <is>
          <t>VÄSTERBOTTENS LÄN</t>
        </is>
      </c>
      <c r="G455" t="inlineStr">
        <is>
          <t>DOROTEA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35990-2023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45148</v>
      </c>
      <c r="E456" s="1" t="n">
        <v>46319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53357-2024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45614</v>
      </c>
      <c r="E457" s="1" t="n">
        <v>46319</v>
      </c>
      <c r="F457" t="inlineStr">
        <is>
          <t>VÄSTERBOTTENS LÄN</t>
        </is>
      </c>
      <c r="G457" t="inlineStr">
        <is>
          <t>DOROTEA</t>
        </is>
      </c>
      <c r="I457" t="n">
        <v>26.5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45672</v>
      </c>
      <c r="E458" s="1" t="n">
        <v>46319</v>
      </c>
      <c r="F458" t="inlineStr">
        <is>
          <t>VÄSTERBOTTENS LÄN</t>
        </is>
      </c>
      <c r="G458" t="inlineStr">
        <is>
          <t>DOROTEA</t>
        </is>
      </c>
      <c r="H458" t="inlineStr">
        <is>
          <t>Kommuner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27558-2022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44742</v>
      </c>
      <c r="E459" s="1" t="n">
        <v>46319</v>
      </c>
      <c r="F459" t="inlineStr">
        <is>
          <t>VÄSTERBOTTENS LÄN</t>
        </is>
      </c>
      <c r="G459" t="inlineStr">
        <is>
          <t>DOROTEA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52148-2023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46319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40438-2023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45169</v>
      </c>
      <c r="E461" s="1" t="n">
        <v>46319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46319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19726-2025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46319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28717-2022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44748</v>
      </c>
      <c r="E464" s="1" t="n">
        <v>46319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47494-2023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45202</v>
      </c>
      <c r="E465" s="1" t="n">
        <v>46319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44974</v>
      </c>
      <c r="E466" s="1" t="n">
        <v>46319</v>
      </c>
      <c r="F466" t="inlineStr">
        <is>
          <t>VÄSTERBOTTENS LÄN</t>
        </is>
      </c>
      <c r="G466" t="inlineStr">
        <is>
          <t>DOROTEA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57794-2023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45246</v>
      </c>
      <c r="E467" s="1" t="n">
        <v>46319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45642</v>
      </c>
      <c r="E468" s="1" t="n">
        <v>46319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14163-2024</t>
        </is>
      </c>
      <c r="B469" t="inlineStr">
        <is>
          <t>avverkningsanmälan</t>
        </is>
      </c>
      <c r="C469" t="inlineStr">
        <is>
          <t>Avverkning för att bevara och utveckla /försöksver</t>
        </is>
      </c>
      <c r="D469" s="1" t="n">
        <v>45392</v>
      </c>
      <c r="E469" s="1" t="n">
        <v>46319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38700-2024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45547</v>
      </c>
      <c r="E470" s="1" t="n">
        <v>46319</v>
      </c>
      <c r="F470" t="inlineStr">
        <is>
          <t>VÄSTERBOTTENS LÄN</t>
        </is>
      </c>
      <c r="G470" t="inlineStr">
        <is>
          <t>DOROTEA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46817-2022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44848</v>
      </c>
      <c r="E471" s="1" t="n">
        <v>46319</v>
      </c>
      <c r="F471" t="inlineStr">
        <is>
          <t>VÄSTERBOTTENS LÄN</t>
        </is>
      </c>
      <c r="G471" t="inlineStr">
        <is>
          <t>DOROTEA</t>
        </is>
      </c>
      <c r="I471" t="n">
        <v>29.8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42473-2024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45565</v>
      </c>
      <c r="E472" s="1" t="n">
        <v>46319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2945-2024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45506</v>
      </c>
      <c r="E473" s="1" t="n">
        <v>46319</v>
      </c>
      <c r="F473" t="inlineStr">
        <is>
          <t>VÄSTERBOTTENS LÄN</t>
        </is>
      </c>
      <c r="G473" t="inlineStr">
        <is>
          <t>DOROTEA</t>
        </is>
      </c>
      <c r="H473" t="inlineStr">
        <is>
          <t>SCA</t>
        </is>
      </c>
      <c r="I473" t="n">
        <v>10.2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1058-2025</t>
        </is>
      </c>
      <c r="B474" t="inlineStr">
        <is>
          <t>samrådsanmälan</t>
        </is>
      </c>
      <c r="C474" t="inlineStr">
        <is>
          <t>Skogsgödsling</t>
        </is>
      </c>
      <c r="D474" s="1" t="n">
        <v>45749</v>
      </c>
      <c r="E474" s="1" t="n">
        <v>46319</v>
      </c>
      <c r="F474" t="inlineStr">
        <is>
          <t>VÄSTERBOTTENS LÄN</t>
        </is>
      </c>
      <c r="G474" t="inlineStr">
        <is>
          <t>DOROTEA</t>
        </is>
      </c>
      <c r="I474" t="n">
        <v>10.9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844-2025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45733</v>
      </c>
      <c r="E475" s="1" t="n">
        <v>46319</v>
      </c>
      <c r="F475" t="inlineStr">
        <is>
          <t>VÄSTERBOTTENS LÄN</t>
        </is>
      </c>
      <c r="G475" t="inlineStr">
        <is>
          <t>DOROTEA</t>
        </is>
      </c>
      <c r="H475" t="inlineStr">
        <is>
          <t>SCA</t>
        </is>
      </c>
      <c r="I475" t="n">
        <v>1293.5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2195-2025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45858</v>
      </c>
      <c r="E476" s="1" t="n">
        <v>46319</v>
      </c>
      <c r="F476" t="inlineStr">
        <is>
          <t>VÄSTERBOTTENS LÄN</t>
        </is>
      </c>
      <c r="G476" t="inlineStr">
        <is>
          <t>DOROTEA</t>
        </is>
      </c>
      <c r="I476" t="n">
        <v>27.4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2283-2025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45876</v>
      </c>
      <c r="E477" s="1" t="n">
        <v>46319</v>
      </c>
      <c r="F477" t="inlineStr">
        <is>
          <t>VÄSTERBOTTENS LÄN</t>
        </is>
      </c>
      <c r="G477" t="inlineStr">
        <is>
          <t>DOROTEA</t>
        </is>
      </c>
      <c r="H477" t="inlineStr">
        <is>
          <t>SCA</t>
        </is>
      </c>
      <c r="I477" t="n">
        <v>10.1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2360-2025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45889</v>
      </c>
      <c r="E478" s="1" t="n">
        <v>46319</v>
      </c>
      <c r="F478" t="inlineStr">
        <is>
          <t>VÄSTERBOTTENS LÄN</t>
        </is>
      </c>
      <c r="G478" t="inlineStr">
        <is>
          <t>DOROTEA</t>
        </is>
      </c>
      <c r="H478" t="inlineStr">
        <is>
          <t>SCA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2407-2026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46279</v>
      </c>
      <c r="E479" s="1" t="n">
        <v>46319</v>
      </c>
      <c r="F479" t="inlineStr">
        <is>
          <t>VÄSTERBOTTENS LÄN</t>
        </is>
      </c>
      <c r="G479" t="inlineStr">
        <is>
          <t>DOROTEA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>
      <c r="A480" t="inlineStr">
        <is>
          <t>S 1763-2026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46189</v>
      </c>
      <c r="E480" s="1" t="n">
        <v>46319</v>
      </c>
      <c r="F480" t="inlineStr">
        <is>
          <t>VÄSTERBOTTENS LÄN</t>
        </is>
      </c>
      <c r="G480" t="inlineStr">
        <is>
          <t>DOROTEA</t>
        </is>
      </c>
      <c r="H480" t="inlineStr">
        <is>
          <t>SCA</t>
        </is>
      </c>
      <c r="I480" t="n">
        <v>13.2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2026-10-24T01:59:13Z</dcterms:created>
  <dcterms:modified xmlns:dcterms="http://purl.org/dc/terms/" xmlns:xsi="http://www.w3.org/2001/XMLSchema-instance" xsi:type="dcterms:W3CDTF">2026-10-24T01:59:13Z</dcterms:modified>
</cp:coreProperties>
</file>