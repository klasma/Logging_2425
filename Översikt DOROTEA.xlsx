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46291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46291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46291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46291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46291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46291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46291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46291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46291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46291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46291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46291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46291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46291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57783-2025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46291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8.5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Gammelgransskål
Tretåig hackspett</t>
        </is>
      </c>
      <c r="W19">
        <f>HYPERLINK("https://klasma.github.io/Logging_2425/artfynd/A 57783-2025 artfynd.xlsx", "A 57783-2025")</f>
        <v/>
      </c>
      <c r="X19">
        <f>HYPERLINK("https://klasma.github.io/Logging_2425/kartor/A 57783-2025 karta.png", "A 57783-2025")</f>
        <v/>
      </c>
      <c r="Y19">
        <f>HYPERLINK("https://klasma.github.io/Logging_2425/kartor_geotiff/A 57783-2025 georefererad karta.tif", "A 57783-2025")</f>
        <v/>
      </c>
      <c r="AA19">
        <f>HYPERLINK("https://klasma.github.io/Logging_2425/klagomål/A 57783-2025 FSC-klagomål.docx", "A 57783-2025")</f>
        <v/>
      </c>
      <c r="AB19">
        <f>HYPERLINK("https://klasma.github.io/Logging_2425/klagomålsmail/A 57783-2025 FSC-klagomål mail.docx", "A 57783-2025")</f>
        <v/>
      </c>
      <c r="AC19">
        <f>HYPERLINK("https://klasma.github.io/Logging_2425/tillsyn/A 57783-2025 tillsynsbegäran.docx", "A 57783-2025")</f>
        <v/>
      </c>
      <c r="AD19">
        <f>HYPERLINK("https://klasma.github.io/Logging_2425/tillsynsmail/A 57783-2025 tillsynsbegäran mail.docx", "A 57783-2025")</f>
        <v/>
      </c>
      <c r="AE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46291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46291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46291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46291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46291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46047</v>
      </c>
      <c r="E25" s="1" t="n">
        <v>46291</v>
      </c>
      <c r="F25" t="inlineStr">
        <is>
          <t>VÄSTERBOTTENS LÄN</t>
        </is>
      </c>
      <c r="G25" t="inlineStr">
        <is>
          <t>DOROTEA</t>
        </is>
      </c>
      <c r="I25" t="n">
        <v>6.1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Violettkantad guldvinge
Kricka</t>
        </is>
      </c>
      <c r="W25">
        <f>HYPERLINK("https://klasma.github.io/Logging_2425/artfynd/A 4554-2026 artfynd.xlsx", "A 4554-2026")</f>
        <v/>
      </c>
      <c r="X25">
        <f>HYPERLINK("https://klasma.github.io/Logging_2425/kartor/A 4554-2026 karta.png", "A 4554-2026")</f>
        <v/>
      </c>
      <c r="Y25">
        <f>HYPERLINK("https://klasma.github.io/Logging_2425/kartor_geotiff/A 4554-2026 georefererad karta.tif", "A 4554-2026")</f>
        <v/>
      </c>
      <c r="AA25">
        <f>HYPERLINK("https://klasma.github.io/Logging_2425/klagomål/A 4554-2026 FSC-klagomål.docx", "A 4554-2026")</f>
        <v/>
      </c>
      <c r="AB25">
        <f>HYPERLINK("https://klasma.github.io/Logging_2425/klagomålsmail/A 4554-2026 FSC-klagomål mail.docx", "A 4554-2026")</f>
        <v/>
      </c>
      <c r="AC25">
        <f>HYPERLINK("https://klasma.github.io/Logging_2425/tillsyn/A 4554-2026 tillsynsbegäran.docx", "A 4554-2026")</f>
        <v/>
      </c>
      <c r="AD25">
        <f>HYPERLINK("https://klasma.github.io/Logging_2425/tillsynsmail/A 4554-2026 tillsynsbegäran mail.docx", "A 4554-2026")</f>
        <v/>
      </c>
      <c r="AE25">
        <f>HYPERLINK("https://klasma.github.io/Logging_2425/fåglar/A 4554-2026 prioriterade fågelarter.docx", "A 4554-2026")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46291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46291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46291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58736-2022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44902</v>
      </c>
      <c r="E29" s="1" t="n">
        <v>46291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58736-2022 artfynd.xlsx", "A 58736-2022")</f>
        <v/>
      </c>
      <c r="X29">
        <f>HYPERLINK("https://klasma.github.io/Logging_2425/kartor/A 58736-2022 karta.png", "A 58736-2022")</f>
        <v/>
      </c>
      <c r="Y29">
        <f>HYPERLINK("https://klasma.github.io/Logging_2425/kartor_geotiff/A 58736-2022 georefererad karta.tif", "A 58736-2022")</f>
        <v/>
      </c>
      <c r="AA29">
        <f>HYPERLINK("https://klasma.github.io/Logging_2425/klagomål/A 58736-2022 FSC-klagomål.docx", "A 58736-2022")</f>
        <v/>
      </c>
      <c r="AB29">
        <f>HYPERLINK("https://klasma.github.io/Logging_2425/klagomålsmail/A 58736-2022 FSC-klagomål mail.docx", "A 58736-2022")</f>
        <v/>
      </c>
      <c r="AC29">
        <f>HYPERLINK("https://klasma.github.io/Logging_2425/tillsyn/A 58736-2022 tillsynsbegäran.docx", "A 58736-2022")</f>
        <v/>
      </c>
      <c r="AD29">
        <f>HYPERLINK("https://klasma.github.io/Logging_2425/tillsynsmail/A 58736-2022 tillsynsbegäran mail.docx", "A 58736-2022")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46291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35336-2026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46291</v>
      </c>
      <c r="F31" t="inlineStr">
        <is>
          <t>VÄSTERBOTTENS LÄN</t>
        </is>
      </c>
      <c r="G31" t="inlineStr">
        <is>
          <t>DOROTEA</t>
        </is>
      </c>
      <c r="I31" t="n">
        <v>4.2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Blodticka</t>
        </is>
      </c>
      <c r="W31">
        <f>HYPERLINK("https://klasma.github.io/Logging_2425/artfynd/A 35336-2026 artfynd.xlsx", "A 35336-2026")</f>
        <v/>
      </c>
      <c r="X31">
        <f>HYPERLINK("https://klasma.github.io/Logging_2425/kartor/A 35336-2026 karta.png", "A 35336-2026")</f>
        <v/>
      </c>
      <c r="Y31">
        <f>HYPERLINK("https://klasma.github.io/Logging_2425/kartor_geotiff/A 35336-2026 georefererad karta.tif", "A 35336-2026")</f>
        <v/>
      </c>
      <c r="AA31">
        <f>HYPERLINK("https://klasma.github.io/Logging_2425/klagomål/A 35336-2026 FSC-klagomål.docx", "A 35336-2026")</f>
        <v/>
      </c>
      <c r="AB31">
        <f>HYPERLINK("https://klasma.github.io/Logging_2425/klagomålsmail/A 35336-2026 FSC-klagomål mail.docx", "A 35336-2026")</f>
        <v/>
      </c>
      <c r="AC31">
        <f>HYPERLINK("https://klasma.github.io/Logging_2425/tillsyn/A 35336-2026 tillsynsbegäran.docx", "A 35336-2026")</f>
        <v/>
      </c>
      <c r="AD31">
        <f>HYPERLINK("https://klasma.github.io/Logging_2425/tillsynsmail/A 35336-2026 tillsynsbegäran mail.docx", "A 35336-2026")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46291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46291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46291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46291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46291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41079-2025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46291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HYPERLINK("https://klasma.github.io/Logging_2425/artfynd/A 41079-2025 artfynd.xlsx", "A 41079-2025")</f>
        <v/>
      </c>
      <c r="X37">
        <f>HYPERLINK("https://klasma.github.io/Logging_2425/kartor/A 41079-2025 karta.png", "A 41079-2025")</f>
        <v/>
      </c>
      <c r="Y37">
        <f>HYPERLINK("https://klasma.github.io/Logging_2425/kartor_geotiff/A 41079-2025 georefererad karta.tif", "A 41079-2025")</f>
        <v/>
      </c>
      <c r="AA37">
        <f>HYPERLINK("https://klasma.github.io/Logging_2425/klagomål/A 41079-2025 FSC-klagomål.docx", "A 41079-2025")</f>
        <v/>
      </c>
      <c r="AB37">
        <f>HYPERLINK("https://klasma.github.io/Logging_2425/klagomålsmail/A 41079-2025 FSC-klagomål mail.docx", "A 41079-2025")</f>
        <v/>
      </c>
      <c r="AC37">
        <f>HYPERLINK("https://klasma.github.io/Logging_2425/tillsyn/A 41079-2025 tillsynsbegäran.docx", "A 41079-2025")</f>
        <v/>
      </c>
      <c r="AD37">
        <f>HYPERLINK("https://klasma.github.io/Logging_2425/tillsynsmail/A 41079-2025 tillsynsbegäran mail.docx", "A 41079-2025")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46291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46291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46291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46291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46291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46291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21926-2026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46291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Stuplav</t>
        </is>
      </c>
      <c r="W44">
        <f>HYPERLINK("https://klasma.github.io/Logging_2425/artfynd/A 21926-2026 artfynd.xlsx", "A 21926-2026")</f>
        <v/>
      </c>
      <c r="X44">
        <f>HYPERLINK("https://klasma.github.io/Logging_2425/kartor/A 21926-2026 karta.png", "A 21926-2026")</f>
        <v/>
      </c>
      <c r="Y44">
        <f>HYPERLINK("https://klasma.github.io/Logging_2425/kartor_geotiff/A 21926-2026 georefererad karta.tif", "A 21926-2026")</f>
        <v/>
      </c>
      <c r="AA44">
        <f>HYPERLINK("https://klasma.github.io/Logging_2425/klagomål/A 21926-2026 FSC-klagomål.docx", "A 21926-2026")</f>
        <v/>
      </c>
      <c r="AB44">
        <f>HYPERLINK("https://klasma.github.io/Logging_2425/klagomålsmail/A 21926-2026 FSC-klagomål mail.docx", "A 21926-2026")</f>
        <v/>
      </c>
      <c r="AC44">
        <f>HYPERLINK("https://klasma.github.io/Logging_2425/tillsyn/A 21926-2026 tillsynsbegäran.docx", "A 21926-2026")</f>
        <v/>
      </c>
      <c r="AD44">
        <f>HYPERLINK("https://klasma.github.io/Logging_2425/tillsynsmail/A 21926-2026 tillsynsbegäran mail.docx", "A 21926-2026")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46291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46291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57058-2024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46291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57058-2024 artfynd.xlsx", "A 57058-2024")</f>
        <v/>
      </c>
      <c r="X47">
        <f>HYPERLINK("https://klasma.github.io/Logging_2425/kartor/A 57058-2024 karta.png", "A 57058-2024")</f>
        <v/>
      </c>
      <c r="Y47">
        <f>HYPERLINK("https://klasma.github.io/Logging_2425/kartor_geotiff/A 57058-2024 georefererad karta.tif", "A 57058-2024")</f>
        <v/>
      </c>
      <c r="AA47">
        <f>HYPERLINK("https://klasma.github.io/Logging_2425/klagomål/A 57058-2024 FSC-klagomål.docx", "A 57058-2024")</f>
        <v/>
      </c>
      <c r="AB47">
        <f>HYPERLINK("https://klasma.github.io/Logging_2425/klagomålsmail/A 57058-2024 FSC-klagomål mail.docx", "A 57058-2024")</f>
        <v/>
      </c>
      <c r="AC47">
        <f>HYPERLINK("https://klasma.github.io/Logging_2425/tillsyn/A 57058-2024 tillsynsbegäran.docx", "A 57058-2024")</f>
        <v/>
      </c>
      <c r="AD47">
        <f>HYPERLINK("https://klasma.github.io/Logging_2425/tillsynsmail/A 57058-2024 tillsynsbegäran mail.docx", "A 57058-2024")</f>
        <v/>
      </c>
    </row>
    <row r="48" ht="15" customHeight="1">
      <c r="A48" t="inlineStr">
        <is>
          <t>A 30357-2026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46209</v>
      </c>
      <c r="E48" s="1" t="n">
        <v>46291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Tajgahumla</t>
        </is>
      </c>
      <c r="W48">
        <f>HYPERLINK("https://klasma.github.io/Logging_2425/artfynd/A 30357-2026 artfynd.xlsx", "A 30357-2026")</f>
        <v/>
      </c>
      <c r="X48">
        <f>HYPERLINK("https://klasma.github.io/Logging_2425/kartor/A 30357-2026 karta.png", "A 30357-2026")</f>
        <v/>
      </c>
      <c r="Y48">
        <f>HYPERLINK("https://klasma.github.io/Logging_2425/kartor_geotiff/A 30357-2026 georefererad karta.tif", "A 30357-2026")</f>
        <v/>
      </c>
      <c r="AA48">
        <f>HYPERLINK("https://klasma.github.io/Logging_2425/klagomål/A 30357-2026 FSC-klagomål.docx", "A 30357-2026")</f>
        <v/>
      </c>
      <c r="AB48">
        <f>HYPERLINK("https://klasma.github.io/Logging_2425/klagomålsmail/A 30357-2026 FSC-klagomål mail.docx", "A 30357-2026")</f>
        <v/>
      </c>
      <c r="AC48">
        <f>HYPERLINK("https://klasma.github.io/Logging_2425/tillsyn/A 30357-2026 tillsynsbegäran.docx", "A 30357-2026")</f>
        <v/>
      </c>
      <c r="AD48">
        <f>HYPERLINK("https://klasma.github.io/Logging_2425/tillsynsmail/A 30357-2026 tillsynsbegäran mail.docx", "A 30357-2026")</f>
        <v/>
      </c>
    </row>
    <row r="49" ht="15" customHeight="1">
      <c r="A49" t="inlineStr">
        <is>
          <t>A 53309-2022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44878</v>
      </c>
      <c r="E49" s="1" t="n">
        <v>46291</v>
      </c>
      <c r="F49" t="inlineStr">
        <is>
          <t>VÄSTERBOTTENS LÄN</t>
        </is>
      </c>
      <c r="G49" t="inlineStr">
        <is>
          <t>DOROTEA</t>
        </is>
      </c>
      <c r="I49" t="n">
        <v>6.6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Göktyta</t>
        </is>
      </c>
      <c r="W49">
        <f>HYPERLINK("https://klasma.github.io/Logging_2425/artfynd/A 53309-2022 artfynd.xlsx", "A 53309-2022")</f>
        <v/>
      </c>
      <c r="X49">
        <f>HYPERLINK("https://klasma.github.io/Logging_2425/kartor/A 53309-2022 karta.png", "A 53309-2022")</f>
        <v/>
      </c>
      <c r="Y49">
        <f>HYPERLINK("https://klasma.github.io/Logging_2425/kartor_geotiff/A 53309-2022 georefererad karta.tif", "A 53309-2022")</f>
        <v/>
      </c>
      <c r="AA49">
        <f>HYPERLINK("https://klasma.github.io/Logging_2425/klagomål/A 53309-2022 FSC-klagomål.docx", "A 53309-2022")</f>
        <v/>
      </c>
      <c r="AB49">
        <f>HYPERLINK("https://klasma.github.io/Logging_2425/klagomålsmail/A 53309-2022 FSC-klagomål mail.docx", "A 53309-2022")</f>
        <v/>
      </c>
      <c r="AC49">
        <f>HYPERLINK("https://klasma.github.io/Logging_2425/tillsyn/A 53309-2022 tillsynsbegäran.docx", "A 53309-2022")</f>
        <v/>
      </c>
      <c r="AD49">
        <f>HYPERLINK("https://klasma.github.io/Logging_2425/tillsynsmail/A 53309-2022 tillsynsbegäran mail.docx", "A 53309-2022")</f>
        <v/>
      </c>
      <c r="AE49">
        <f>HYPERLINK("https://klasma.github.io/Logging_2425/fåglar/A 53309-2022 prioriterade fågelarter.docx", "A 53309-2022")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46291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35297-2026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46291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5.5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Harticka</t>
        </is>
      </c>
      <c r="W51">
        <f>HYPERLINK("https://klasma.github.io/Logging_2425/artfynd/A 35297-2026 artfynd.xlsx", "A 35297-2026")</f>
        <v/>
      </c>
      <c r="X51">
        <f>HYPERLINK("https://klasma.github.io/Logging_2425/kartor/A 35297-2026 karta.png", "A 35297-2026")</f>
        <v/>
      </c>
      <c r="Y51">
        <f>HYPERLINK("https://klasma.github.io/Logging_2425/kartor_geotiff/A 35297-2026 georefererad karta.tif", "A 35297-2026")</f>
        <v/>
      </c>
      <c r="AA51">
        <f>HYPERLINK("https://klasma.github.io/Logging_2425/klagomål/A 35297-2026 FSC-klagomål.docx", "A 35297-2026")</f>
        <v/>
      </c>
      <c r="AB51">
        <f>HYPERLINK("https://klasma.github.io/Logging_2425/klagomålsmail/A 35297-2026 FSC-klagomål mail.docx", "A 35297-2026")</f>
        <v/>
      </c>
      <c r="AC51">
        <f>HYPERLINK("https://klasma.github.io/Logging_2425/tillsyn/A 35297-2026 tillsynsbegäran.docx", "A 35297-2026")</f>
        <v/>
      </c>
      <c r="AD51">
        <f>HYPERLINK("https://klasma.github.io/Logging_2425/tillsynsmail/A 35297-2026 tillsynsbegäran mail.docx", "A 35297-2026")</f>
        <v/>
      </c>
    </row>
    <row r="52" ht="15" customHeight="1">
      <c r="A52" t="inlineStr">
        <is>
          <t>A 1278-2024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45302</v>
      </c>
      <c r="E52" s="1" t="n">
        <v>46291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Gräddticka</t>
        </is>
      </c>
      <c r="W52">
        <f>HYPERLINK("https://klasma.github.io/Logging_2425/artfynd/A 1278-2024 artfynd.xlsx", "A 1278-2024")</f>
        <v/>
      </c>
      <c r="X52">
        <f>HYPERLINK("https://klasma.github.io/Logging_2425/kartor/A 1278-2024 karta.png", "A 1278-2024")</f>
        <v/>
      </c>
      <c r="Y52">
        <f>HYPERLINK("https://klasma.github.io/Logging_2425/kartor_geotiff/A 1278-2024 georefererad karta.tif", "A 1278-2024")</f>
        <v/>
      </c>
      <c r="AA52">
        <f>HYPERLINK("https://klasma.github.io/Logging_2425/klagomål/A 1278-2024 FSC-klagomål.docx", "A 1278-2024")</f>
        <v/>
      </c>
      <c r="AB52">
        <f>HYPERLINK("https://klasma.github.io/Logging_2425/klagomålsmail/A 1278-2024 FSC-klagomål mail.docx", "A 1278-2024")</f>
        <v/>
      </c>
      <c r="AC52">
        <f>HYPERLINK("https://klasma.github.io/Logging_2425/tillsyn/A 1278-2024 tillsynsbegäran.docx", "A 1278-2024")</f>
        <v/>
      </c>
      <c r="AD52">
        <f>HYPERLINK("https://klasma.github.io/Logging_2425/tillsynsmail/A 1278-2024 tillsynsbegäran mail.docx", "A 1278-2024")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46291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57060-2024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46291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57060-2024 artfynd.xlsx", "A 57060-2024")</f>
        <v/>
      </c>
      <c r="X54">
        <f>HYPERLINK("https://klasma.github.io/Logging_2425/kartor/A 57060-2024 karta.png", "A 57060-2024")</f>
        <v/>
      </c>
      <c r="Y54">
        <f>HYPERLINK("https://klasma.github.io/Logging_2425/kartor_geotiff/A 57060-2024 georefererad karta.tif", "A 57060-2024")</f>
        <v/>
      </c>
      <c r="AA54">
        <f>HYPERLINK("https://klasma.github.io/Logging_2425/klagomål/A 57060-2024 FSC-klagomål.docx", "A 57060-2024")</f>
        <v/>
      </c>
      <c r="AB54">
        <f>HYPERLINK("https://klasma.github.io/Logging_2425/klagomålsmail/A 57060-2024 FSC-klagomål mail.docx", "A 57060-2024")</f>
        <v/>
      </c>
      <c r="AC54">
        <f>HYPERLINK("https://klasma.github.io/Logging_2425/tillsyn/A 57060-2024 tillsynsbegäran.docx", "A 57060-2024")</f>
        <v/>
      </c>
      <c r="AD54">
        <f>HYPERLINK("https://klasma.github.io/Logging_2425/tillsynsmail/A 57060-2024 tillsynsbegäran mail.docx", "A 57060-2024")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46291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46291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46291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46291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46291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46291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46291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46291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46291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46291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46291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46291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46291</v>
      </c>
      <c r="F68" t="inlineStr">
        <is>
          <t>VÄSTERBOTTENS LÄN</t>
        </is>
      </c>
      <c r="G68" t="inlineStr">
        <is>
          <t>DOROTEA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46291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46291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46291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46291</v>
      </c>
      <c r="F72" t="inlineStr">
        <is>
          <t>VÄSTERBOTTENS LÄN</t>
        </is>
      </c>
      <c r="G72" t="inlineStr">
        <is>
          <t>DOROTEA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46291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46291</v>
      </c>
      <c r="F74" t="inlineStr">
        <is>
          <t>VÄSTERBOTTENS LÄN</t>
        </is>
      </c>
      <c r="G74" t="inlineStr">
        <is>
          <t>DOROTEA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46291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45198</v>
      </c>
      <c r="E76" s="1" t="n">
        <v>46291</v>
      </c>
      <c r="F76" t="inlineStr">
        <is>
          <t>VÄSTERBOTTENS LÄN</t>
        </is>
      </c>
      <c r="G76" t="inlineStr">
        <is>
          <t>DOROTEA</t>
        </is>
      </c>
      <c r="H76" t="inlineStr">
        <is>
          <t>Övriga statliga verk och myndigheter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46291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46291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45224</v>
      </c>
      <c r="E79" s="1" t="n">
        <v>46291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46291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46291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46291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46291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44956</v>
      </c>
      <c r="E84" s="1" t="n">
        <v>46291</v>
      </c>
      <c r="F84" t="inlineStr">
        <is>
          <t>VÄSTERBOTTENS LÄN</t>
        </is>
      </c>
      <c r="G84" t="inlineStr">
        <is>
          <t>DOROTEA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46017</v>
      </c>
      <c r="E85" s="1" t="n">
        <v>46291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46291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46291</v>
      </c>
      <c r="F87" t="inlineStr">
        <is>
          <t>VÄSTERBOTTENS LÄN</t>
        </is>
      </c>
      <c r="G87" t="inlineStr">
        <is>
          <t>DOROTEA</t>
        </is>
      </c>
      <c r="I87" t="n">
        <v>11.1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46291</v>
      </c>
      <c r="F88" t="inlineStr">
        <is>
          <t>VÄSTERBOTTENS LÄN</t>
        </is>
      </c>
      <c r="G88" t="inlineStr">
        <is>
          <t>DOROTEA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45517</v>
      </c>
      <c r="E89" s="1" t="n">
        <v>46291</v>
      </c>
      <c r="F89" t="inlineStr">
        <is>
          <t>VÄSTERBOTTENS LÄN</t>
        </is>
      </c>
      <c r="G89" t="inlineStr">
        <is>
          <t>DOROTEA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46291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46291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46291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46291</v>
      </c>
      <c r="F93" t="inlineStr">
        <is>
          <t>VÄSTERBOTTENS LÄN</t>
        </is>
      </c>
      <c r="G93" t="inlineStr">
        <is>
          <t>DOROTEA</t>
        </is>
      </c>
      <c r="I93" t="n">
        <v>18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57070-2023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45244</v>
      </c>
      <c r="E94" s="1" t="n">
        <v>46291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45614</v>
      </c>
      <c r="E95" s="1" t="n">
        <v>46291</v>
      </c>
      <c r="F95" t="inlineStr">
        <is>
          <t>VÄSTERBOTTENS LÄN</t>
        </is>
      </c>
      <c r="G95" t="inlineStr">
        <is>
          <t>DOROTEA</t>
        </is>
      </c>
      <c r="I95" t="n">
        <v>12.8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59418-2023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45253</v>
      </c>
      <c r="E96" s="1" t="n">
        <v>46291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44860</v>
      </c>
      <c r="E97" s="1" t="n">
        <v>46291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46291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45483</v>
      </c>
      <c r="E99" s="1" t="n">
        <v>46291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46291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46291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40435-2023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45169</v>
      </c>
      <c r="E102" s="1" t="n">
        <v>46291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46291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46291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46291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45893</v>
      </c>
      <c r="E106" s="1" t="n">
        <v>46291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46038</v>
      </c>
      <c r="E107" s="1" t="n">
        <v>46291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46291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46291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57955-2021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44484</v>
      </c>
      <c r="E110" s="1" t="n">
        <v>46291</v>
      </c>
      <c r="F110" t="inlineStr">
        <is>
          <t>VÄSTERBOTTENS LÄN</t>
        </is>
      </c>
      <c r="G110" t="inlineStr">
        <is>
          <t>DOROTEA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46291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46291</v>
      </c>
      <c r="F112" t="inlineStr">
        <is>
          <t>VÄSTERBOTTENS LÄN</t>
        </is>
      </c>
      <c r="G112" t="inlineStr">
        <is>
          <t>DOROTEA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46043</v>
      </c>
      <c r="E113" s="1" t="n">
        <v>46291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46291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46291</v>
      </c>
      <c r="F115" t="inlineStr">
        <is>
          <t>VÄSTERBOTTENS LÄN</t>
        </is>
      </c>
      <c r="G115" t="inlineStr">
        <is>
          <t>DOROTEA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46291</v>
      </c>
      <c r="F116" t="inlineStr">
        <is>
          <t>VÄSTERBOTTENS LÄN</t>
        </is>
      </c>
      <c r="G116" t="inlineStr">
        <is>
          <t>DOROTEA</t>
        </is>
      </c>
      <c r="I116" t="n">
        <v>11.8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46291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46291</v>
      </c>
      <c r="F118" t="inlineStr">
        <is>
          <t>VÄSTERBOTTENS LÄN</t>
        </is>
      </c>
      <c r="G118" t="inlineStr">
        <is>
          <t>DOROTEA</t>
        </is>
      </c>
      <c r="H118" t="inlineStr">
        <is>
          <t>Övriga Aktiebolag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46291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46091</v>
      </c>
      <c r="E120" s="1" t="n">
        <v>46291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46291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46051</v>
      </c>
      <c r="E122" s="1" t="n">
        <v>46291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46291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46055</v>
      </c>
      <c r="E124" s="1" t="n">
        <v>46291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46291</v>
      </c>
      <c r="F125" t="inlineStr">
        <is>
          <t>VÄSTERBOTTENS LÄN</t>
        </is>
      </c>
      <c r="G125" t="inlineStr">
        <is>
          <t>DOROTEA</t>
        </is>
      </c>
      <c r="I125" t="n">
        <v>15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46054</v>
      </c>
      <c r="E126" s="1" t="n">
        <v>46291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46291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46291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46291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44282-2025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45916</v>
      </c>
      <c r="E130" s="1" t="n">
        <v>46291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74013-2021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44557</v>
      </c>
      <c r="E131" s="1" t="n">
        <v>46291</v>
      </c>
      <c r="F131" t="inlineStr">
        <is>
          <t>VÄSTERBOTTENS LÄN</t>
        </is>
      </c>
      <c r="G131" t="inlineStr">
        <is>
          <t>DOROTEA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46291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46291</v>
      </c>
      <c r="F133" t="inlineStr">
        <is>
          <t>VÄSTERBOTTENS LÄN</t>
        </is>
      </c>
      <c r="G133" t="inlineStr">
        <is>
          <t>DOROTEA</t>
        </is>
      </c>
      <c r="I133" t="n">
        <v>22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46291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46291</v>
      </c>
      <c r="F135" t="inlineStr">
        <is>
          <t>VÄSTERBOTTENS LÄN</t>
        </is>
      </c>
      <c r="G135" t="inlineStr">
        <is>
          <t>DOROTEA</t>
        </is>
      </c>
      <c r="H135" t="inlineStr">
        <is>
          <t>Övriga statliga verk och myndigheter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46291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46291</v>
      </c>
      <c r="F137" t="inlineStr">
        <is>
          <t>VÄSTERBOTTENS LÄN</t>
        </is>
      </c>
      <c r="G137" t="inlineStr">
        <is>
          <t>DOROTEA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46291</v>
      </c>
      <c r="F138" t="inlineStr">
        <is>
          <t>VÄSTERBOTTENS LÄN</t>
        </is>
      </c>
      <c r="G138" t="inlineStr">
        <is>
          <t>DOROTEA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46291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46291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46291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46291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46291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Sveaskog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46291</v>
      </c>
      <c r="F144" t="inlineStr">
        <is>
          <t>VÄSTERBOTTENS LÄN</t>
        </is>
      </c>
      <c r="G144" t="inlineStr">
        <is>
          <t>DOROTEA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46291</v>
      </c>
      <c r="F145" t="inlineStr">
        <is>
          <t>VÄSTERBOTTENS LÄN</t>
        </is>
      </c>
      <c r="G145" t="inlineStr">
        <is>
          <t>DOROTEA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46291</v>
      </c>
      <c r="F146" t="inlineStr">
        <is>
          <t>VÄSTERBOTTENS LÄN</t>
        </is>
      </c>
      <c r="G146" t="inlineStr">
        <is>
          <t>DOROTEA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46072</v>
      </c>
      <c r="E147" s="1" t="n">
        <v>46291</v>
      </c>
      <c r="F147" t="inlineStr">
        <is>
          <t>VÄSTERBOTTENS LÄN</t>
        </is>
      </c>
      <c r="G147" t="inlineStr">
        <is>
          <t>DOROTEA</t>
        </is>
      </c>
      <c r="I147" t="n">
        <v>20.1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46291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46291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46291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44971</v>
      </c>
      <c r="E151" s="1" t="n">
        <v>46291</v>
      </c>
      <c r="F151" t="inlineStr">
        <is>
          <t>VÄSTERBOTTENS LÄN</t>
        </is>
      </c>
      <c r="G151" t="inlineStr">
        <is>
          <t>DOROTEA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45807</v>
      </c>
      <c r="E152" s="1" t="n">
        <v>46291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46291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45664</v>
      </c>
      <c r="E154" s="1" t="n">
        <v>46291</v>
      </c>
      <c r="F154" t="inlineStr">
        <is>
          <t>VÄSTERBOTTENS LÄN</t>
        </is>
      </c>
      <c r="G154" t="inlineStr">
        <is>
          <t>DOROTEA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46291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46291</v>
      </c>
      <c r="F156" t="inlineStr">
        <is>
          <t>VÄSTERBOTTENS LÄN</t>
        </is>
      </c>
      <c r="G156" t="inlineStr">
        <is>
          <t>DOROTEA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11817-2026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46291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46291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46291</v>
      </c>
      <c r="F159" t="inlineStr">
        <is>
          <t>VÄSTERBOTTENS LÄN</t>
        </is>
      </c>
      <c r="G159" t="inlineStr">
        <is>
          <t>DOROTEA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46291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44719</v>
      </c>
      <c r="E161" s="1" t="n">
        <v>46291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46291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46291</v>
      </c>
      <c r="F163" t="inlineStr">
        <is>
          <t>VÄSTERBOTTENS LÄN</t>
        </is>
      </c>
      <c r="G163" t="inlineStr">
        <is>
          <t>DOROTEA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46291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46291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46291</v>
      </c>
      <c r="F166" t="inlineStr">
        <is>
          <t>VÄSTERBOTTENS LÄN</t>
        </is>
      </c>
      <c r="G166" t="inlineStr">
        <is>
          <t>DOROTEA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46291</v>
      </c>
      <c r="F167" t="inlineStr">
        <is>
          <t>VÄSTERBOTTENS LÄN</t>
        </is>
      </c>
      <c r="G167" t="inlineStr">
        <is>
          <t>DOROTEA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45852</v>
      </c>
      <c r="E168" s="1" t="n">
        <v>46291</v>
      </c>
      <c r="F168" t="inlineStr">
        <is>
          <t>VÄSTERBOTTENS LÄN</t>
        </is>
      </c>
      <c r="G168" t="inlineStr">
        <is>
          <t>DOROTEA</t>
        </is>
      </c>
      <c r="H168" t="inlineStr">
        <is>
          <t>Allmännings- och besparingsskogar</t>
        </is>
      </c>
      <c r="I168" t="n">
        <v>22.1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45852</v>
      </c>
      <c r="E169" s="1" t="n">
        <v>46291</v>
      </c>
      <c r="F169" t="inlineStr">
        <is>
          <t>VÄSTERBOTTENS LÄN</t>
        </is>
      </c>
      <c r="G169" t="inlineStr">
        <is>
          <t>DOROTEA</t>
        </is>
      </c>
      <c r="H169" t="inlineStr">
        <is>
          <t>Allmännings- och besparingsskogar</t>
        </is>
      </c>
      <c r="I169" t="n">
        <v>20.3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46291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46291</v>
      </c>
      <c r="F171" t="inlineStr">
        <is>
          <t>VÄSTERBOTTENS LÄN</t>
        </is>
      </c>
      <c r="G171" t="inlineStr">
        <is>
          <t>DOROTEA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46291</v>
      </c>
      <c r="F172" t="inlineStr">
        <is>
          <t>VÄSTERBOTTENS LÄN</t>
        </is>
      </c>
      <c r="G172" t="inlineStr">
        <is>
          <t>DOROTEA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46291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46291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46291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46291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46291</v>
      </c>
      <c r="F177" t="inlineStr">
        <is>
          <t>VÄSTERBOTTENS LÄN</t>
        </is>
      </c>
      <c r="G177" t="inlineStr">
        <is>
          <t>DOROTEA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45461</v>
      </c>
      <c r="E178" s="1" t="n">
        <v>46291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46291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46291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46291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46291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33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46291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46291</v>
      </c>
      <c r="F184" t="inlineStr">
        <is>
          <t>VÄSTERBOTTENS LÄN</t>
        </is>
      </c>
      <c r="G184" t="inlineStr">
        <is>
          <t>DOROTEA</t>
        </is>
      </c>
      <c r="H184" t="inlineStr">
        <is>
          <t>Kommuner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46291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46291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46291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46120</v>
      </c>
      <c r="E188" s="1" t="n">
        <v>46291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44956</v>
      </c>
      <c r="E189" s="1" t="n">
        <v>46291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46291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46291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46123</v>
      </c>
      <c r="E192" s="1" t="n">
        <v>46291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46291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18.3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46291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46291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46291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46291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45519</v>
      </c>
      <c r="E198" s="1" t="n">
        <v>46291</v>
      </c>
      <c r="F198" t="inlineStr">
        <is>
          <t>VÄSTERBOTTENS LÄN</t>
        </is>
      </c>
      <c r="G198" t="inlineStr">
        <is>
          <t>DOROTEA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45642</v>
      </c>
      <c r="E199" s="1" t="n">
        <v>46291</v>
      </c>
      <c r="F199" t="inlineStr">
        <is>
          <t>VÄSTERBOTTENS LÄN</t>
        </is>
      </c>
      <c r="G199" t="inlineStr">
        <is>
          <t>DOROTEA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46126</v>
      </c>
      <c r="E200" s="1" t="n">
        <v>46291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46291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46291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46291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46291</v>
      </c>
      <c r="F204" t="inlineStr">
        <is>
          <t>VÄSTERBOTTENS LÄN</t>
        </is>
      </c>
      <c r="G204" t="inlineStr">
        <is>
          <t>DOROTEA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46291</v>
      </c>
      <c r="F205" t="inlineStr">
        <is>
          <t>VÄSTERBOTTENS LÄN</t>
        </is>
      </c>
      <c r="G205" t="inlineStr">
        <is>
          <t>DOROTEA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45977</v>
      </c>
      <c r="E206" s="1" t="n">
        <v>46291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46291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46291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46291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46291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18.2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46291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46291</v>
      </c>
      <c r="F212" t="inlineStr">
        <is>
          <t>VÄSTERBOTTENS LÄN</t>
        </is>
      </c>
      <c r="G212" t="inlineStr">
        <is>
          <t>DOROTEA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46291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46291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46291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46291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45642</v>
      </c>
      <c r="E217" s="1" t="n">
        <v>46291</v>
      </c>
      <c r="F217" t="inlineStr">
        <is>
          <t>VÄSTERBOTTENS LÄN</t>
        </is>
      </c>
      <c r="G217" t="inlineStr">
        <is>
          <t>DOROTEA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45125</v>
      </c>
      <c r="E218" s="1" t="n">
        <v>46291</v>
      </c>
      <c r="F218" t="inlineStr">
        <is>
          <t>VÄSTERBOTTENS LÄN</t>
        </is>
      </c>
      <c r="G218" t="inlineStr">
        <is>
          <t>DOROTEA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46291</v>
      </c>
      <c r="F219" t="inlineStr">
        <is>
          <t>VÄSTERBOTTENS LÄN</t>
        </is>
      </c>
      <c r="G219" t="inlineStr">
        <is>
          <t>DOROTEA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46291</v>
      </c>
      <c r="F220" t="inlineStr">
        <is>
          <t>VÄSTERBOTTENS LÄN</t>
        </is>
      </c>
      <c r="G220" t="inlineStr">
        <is>
          <t>DOROTEA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46291</v>
      </c>
      <c r="F221" t="inlineStr">
        <is>
          <t>VÄSTERBOTTENS LÄN</t>
        </is>
      </c>
      <c r="G221" t="inlineStr">
        <is>
          <t>DOROTEA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45988</v>
      </c>
      <c r="E222" s="1" t="n">
        <v>46291</v>
      </c>
      <c r="F222" t="inlineStr">
        <is>
          <t>VÄSTERBOTTENS LÄN</t>
        </is>
      </c>
      <c r="G222" t="inlineStr">
        <is>
          <t>DOROTEA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46291</v>
      </c>
      <c r="F223" t="inlineStr">
        <is>
          <t>VÄSTERBOTTENS LÄN</t>
        </is>
      </c>
      <c r="G223" t="inlineStr">
        <is>
          <t>DOROTEA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46291</v>
      </c>
      <c r="F224" t="inlineStr">
        <is>
          <t>VÄSTERBOTTENS LÄN</t>
        </is>
      </c>
      <c r="G224" t="inlineStr">
        <is>
          <t>DOROTEA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46291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35937-2025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45862</v>
      </c>
      <c r="E226" s="1" t="n">
        <v>46291</v>
      </c>
      <c r="F226" t="inlineStr">
        <is>
          <t>VÄSTERBOTTENS LÄN</t>
        </is>
      </c>
      <c r="G226" t="inlineStr">
        <is>
          <t>DOROTEA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46291</v>
      </c>
      <c r="F227" t="inlineStr">
        <is>
          <t>VÄSTERBOTTENS LÄN</t>
        </is>
      </c>
      <c r="G227" t="inlineStr">
        <is>
          <t>DOROTEA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46291</v>
      </c>
      <c r="F228" t="inlineStr">
        <is>
          <t>VÄSTERBOTTENS LÄN</t>
        </is>
      </c>
      <c r="G228" t="inlineStr">
        <is>
          <t>DOROTEA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46291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46291</v>
      </c>
      <c r="F230" t="inlineStr">
        <is>
          <t>VÄSTERBOTTENS LÄN</t>
        </is>
      </c>
      <c r="G230" t="inlineStr">
        <is>
          <t>DOROTEA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40434-2023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45169</v>
      </c>
      <c r="E231" s="1" t="n">
        <v>46291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46291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46291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46291</v>
      </c>
      <c r="F234" t="inlineStr">
        <is>
          <t>VÄSTERBOTTENS LÄN</t>
        </is>
      </c>
      <c r="G234" t="inlineStr">
        <is>
          <t>DOROTEA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44494</v>
      </c>
      <c r="E235" s="1" t="n">
        <v>46291</v>
      </c>
      <c r="F235" t="inlineStr">
        <is>
          <t>VÄSTERBOTTENS LÄN</t>
        </is>
      </c>
      <c r="G235" t="inlineStr">
        <is>
          <t>DOROTEA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46291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45295</v>
      </c>
      <c r="E237" s="1" t="n">
        <v>46291</v>
      </c>
      <c r="F237" t="inlineStr">
        <is>
          <t>VÄSTERBOTTENS LÄN</t>
        </is>
      </c>
      <c r="G237" t="inlineStr">
        <is>
          <t>DOROTEA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45636</v>
      </c>
      <c r="E238" s="1" t="n">
        <v>46291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46291</v>
      </c>
      <c r="F239" t="inlineStr">
        <is>
          <t>VÄSTERBOTTENS LÄN</t>
        </is>
      </c>
      <c r="G239" t="inlineStr">
        <is>
          <t>DOROTEA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46291</v>
      </c>
      <c r="F240" t="inlineStr">
        <is>
          <t>VÄSTERBOTTENS LÄN</t>
        </is>
      </c>
      <c r="G240" t="inlineStr">
        <is>
          <t>DOROTEA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62193-2025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46003</v>
      </c>
      <c r="E241" s="1" t="n">
        <v>46291</v>
      </c>
      <c r="F241" t="inlineStr">
        <is>
          <t>VÄSTERBOTTENS LÄN</t>
        </is>
      </c>
      <c r="G241" t="inlineStr">
        <is>
          <t>DOROTEA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20321-2026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46291</v>
      </c>
      <c r="F242" t="inlineStr">
        <is>
          <t>VÄSTERBOTTENS LÄN</t>
        </is>
      </c>
      <c r="G242" t="inlineStr">
        <is>
          <t>DOROTEA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46291</v>
      </c>
      <c r="F243" t="inlineStr">
        <is>
          <t>VÄSTERBOTTENS LÄN</t>
        </is>
      </c>
      <c r="G243" t="inlineStr">
        <is>
          <t>DOROTEA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46291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46291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46291</v>
      </c>
      <c r="F246" t="inlineStr">
        <is>
          <t>VÄSTERBOTTENS LÄN</t>
        </is>
      </c>
      <c r="G246" t="inlineStr">
        <is>
          <t>DOROTEA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46291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27909-2024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46291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46291</v>
      </c>
      <c r="F249" t="inlineStr">
        <is>
          <t>VÄSTERBOTTENS LÄN</t>
        </is>
      </c>
      <c r="G249" t="inlineStr">
        <is>
          <t>DOROTEA</t>
        </is>
      </c>
      <c r="I249" t="n">
        <v>16.7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46291</v>
      </c>
      <c r="F250" t="inlineStr">
        <is>
          <t>VÄSTERBOTTENS LÄN</t>
        </is>
      </c>
      <c r="G250" t="inlineStr">
        <is>
          <t>DOROTEA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46291</v>
      </c>
      <c r="F251" t="inlineStr">
        <is>
          <t>VÄSTERBOTTENS LÄN</t>
        </is>
      </c>
      <c r="G251" t="inlineStr">
        <is>
          <t>DOROTEA</t>
        </is>
      </c>
      <c r="I251" t="n">
        <v>13.2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46291</v>
      </c>
      <c r="F252" t="inlineStr">
        <is>
          <t>VÄSTERBOTTENS LÄN</t>
        </is>
      </c>
      <c r="G252" t="inlineStr">
        <is>
          <t>DOROTEA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53272-2024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46291</v>
      </c>
      <c r="F253" t="inlineStr">
        <is>
          <t>VÄSTERBOTTENS LÄN</t>
        </is>
      </c>
      <c r="G253" t="inlineStr">
        <is>
          <t>DOROTEA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46291</v>
      </c>
      <c r="F254" t="inlineStr">
        <is>
          <t>VÄSTERBOTTENS LÄN</t>
        </is>
      </c>
      <c r="G254" t="inlineStr">
        <is>
          <t>DOROTEA</t>
        </is>
      </c>
      <c r="I254" t="n">
        <v>12.3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44888</v>
      </c>
      <c r="E255" s="1" t="n">
        <v>46291</v>
      </c>
      <c r="F255" t="inlineStr">
        <is>
          <t>VÄSTERBOTTENS LÄN</t>
        </is>
      </c>
      <c r="G255" t="inlineStr">
        <is>
          <t>DOROTEA</t>
        </is>
      </c>
      <c r="I255" t="n">
        <v>15.8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46291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46291</v>
      </c>
      <c r="F257" t="inlineStr">
        <is>
          <t>VÄSTERBOTTENS LÄN</t>
        </is>
      </c>
      <c r="G257" t="inlineStr">
        <is>
          <t>DOROTEA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46291</v>
      </c>
      <c r="F258" t="inlineStr">
        <is>
          <t>VÄSTERBOTTENS LÄN</t>
        </is>
      </c>
      <c r="G258" t="inlineStr">
        <is>
          <t>DOROTEA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46291</v>
      </c>
      <c r="F259" t="inlineStr">
        <is>
          <t>VÄSTERBOTTENS LÄN</t>
        </is>
      </c>
      <c r="G259" t="inlineStr">
        <is>
          <t>DOROTEA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46291</v>
      </c>
      <c r="F260" t="inlineStr">
        <is>
          <t>VÄSTERBOTTENS LÄN</t>
        </is>
      </c>
      <c r="G260" t="inlineStr">
        <is>
          <t>DOROTEA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45013</v>
      </c>
      <c r="E261" s="1" t="n">
        <v>46291</v>
      </c>
      <c r="F261" t="inlineStr">
        <is>
          <t>VÄSTERBOTTENS LÄN</t>
        </is>
      </c>
      <c r="G261" t="inlineStr">
        <is>
          <t>DOROTEA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59329-2025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46291</v>
      </c>
      <c r="F262" t="inlineStr">
        <is>
          <t>VÄSTERBOTTENS LÄN</t>
        </is>
      </c>
      <c r="G262" t="inlineStr">
        <is>
          <t>DOROTEA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45705</v>
      </c>
      <c r="E263" s="1" t="n">
        <v>46291</v>
      </c>
      <c r="F263" t="inlineStr">
        <is>
          <t>VÄSTERBOTTENS LÄN</t>
        </is>
      </c>
      <c r="G263" t="inlineStr">
        <is>
          <t>DOROTEA</t>
        </is>
      </c>
      <c r="I263" t="n">
        <v>13.3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46291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44889</v>
      </c>
      <c r="E265" s="1" t="n">
        <v>46291</v>
      </c>
      <c r="F265" t="inlineStr">
        <is>
          <t>VÄSTERBOTTENS LÄN</t>
        </is>
      </c>
      <c r="G265" t="inlineStr">
        <is>
          <t>DOROTEA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45351</v>
      </c>
      <c r="E266" s="1" t="n">
        <v>46291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46291</v>
      </c>
      <c r="F267" t="inlineStr">
        <is>
          <t>VÄSTERBOTTENS LÄN</t>
        </is>
      </c>
      <c r="G267" t="inlineStr">
        <is>
          <t>DOROTEA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46291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46291</v>
      </c>
      <c r="F269" t="inlineStr">
        <is>
          <t>VÄSTERBOTTENS LÄN</t>
        </is>
      </c>
      <c r="G269" t="inlineStr">
        <is>
          <t>DOROTEA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46291</v>
      </c>
      <c r="F270" t="inlineStr">
        <is>
          <t>VÄSTERBOTTENS LÄN</t>
        </is>
      </c>
      <c r="G270" t="inlineStr">
        <is>
          <t>DOROTEA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46291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46291</v>
      </c>
      <c r="F272" t="inlineStr">
        <is>
          <t>VÄSTERBOTTENS LÄN</t>
        </is>
      </c>
      <c r="G272" t="inlineStr">
        <is>
          <t>DOROTEA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46291</v>
      </c>
      <c r="F273" t="inlineStr">
        <is>
          <t>VÄSTERBOTTENS LÄN</t>
        </is>
      </c>
      <c r="G273" t="inlineStr">
        <is>
          <t>DOROTEA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46291</v>
      </c>
      <c r="F274" t="inlineStr">
        <is>
          <t>VÄSTERBOTTENS LÄN</t>
        </is>
      </c>
      <c r="G274" t="inlineStr">
        <is>
          <t>DOROTEA</t>
        </is>
      </c>
      <c r="I274" t="n">
        <v>21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30570-2023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46291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46291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46291</v>
      </c>
      <c r="F277" t="inlineStr">
        <is>
          <t>VÄSTERBOTTENS LÄN</t>
        </is>
      </c>
      <c r="G277" t="inlineStr">
        <is>
          <t>DOROTEA</t>
        </is>
      </c>
      <c r="I277" t="n">
        <v>17.8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46291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46291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46147</v>
      </c>
      <c r="E280" s="1" t="n">
        <v>46291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46291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46291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46291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46291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46291</v>
      </c>
      <c r="F285" t="inlineStr">
        <is>
          <t>VÄSTERBOTTENS LÄN</t>
        </is>
      </c>
      <c r="G285" t="inlineStr">
        <is>
          <t>DOROTEA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46189</v>
      </c>
      <c r="E286" s="1" t="n">
        <v>46291</v>
      </c>
      <c r="F286" t="inlineStr">
        <is>
          <t>VÄSTERBOTTENS LÄN</t>
        </is>
      </c>
      <c r="G286" t="inlineStr">
        <is>
          <t>DOROTEA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46291</v>
      </c>
      <c r="F287" t="inlineStr">
        <is>
          <t>VÄSTERBOTTENS LÄN</t>
        </is>
      </c>
      <c r="G287" t="inlineStr">
        <is>
          <t>DOROTEA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46291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44888</v>
      </c>
      <c r="E289" s="1" t="n">
        <v>46291</v>
      </c>
      <c r="F289" t="inlineStr">
        <is>
          <t>VÄSTERBOTTENS LÄN</t>
        </is>
      </c>
      <c r="G289" t="inlineStr">
        <is>
          <t>DOROTEA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46153</v>
      </c>
      <c r="E290" s="1" t="n">
        <v>46291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46291</v>
      </c>
      <c r="F291" t="inlineStr">
        <is>
          <t>VÄSTERBOTTENS LÄN</t>
        </is>
      </c>
      <c r="G291" t="inlineStr">
        <is>
          <t>DOROTEA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44960</v>
      </c>
      <c r="E292" s="1" t="n">
        <v>46291</v>
      </c>
      <c r="F292" t="inlineStr">
        <is>
          <t>VÄSTERBOTTENS LÄN</t>
        </is>
      </c>
      <c r="G292" t="inlineStr">
        <is>
          <t>DOROTEA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46291</v>
      </c>
      <c r="F293" t="inlineStr">
        <is>
          <t>VÄSTERBOTTENS LÄN</t>
        </is>
      </c>
      <c r="G293" t="inlineStr">
        <is>
          <t>DOROTEA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45747</v>
      </c>
      <c r="E294" s="1" t="n">
        <v>46291</v>
      </c>
      <c r="F294" t="inlineStr">
        <is>
          <t>VÄSTERBOTTENS LÄN</t>
        </is>
      </c>
      <c r="G294" t="inlineStr">
        <is>
          <t>DOROTEA</t>
        </is>
      </c>
      <c r="I294" t="n">
        <v>10.3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45833</v>
      </c>
      <c r="E295" s="1" t="n">
        <v>46291</v>
      </c>
      <c r="F295" t="inlineStr">
        <is>
          <t>VÄSTERBOTTENS LÄN</t>
        </is>
      </c>
      <c r="G295" t="inlineStr">
        <is>
          <t>DOROTEA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46291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46291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46160</v>
      </c>
      <c r="E298" s="1" t="n">
        <v>46291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46291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46291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46291</v>
      </c>
      <c r="F301" t="inlineStr">
        <is>
          <t>VÄSTERBOTTENS LÄN</t>
        </is>
      </c>
      <c r="G301" t="inlineStr">
        <is>
          <t>DOROTEA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38096-2025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45882</v>
      </c>
      <c r="E302" s="1" t="n">
        <v>46291</v>
      </c>
      <c r="F302" t="inlineStr">
        <is>
          <t>VÄSTERBOTTENS LÄN</t>
        </is>
      </c>
      <c r="G302" t="inlineStr">
        <is>
          <t>DOROTEA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46291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46291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46291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46291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55919-2023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45239</v>
      </c>
      <c r="E307" s="1" t="n">
        <v>46291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46291</v>
      </c>
      <c r="F308" t="inlineStr">
        <is>
          <t>VÄSTERBOTTENS LÄN</t>
        </is>
      </c>
      <c r="G308" t="inlineStr">
        <is>
          <t>DOROTEA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30461-2024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45491</v>
      </c>
      <c r="E309" s="1" t="n">
        <v>46291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45962</v>
      </c>
      <c r="E310" s="1" t="n">
        <v>46291</v>
      </c>
      <c r="F310" t="inlineStr">
        <is>
          <t>VÄSTERBOTTENS LÄN</t>
        </is>
      </c>
      <c r="G310" t="inlineStr">
        <is>
          <t>DOROTEA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46291</v>
      </c>
      <c r="F311" t="inlineStr">
        <is>
          <t>VÄSTERBOTTENS LÄN</t>
        </is>
      </c>
      <c r="G311" t="inlineStr">
        <is>
          <t>DOROTEA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46291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46291</v>
      </c>
      <c r="F313" t="inlineStr">
        <is>
          <t>VÄSTERBOTTENS LÄN</t>
        </is>
      </c>
      <c r="G313" t="inlineStr">
        <is>
          <t>DOROTEA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45848</v>
      </c>
      <c r="E314" s="1" t="n">
        <v>46291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46291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34856-2025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45849</v>
      </c>
      <c r="E316" s="1" t="n">
        <v>46291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45852</v>
      </c>
      <c r="E317" s="1" t="n">
        <v>46291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50582-2024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45600</v>
      </c>
      <c r="E318" s="1" t="n">
        <v>46291</v>
      </c>
      <c r="F318" t="inlineStr">
        <is>
          <t>VÄSTERBOTTENS LÄN</t>
        </is>
      </c>
      <c r="G318" t="inlineStr">
        <is>
          <t>DOROTEA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45855</v>
      </c>
      <c r="E319" s="1" t="n">
        <v>46291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45855</v>
      </c>
      <c r="E320" s="1" t="n">
        <v>46291</v>
      </c>
      <c r="F320" t="inlineStr">
        <is>
          <t>VÄSTERBOTTENS LÄN</t>
        </is>
      </c>
      <c r="G320" t="inlineStr">
        <is>
          <t>DOROTEA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46291</v>
      </c>
      <c r="F321" t="inlineStr">
        <is>
          <t>VÄSTERBOTTENS LÄN</t>
        </is>
      </c>
      <c r="G321" t="inlineStr">
        <is>
          <t>DOROTEA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45855</v>
      </c>
      <c r="E322" s="1" t="n">
        <v>46291</v>
      </c>
      <c r="F322" t="inlineStr">
        <is>
          <t>VÄSTERBOTTENS LÄN</t>
        </is>
      </c>
      <c r="G322" t="inlineStr">
        <is>
          <t>DOROTEA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46291</v>
      </c>
      <c r="F323" t="inlineStr">
        <is>
          <t>VÄSTERBOTTENS LÄN</t>
        </is>
      </c>
      <c r="G323" t="inlineStr">
        <is>
          <t>DOROTEA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46291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45866</v>
      </c>
      <c r="E325" s="1" t="n">
        <v>46291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45866</v>
      </c>
      <c r="E326" s="1" t="n">
        <v>46291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44979</v>
      </c>
      <c r="E327" s="1" t="n">
        <v>46291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46291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46291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46291</v>
      </c>
      <c r="F330" t="inlineStr">
        <is>
          <t>VÄSTERBOTTENS LÄN</t>
        </is>
      </c>
      <c r="G330" t="inlineStr">
        <is>
          <t>DOROTEA</t>
        </is>
      </c>
      <c r="I330" t="n">
        <v>26.2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45036</v>
      </c>
      <c r="E331" s="1" t="n">
        <v>46291</v>
      </c>
      <c r="F331" t="inlineStr">
        <is>
          <t>VÄSTERBOTTENS LÄN</t>
        </is>
      </c>
      <c r="G331" t="inlineStr">
        <is>
          <t>DOROTEA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46291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46291</v>
      </c>
      <c r="F333" t="inlineStr">
        <is>
          <t>VÄSTERBOTTENS LÄN</t>
        </is>
      </c>
      <c r="G333" t="inlineStr">
        <is>
          <t>DOROTEA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46291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46291</v>
      </c>
      <c r="F335" t="inlineStr">
        <is>
          <t>VÄSTERBOTTENS LÄN</t>
        </is>
      </c>
      <c r="G335" t="inlineStr">
        <is>
          <t>DOROTEA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45556</v>
      </c>
      <c r="E336" s="1" t="n">
        <v>46291</v>
      </c>
      <c r="F336" t="inlineStr">
        <is>
          <t>VÄSTERBOTTENS LÄN</t>
        </is>
      </c>
      <c r="G336" t="inlineStr">
        <is>
          <t>DOROTEA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46291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46291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46966-2024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45586</v>
      </c>
      <c r="E339" s="1" t="n">
        <v>46291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46291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45180</v>
      </c>
      <c r="E341" s="1" t="n">
        <v>46291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46291</v>
      </c>
      <c r="F342" t="inlineStr">
        <is>
          <t>VÄSTERBOTTENS LÄN</t>
        </is>
      </c>
      <c r="G342" t="inlineStr">
        <is>
          <t>DOROTEA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45721</v>
      </c>
      <c r="E343" s="1" t="n">
        <v>46291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46291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27738-2026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46191</v>
      </c>
      <c r="E345" s="1" t="n">
        <v>46291</v>
      </c>
      <c r="F345" t="inlineStr">
        <is>
          <t>VÄSTERBOTTENS LÄN</t>
        </is>
      </c>
      <c r="G345" t="inlineStr">
        <is>
          <t>DOROTEA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46291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45876</v>
      </c>
      <c r="E347" s="1" t="n">
        <v>46291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46291</v>
      </c>
      <c r="F348" t="inlineStr">
        <is>
          <t>VÄSTERBOTTENS LÄN</t>
        </is>
      </c>
      <c r="G348" t="inlineStr">
        <is>
          <t>DOROTEA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46291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46291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46291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45036</v>
      </c>
      <c r="E352" s="1" t="n">
        <v>46291</v>
      </c>
      <c r="F352" t="inlineStr">
        <is>
          <t>VÄSTERBOTTENS LÄN</t>
        </is>
      </c>
      <c r="G352" t="inlineStr">
        <is>
          <t>DOROTEA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46291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49.5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46291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46291</v>
      </c>
      <c r="F355" t="inlineStr">
        <is>
          <t>VÄSTERBOTTENS LÄN</t>
        </is>
      </c>
      <c r="G355" t="inlineStr">
        <is>
          <t>DOROTEA</t>
        </is>
      </c>
      <c r="I355" t="n">
        <v>26.5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46291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46291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45877</v>
      </c>
      <c r="E358" s="1" t="n">
        <v>46291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46291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45712</v>
      </c>
      <c r="E360" s="1" t="n">
        <v>46291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45882</v>
      </c>
      <c r="E361" s="1" t="n">
        <v>46291</v>
      </c>
      <c r="F361" t="inlineStr">
        <is>
          <t>VÄSTERBOTTENS LÄN</t>
        </is>
      </c>
      <c r="G361" t="inlineStr">
        <is>
          <t>DOROTEA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38101-2025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46291</v>
      </c>
      <c r="F362" t="inlineStr">
        <is>
          <t>VÄSTERBOTTENS LÄN</t>
        </is>
      </c>
      <c r="G362" t="inlineStr">
        <is>
          <t>DOROTEA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46291</v>
      </c>
      <c r="F363" t="inlineStr">
        <is>
          <t>VÄSTERBOTTENS LÄN</t>
        </is>
      </c>
      <c r="G363" t="inlineStr">
        <is>
          <t>DOROTEA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45882</v>
      </c>
      <c r="E364" s="1" t="n">
        <v>46291</v>
      </c>
      <c r="F364" t="inlineStr">
        <is>
          <t>VÄSTERBOTTENS LÄN</t>
        </is>
      </c>
      <c r="G364" t="inlineStr">
        <is>
          <t>DOROTEA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46291</v>
      </c>
      <c r="F365" t="inlineStr">
        <is>
          <t>VÄSTERBOTTENS LÄN</t>
        </is>
      </c>
      <c r="G365" t="inlineStr">
        <is>
          <t>DOROTEA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46291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46248</v>
      </c>
      <c r="E367" s="1" t="n">
        <v>46291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46291</v>
      </c>
      <c r="F368" t="inlineStr">
        <is>
          <t>VÄSTERBOTTENS LÄN</t>
        </is>
      </c>
      <c r="G368" t="inlineStr">
        <is>
          <t>DOROTEA</t>
        </is>
      </c>
      <c r="H368" t="inlineStr">
        <is>
          <t>Kommuner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46291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46291</v>
      </c>
      <c r="F370" t="inlineStr">
        <is>
          <t>VÄSTERBOTTENS LÄN</t>
        </is>
      </c>
      <c r="G370" t="inlineStr">
        <is>
          <t>DOROTEA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46291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46291</v>
      </c>
      <c r="F372" t="inlineStr">
        <is>
          <t>VÄSTERBOTTENS LÄN</t>
        </is>
      </c>
      <c r="G372" t="inlineStr">
        <is>
          <t>DOROTEA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46291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46211</v>
      </c>
      <c r="E374" s="1" t="n">
        <v>46291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46291</v>
      </c>
      <c r="F375" t="inlineStr">
        <is>
          <t>VÄSTERBOTTENS LÄN</t>
        </is>
      </c>
      <c r="G375" t="inlineStr">
        <is>
          <t>DOROTEA</t>
        </is>
      </c>
      <c r="I375" t="n">
        <v>13.6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46291</v>
      </c>
      <c r="F376" t="inlineStr">
        <is>
          <t>VÄSTERBOTTENS LÄN</t>
        </is>
      </c>
      <c r="G376" t="inlineStr">
        <is>
          <t>DOROTEA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46291</v>
      </c>
      <c r="F377" t="inlineStr">
        <is>
          <t>VÄSTERBOTTENS LÄN</t>
        </is>
      </c>
      <c r="G377" t="inlineStr">
        <is>
          <t>DOROTEA</t>
        </is>
      </c>
      <c r="I377" t="n">
        <v>11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46291</v>
      </c>
      <c r="F378" t="inlineStr">
        <is>
          <t>VÄSTERBOTTENS LÄN</t>
        </is>
      </c>
      <c r="G378" t="inlineStr">
        <is>
          <t>DOROTEA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46212</v>
      </c>
      <c r="E379" s="1" t="n">
        <v>46291</v>
      </c>
      <c r="F379" t="inlineStr">
        <is>
          <t>VÄSTERBOTTENS LÄN</t>
        </is>
      </c>
      <c r="G379" t="inlineStr">
        <is>
          <t>DOROTEA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46291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46213</v>
      </c>
      <c r="E381" s="1" t="n">
        <v>46291</v>
      </c>
      <c r="F381" t="inlineStr">
        <is>
          <t>VÄSTERBOTTENS LÄN</t>
        </is>
      </c>
      <c r="G381" t="inlineStr">
        <is>
          <t>DOROTEA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46291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46213</v>
      </c>
      <c r="E383" s="1" t="n">
        <v>46291</v>
      </c>
      <c r="F383" t="inlineStr">
        <is>
          <t>VÄSTERBOTTENS LÄN</t>
        </is>
      </c>
      <c r="G383" t="inlineStr">
        <is>
          <t>DOROTEA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46291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27558-2022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46291</v>
      </c>
      <c r="F385" t="inlineStr">
        <is>
          <t>VÄSTERBOTTENS LÄN</t>
        </is>
      </c>
      <c r="G385" t="inlineStr">
        <is>
          <t>DOROTEA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46291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46291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46218</v>
      </c>
      <c r="E388" s="1" t="n">
        <v>46291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46291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46261</v>
      </c>
      <c r="E390" s="1" t="n">
        <v>46291</v>
      </c>
      <c r="F390" t="inlineStr">
        <is>
          <t>VÄSTERBOTTENS LÄN</t>
        </is>
      </c>
      <c r="G390" t="inlineStr">
        <is>
          <t>DOROTEA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46291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46291</v>
      </c>
      <c r="F392" t="inlineStr">
        <is>
          <t>VÄSTERBOTTENS LÄN</t>
        </is>
      </c>
      <c r="G392" t="inlineStr">
        <is>
          <t>DOROTEA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46291</v>
      </c>
      <c r="F393" t="inlineStr">
        <is>
          <t>VÄSTERBOTTENS LÄN</t>
        </is>
      </c>
      <c r="G393" t="inlineStr">
        <is>
          <t>DOROTEA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46261</v>
      </c>
      <c r="E394" s="1" t="n">
        <v>46291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46262</v>
      </c>
      <c r="E395" s="1" t="n">
        <v>46291</v>
      </c>
      <c r="F395" t="inlineStr">
        <is>
          <t>VÄSTERBOTTENS LÄN</t>
        </is>
      </c>
      <c r="G395" t="inlineStr">
        <is>
          <t>DOROTEA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46291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46291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31439-2026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46220</v>
      </c>
      <c r="E398" s="1" t="n">
        <v>46291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45735</v>
      </c>
      <c r="E399" s="1" t="n">
        <v>46291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19726-2025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45771</v>
      </c>
      <c r="E400" s="1" t="n">
        <v>46291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46291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46268</v>
      </c>
      <c r="E402" s="1" t="n">
        <v>46291</v>
      </c>
      <c r="F402" t="inlineStr">
        <is>
          <t>VÄSTERBOTTENS LÄN</t>
        </is>
      </c>
      <c r="G402" t="inlineStr">
        <is>
          <t>DOROTEA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46291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46224</v>
      </c>
      <c r="E404" s="1" t="n">
        <v>46291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44748</v>
      </c>
      <c r="E405" s="1" t="n">
        <v>46291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47494-2023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45202</v>
      </c>
      <c r="E406" s="1" t="n">
        <v>46291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44974</v>
      </c>
      <c r="E407" s="1" t="n">
        <v>46291</v>
      </c>
      <c r="F407" t="inlineStr">
        <is>
          <t>VÄSTERBOTTENS LÄN</t>
        </is>
      </c>
      <c r="G407" t="inlineStr">
        <is>
          <t>DOROTEA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46279</v>
      </c>
      <c r="E408" s="1" t="n">
        <v>46291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46291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46281</v>
      </c>
      <c r="E410" s="1" t="n">
        <v>46291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56807-2021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44481</v>
      </c>
      <c r="E411" s="1" t="n">
        <v>46291</v>
      </c>
      <c r="F411" t="inlineStr">
        <is>
          <t>VÄSTERBOTTENS LÄN</t>
        </is>
      </c>
      <c r="G411" t="inlineStr">
        <is>
          <t>DOROTEA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46282</v>
      </c>
      <c r="E412" s="1" t="n">
        <v>46291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45642</v>
      </c>
      <c r="E413" s="1" t="n">
        <v>46291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14163-2024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45392</v>
      </c>
      <c r="E414" s="1" t="n">
        <v>46291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45547</v>
      </c>
      <c r="E415" s="1" t="n">
        <v>46291</v>
      </c>
      <c r="F415" t="inlineStr">
        <is>
          <t>VÄSTERBOTTENS LÄN</t>
        </is>
      </c>
      <c r="G415" t="inlineStr">
        <is>
          <t>DOROTEA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44848</v>
      </c>
      <c r="E416" s="1" t="n">
        <v>46291</v>
      </c>
      <c r="F416" t="inlineStr">
        <is>
          <t>VÄSTERBOTTENS LÄN</t>
        </is>
      </c>
      <c r="G416" t="inlineStr">
        <is>
          <t>DOROTEA</t>
        </is>
      </c>
      <c r="I416" t="n">
        <v>29.8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42473-2024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45565</v>
      </c>
      <c r="E417" s="1" t="n">
        <v>46291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39088-2026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46287</v>
      </c>
      <c r="E418" s="1" t="n">
        <v>46291</v>
      </c>
      <c r="F418" t="inlineStr">
        <is>
          <t>VÄSTERBOTTENS LÄN</t>
        </is>
      </c>
      <c r="G418" t="inlineStr">
        <is>
          <t>DOROTEA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46965-2024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45586</v>
      </c>
      <c r="E419" s="1" t="n">
        <v>46291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46247</v>
      </c>
      <c r="E420" s="1" t="n">
        <v>46291</v>
      </c>
      <c r="F420" t="inlineStr">
        <is>
          <t>VÄSTERBOTTENS LÄN</t>
        </is>
      </c>
      <c r="G420" t="inlineStr">
        <is>
          <t>DOROTEA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44980</v>
      </c>
      <c r="E421" s="1" t="n">
        <v>46291</v>
      </c>
      <c r="F421" t="inlineStr">
        <is>
          <t>VÄSTERBOTTENS LÄN</t>
        </is>
      </c>
      <c r="G421" t="inlineStr">
        <is>
          <t>DOROTEA</t>
        </is>
      </c>
      <c r="I421" t="n">
        <v>18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46291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27477-2023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45097</v>
      </c>
      <c r="E423" s="1" t="n">
        <v>46291</v>
      </c>
      <c r="F423" t="inlineStr">
        <is>
          <t>VÄSTERBOTTENS LÄN</t>
        </is>
      </c>
      <c r="G423" t="inlineStr">
        <is>
          <t>DOROTEA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44942</v>
      </c>
      <c r="E424" s="1" t="n">
        <v>46291</v>
      </c>
      <c r="F424" t="inlineStr">
        <is>
          <t>VÄSTERBOTTENS LÄN</t>
        </is>
      </c>
      <c r="G424" t="inlineStr">
        <is>
          <t>DOROTEA</t>
        </is>
      </c>
      <c r="I424" t="n">
        <v>22.7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46291</v>
      </c>
      <c r="F425" t="inlineStr">
        <is>
          <t>VÄSTERBOTTENS LÄN</t>
        </is>
      </c>
      <c r="G425" t="inlineStr">
        <is>
          <t>DOROTEA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59653-2024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46291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45036</v>
      </c>
      <c r="E427" s="1" t="n">
        <v>46291</v>
      </c>
      <c r="F427" t="inlineStr">
        <is>
          <t>VÄSTERBOTTENS LÄN</t>
        </is>
      </c>
      <c r="G427" t="inlineStr">
        <is>
          <t>DOROTEA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45448</v>
      </c>
      <c r="E428" s="1" t="n">
        <v>46291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8852-2024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45356</v>
      </c>
      <c r="E429" s="1" t="n">
        <v>46291</v>
      </c>
      <c r="F429" t="inlineStr">
        <is>
          <t>VÄSTERBOTTENS LÄN</t>
        </is>
      </c>
      <c r="G429" t="inlineStr">
        <is>
          <t>DOROTEA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19657-2025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46291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45351</v>
      </c>
      <c r="E431" s="1" t="n">
        <v>46291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45253</v>
      </c>
      <c r="E432" s="1" t="n">
        <v>46291</v>
      </c>
      <c r="F432" t="inlineStr">
        <is>
          <t>VÄSTERBOTTENS LÄN</t>
        </is>
      </c>
      <c r="G432" t="inlineStr">
        <is>
          <t>DOROTEA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45253</v>
      </c>
      <c r="E433" s="1" t="n">
        <v>46291</v>
      </c>
      <c r="F433" t="inlineStr">
        <is>
          <t>VÄSTERBOTTENS LÄN</t>
        </is>
      </c>
      <c r="G433" t="inlineStr">
        <is>
          <t>DOROTEA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45055</v>
      </c>
      <c r="E434" s="1" t="n">
        <v>46291</v>
      </c>
      <c r="F434" t="inlineStr">
        <is>
          <t>VÄSTERBOTTENS LÄN</t>
        </is>
      </c>
      <c r="G434" t="inlineStr">
        <is>
          <t>DOROTEA</t>
        </is>
      </c>
      <c r="H434" t="inlineStr">
        <is>
          <t>Övriga statliga verk och myndigheter</t>
        </is>
      </c>
      <c r="I434" t="n">
        <v>13.9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67686-2021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44524</v>
      </c>
      <c r="E435" s="1" t="n">
        <v>46291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32821-2024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45516</v>
      </c>
      <c r="E436" s="1" t="n">
        <v>46291</v>
      </c>
      <c r="F436" t="inlineStr">
        <is>
          <t>VÄSTERBOTTENS LÄN</t>
        </is>
      </c>
      <c r="G436" t="inlineStr">
        <is>
          <t>DOROTEA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44889</v>
      </c>
      <c r="E437" s="1" t="n">
        <v>46291</v>
      </c>
      <c r="F437" t="inlineStr">
        <is>
          <t>VÄSTERBOTTENS LÄN</t>
        </is>
      </c>
      <c r="G437" t="inlineStr">
        <is>
          <t>DOROTEA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45125</v>
      </c>
      <c r="E438" s="1" t="n">
        <v>46291</v>
      </c>
      <c r="F438" t="inlineStr">
        <is>
          <t>VÄSTERBOTTENS LÄN</t>
        </is>
      </c>
      <c r="G438" t="inlineStr">
        <is>
          <t>DOROTEA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45142</v>
      </c>
      <c r="E439" s="1" t="n">
        <v>46291</v>
      </c>
      <c r="F439" t="inlineStr">
        <is>
          <t>VÄSTERBOTTENS LÄN</t>
        </is>
      </c>
      <c r="G439" t="inlineStr">
        <is>
          <t>DOROTEA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52276-2023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46291</v>
      </c>
      <c r="F440" t="inlineStr">
        <is>
          <t>VÄSTERBOTTENS LÄN</t>
        </is>
      </c>
      <c r="G440" t="inlineStr">
        <is>
          <t>DOROTEA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46291</v>
      </c>
      <c r="F441" t="inlineStr">
        <is>
          <t>VÄSTERBOTTENS LÄN</t>
        </is>
      </c>
      <c r="G441" t="inlineStr">
        <is>
          <t>DOROTEA</t>
        </is>
      </c>
      <c r="I441" t="n">
        <v>12.3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45735</v>
      </c>
      <c r="E442" s="1" t="n">
        <v>46291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52144-2023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46291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22450-2024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45446</v>
      </c>
      <c r="E444" s="1" t="n">
        <v>46291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46291</v>
      </c>
      <c r="F445" t="inlineStr">
        <is>
          <t>VÄSTERBOTTENS LÄN</t>
        </is>
      </c>
      <c r="G445" t="inlineStr">
        <is>
          <t>DOROTEA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45713</v>
      </c>
      <c r="E446" s="1" t="n">
        <v>46291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60015-2023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45257</v>
      </c>
      <c r="E447" s="1" t="n">
        <v>46291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45315</v>
      </c>
      <c r="E448" s="1" t="n">
        <v>46291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45720</v>
      </c>
      <c r="E449" s="1" t="n">
        <v>46291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59394-2023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45253</v>
      </c>
      <c r="E450" s="1" t="n">
        <v>46291</v>
      </c>
      <c r="F450" t="inlineStr">
        <is>
          <t>VÄSTERBOTTENS LÄN</t>
        </is>
      </c>
      <c r="G450" t="inlineStr">
        <is>
          <t>DOROTEA</t>
        </is>
      </c>
      <c r="I450" t="n">
        <v>28.8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27305-2024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45471</v>
      </c>
      <c r="E451" s="1" t="n">
        <v>46291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46291</v>
      </c>
      <c r="F452" t="inlineStr">
        <is>
          <t>VÄSTERBOTTENS LÄN</t>
        </is>
      </c>
      <c r="G452" t="inlineStr">
        <is>
          <t>DOROTEA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46291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46291</v>
      </c>
      <c r="F454" t="inlineStr">
        <is>
          <t>VÄSTERBOTTENS LÄN</t>
        </is>
      </c>
      <c r="G454" t="inlineStr">
        <is>
          <t>DOROTEA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45614</v>
      </c>
      <c r="E455" s="1" t="n">
        <v>46291</v>
      </c>
      <c r="F455" t="inlineStr">
        <is>
          <t>VÄSTERBOTTENS LÄN</t>
        </is>
      </c>
      <c r="G455" t="inlineStr">
        <is>
          <t>DOROTEA</t>
        </is>
      </c>
      <c r="I455" t="n">
        <v>11.2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42104-2024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45562</v>
      </c>
      <c r="E456" s="1" t="n">
        <v>46291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46291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46291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45792</v>
      </c>
      <c r="E459" s="1" t="n">
        <v>46291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46291</v>
      </c>
      <c r="F460" t="inlineStr">
        <is>
          <t>VÄSTERBOTTENS LÄN</t>
        </is>
      </c>
      <c r="G460" t="inlineStr">
        <is>
          <t>DOROTEA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13451-2022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44645</v>
      </c>
      <c r="E461" s="1" t="n">
        <v>46291</v>
      </c>
      <c r="F461" t="inlineStr">
        <is>
          <t>VÄSTERBOTTENS LÄN</t>
        </is>
      </c>
      <c r="G461" t="inlineStr">
        <is>
          <t>DOROTEA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45140</v>
      </c>
      <c r="E462" s="1" t="n">
        <v>46291</v>
      </c>
      <c r="F462" t="inlineStr">
        <is>
          <t>VÄSTERBOTTENS LÄN</t>
        </is>
      </c>
      <c r="G462" t="inlineStr">
        <is>
          <t>DOROTEA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46291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46291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46291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46291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46291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46291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2407-2026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46279</v>
      </c>
      <c r="E469" s="1" t="n">
        <v>46291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46291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2026-09-26T02:05:21Z</dcterms:created>
  <dcterms:modified xmlns:dcterms="http://purl.org/dc/terms/" xmlns:xsi="http://www.w3.org/2001/XMLSchema-instance" xsi:type="dcterms:W3CDTF">2026-09-26T02:05:22Z</dcterms:modified>
</cp:coreProperties>
</file>