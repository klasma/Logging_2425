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45875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45875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17180-2024</t>
        </is>
      </c>
      <c r="B4" s="1" t="n">
        <v>45413</v>
      </c>
      <c r="C4" s="1" t="n">
        <v>45875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31476-2024</t>
        </is>
      </c>
      <c r="B5" s="1" t="n">
        <v>45505</v>
      </c>
      <c r="C5" s="1" t="n">
        <v>45875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7</v>
      </c>
      <c r="H5" t="n">
        <v>1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Ostticka
Garnlav
Granticka
Harticka
Lunglav
Rosenticka
Skrovellav
Tretåig hackspett
Ullticka
Luddlav
Stuplav</t>
        </is>
      </c>
      <c r="S5">
        <f>HYPERLINK("https://klasma.github.io/Logging_2425/artfynd/A 31476-2024 artfynd.xlsx", "A 31476-2024")</f>
        <v/>
      </c>
      <c r="T5">
        <f>HYPERLINK("https://klasma.github.io/Logging_2425/kartor/A 31476-2024 karta.png", "A 31476-2024")</f>
        <v/>
      </c>
      <c r="V5">
        <f>HYPERLINK("https://klasma.github.io/Logging_2425/klagomål/A 31476-2024 FSC-klagomål.docx", "A 31476-2024")</f>
        <v/>
      </c>
      <c r="W5">
        <f>HYPERLINK("https://klasma.github.io/Logging_2425/klagomålsmail/A 31476-2024 FSC-klagomål mail.docx", "A 31476-2024")</f>
        <v/>
      </c>
      <c r="X5">
        <f>HYPERLINK("https://klasma.github.io/Logging_2425/tillsyn/A 31476-2024 tillsynsbegäran.docx", "A 31476-2024")</f>
        <v/>
      </c>
      <c r="Y5">
        <f>HYPERLINK("https://klasma.github.io/Logging_2425/tillsynsmail/A 31476-2024 tillsynsbegäran mail.docx", "A 31476-2024")</f>
        <v/>
      </c>
      <c r="Z5">
        <f>HYPERLINK("https://klasma.github.io/Logging_2425/fåglar/A 31476-2024 prioriterade fågelarter.docx", "A 31476-2024")</f>
        <v/>
      </c>
    </row>
    <row r="6" ht="15" customHeight="1">
      <c r="A6" t="inlineStr">
        <is>
          <t>A 65548-2019</t>
        </is>
      </c>
      <c r="B6" s="1" t="n">
        <v>43803</v>
      </c>
      <c r="C6" s="1" t="n">
        <v>45875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13.4</v>
      </c>
      <c r="H6" t="n">
        <v>1</v>
      </c>
      <c r="I6" t="n">
        <v>0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10</v>
      </c>
      <c r="R6" s="2" t="inlineStr">
        <is>
          <t>Lappticka
Rynkskinn
Doftskinn
Gammelgransskål
Granticka
Gränsticka
Harticka
Rosenticka
Tretåig hackspett
Ullticka</t>
        </is>
      </c>
      <c r="S6">
        <f>HYPERLINK("https://klasma.github.io/Logging_2425/artfynd/A 65548-2019 artfynd.xlsx", "A 65548-2019")</f>
        <v/>
      </c>
      <c r="T6">
        <f>HYPERLINK("https://klasma.github.io/Logging_2425/kartor/A 65548-2019 karta.png", "A 65548-2019")</f>
        <v/>
      </c>
      <c r="V6">
        <f>HYPERLINK("https://klasma.github.io/Logging_2425/klagomål/A 65548-2019 FSC-klagomål.docx", "A 65548-2019")</f>
        <v/>
      </c>
      <c r="W6">
        <f>HYPERLINK("https://klasma.github.io/Logging_2425/klagomålsmail/A 65548-2019 FSC-klagomål mail.docx", "A 65548-2019")</f>
        <v/>
      </c>
      <c r="X6">
        <f>HYPERLINK("https://klasma.github.io/Logging_2425/tillsyn/A 65548-2019 tillsynsbegäran.docx", "A 65548-2019")</f>
        <v/>
      </c>
      <c r="Y6">
        <f>HYPERLINK("https://klasma.github.io/Logging_2425/tillsynsmail/A 65548-2019 tillsynsbegäran mail.docx", "A 65548-2019")</f>
        <v/>
      </c>
      <c r="Z6">
        <f>HYPERLINK("https://klasma.github.io/Logging_2425/fåglar/A 65548-2019 prioriterade fågelarter.docx", "A 65548-2019")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45875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54046-2023</t>
        </is>
      </c>
      <c r="B8" s="1" t="n">
        <v>45231</v>
      </c>
      <c r="C8" s="1" t="n">
        <v>45875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3.8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Garnlav
Granticka
Harticka
Lunglav
Skrovellav
Tretåig hackspett
Rävticka
Stuplav</t>
        </is>
      </c>
      <c r="S8">
        <f>HYPERLINK("https://klasma.github.io/Logging_2425/artfynd/A 54046-2023 artfynd.xlsx", "A 54046-2023")</f>
        <v/>
      </c>
      <c r="T8">
        <f>HYPERLINK("https://klasma.github.io/Logging_2425/kartor/A 54046-2023 karta.png", "A 54046-2023")</f>
        <v/>
      </c>
      <c r="V8">
        <f>HYPERLINK("https://klasma.github.io/Logging_2425/klagomål/A 54046-2023 FSC-klagomål.docx", "A 54046-2023")</f>
        <v/>
      </c>
      <c r="W8">
        <f>HYPERLINK("https://klasma.github.io/Logging_2425/klagomålsmail/A 54046-2023 FSC-klagomål mail.docx", "A 54046-2023")</f>
        <v/>
      </c>
      <c r="X8">
        <f>HYPERLINK("https://klasma.github.io/Logging_2425/tillsyn/A 54046-2023 tillsynsbegäran.docx", "A 54046-2023")</f>
        <v/>
      </c>
      <c r="Y8">
        <f>HYPERLINK("https://klasma.github.io/Logging_2425/tillsynsmail/A 54046-2023 tillsynsbegäran mail.docx", "A 54046-2023")</f>
        <v/>
      </c>
      <c r="Z8">
        <f>HYPERLINK("https://klasma.github.io/Logging_2425/fåglar/A 54046-2023 prioriterade fågelarter.docx", "A 54046-2023")</f>
        <v/>
      </c>
    </row>
    <row r="9" ht="15" customHeight="1">
      <c r="A9" t="inlineStr">
        <is>
          <t>A 12366-2025</t>
        </is>
      </c>
      <c r="B9" s="1" t="n">
        <v>45730</v>
      </c>
      <c r="C9" s="1" t="n">
        <v>45875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1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Lunglav
Skrovellav
Tretåig hackspett
Bårdlav
Korallblylav
Luddlav</t>
        </is>
      </c>
      <c r="S9">
        <f>HYPERLINK("https://klasma.github.io/Logging_242425/artfynd/A 12366-2025 artfynd.xlsx", "A 12366-2025")</f>
        <v/>
      </c>
      <c r="T9">
        <f>HYPERLINK("https://klasma.github.io/Logging_242425/kartor/A 12366-2025 karta.png", "A 12366-2025")</f>
        <v/>
      </c>
      <c r="V9">
        <f>HYPERLINK("https://klasma.github.io/Logging_242425/klagomål/A 12366-2025 FSC-klagomål.docx", "A 12366-2025")</f>
        <v/>
      </c>
      <c r="W9">
        <f>HYPERLINK("https://klasma.github.io/Logging_242425/klagomålsmail/A 12366-2025 FSC-klagomål mail.docx", "A 12366-2025")</f>
        <v/>
      </c>
      <c r="X9">
        <f>HYPERLINK("https://klasma.github.io/Logging_242425/tillsyn/A 12366-2025 tillsynsbegäran.docx", "A 12366-2025")</f>
        <v/>
      </c>
      <c r="Y9">
        <f>HYPERLINK("https://klasma.github.io/Logging_242425/tillsynsmail/A 12366-2025 tillsynsbegäran mail.docx", "A 12366-2025")</f>
        <v/>
      </c>
      <c r="Z9">
        <f>HYPERLINK("https://klasma.github.io/Logging_242425/fåglar/A 12366-2025 prioriterade fågelarter.docx", "A 12366-2025")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45875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19331-2024</t>
        </is>
      </c>
      <c r="B11" s="1" t="n">
        <v>45428</v>
      </c>
      <c r="C11" s="1" t="n">
        <v>45875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21.7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Lunglav
Skrovellav
Tretåig hackspett
Bårdlav
Luddlav
Stuplav</t>
        </is>
      </c>
      <c r="S11">
        <f>HYPERLINK("https://klasma.github.io/Logging_2425/artfynd/A 19331-2024 artfynd.xlsx", "A 19331-2024")</f>
        <v/>
      </c>
      <c r="T11">
        <f>HYPERLINK("https://klasma.github.io/Logging_2425/kartor/A 19331-2024 karta.png", "A 19331-2024")</f>
        <v/>
      </c>
      <c r="V11">
        <f>HYPERLINK("https://klasma.github.io/Logging_2425/klagomål/A 19331-2024 FSC-klagomål.docx", "A 19331-2024")</f>
        <v/>
      </c>
      <c r="W11">
        <f>HYPERLINK("https://klasma.github.io/Logging_2425/klagomålsmail/A 19331-2024 FSC-klagomål mail.docx", "A 19331-2024")</f>
        <v/>
      </c>
      <c r="X11">
        <f>HYPERLINK("https://klasma.github.io/Logging_2425/tillsyn/A 19331-2024 tillsynsbegäran.docx", "A 19331-2024")</f>
        <v/>
      </c>
      <c r="Y11">
        <f>HYPERLINK("https://klasma.github.io/Logging_2425/tillsynsmail/A 19331-2024 tillsynsbegäran mail.docx", "A 19331-2024")</f>
        <v/>
      </c>
      <c r="Z11">
        <f>HYPERLINK("https://klasma.github.io/Logging_2425/fåglar/A 19331-2024 prioriterade fågelarter.docx", "A 19331-2024")</f>
        <v/>
      </c>
    </row>
    <row r="12" ht="15" customHeight="1">
      <c r="A12" t="inlineStr">
        <is>
          <t>A 46834-2024</t>
        </is>
      </c>
      <c r="B12" s="1" t="n">
        <v>45583</v>
      </c>
      <c r="C12" s="1" t="n">
        <v>45875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46834-2024 artfynd.xlsx", "A 46834-2024")</f>
        <v/>
      </c>
      <c r="T12">
        <f>HYPERLINK("https://klasma.github.io/Logging_2425/kartor/A 46834-2024 karta.png", "A 46834-2024")</f>
        <v/>
      </c>
      <c r="V12">
        <f>HYPERLINK("https://klasma.github.io/Logging_2425/klagomål/A 46834-2024 FSC-klagomål.docx", "A 46834-2024")</f>
        <v/>
      </c>
      <c r="W12">
        <f>HYPERLINK("https://klasma.github.io/Logging_2425/klagomålsmail/A 46834-2024 FSC-klagomål mail.docx", "A 46834-2024")</f>
        <v/>
      </c>
      <c r="X12">
        <f>HYPERLINK("https://klasma.github.io/Logging_2425/tillsyn/A 46834-2024 tillsynsbegäran.docx", "A 46834-2024")</f>
        <v/>
      </c>
      <c r="Y12">
        <f>HYPERLINK("https://klasma.github.io/Logging_2425/tillsynsmail/A 46834-2024 tillsynsbegäran mail.docx", "A 46834-2024")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45875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45875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45875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45875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45875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45875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45875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45875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45875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45875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45875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45875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45875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45875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45875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45875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45875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45875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45875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45875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45875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45875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45875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45875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45875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45875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45875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45875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45875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45875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45875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45875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45875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45875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45875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45875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45875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45875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45875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45875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45875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45875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45875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45875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45875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45875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45875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45875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45875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45875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45875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45875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45875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45875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45875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45875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45875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45875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45875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45875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45875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45875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45875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45875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45875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45875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45875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45875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45875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45875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45875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45875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45875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45875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45875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45875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45875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45875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45875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45875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45875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45875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45875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45875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45875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45875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45875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45875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45875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45875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45875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45875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45875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45875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45875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45875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45875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45875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45875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45875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45875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45875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45875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45875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45875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45875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45875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45875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45875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45875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45875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45875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45875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45875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45875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45875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45875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45875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45875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45875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45875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45875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45875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45875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45875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45875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45875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45875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45875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45875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45875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45875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45875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45875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45875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45875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45875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45875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45875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45875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45875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45875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45875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45875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45875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45875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45875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45875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45875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45875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45875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45875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45875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45875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45875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45875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45875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45875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45875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45875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45875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45875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45875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45875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45875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45875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45875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45875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45875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45875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45875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45875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45875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45875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45875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45875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45875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45875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45875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45875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45875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45875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45875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45875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45875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45875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45875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45875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45875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45875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45875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45875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45875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45875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45875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45875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45875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45875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45875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45875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45875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45875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45875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45875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45875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45875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45875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45875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45875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45875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45875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45875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45875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45875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45875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45875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45875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45875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45875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45875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45875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45875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45875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45875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45875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45875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45875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45875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45875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45875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45875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45875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45875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45875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45875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45875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45875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45875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45875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45875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45875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45875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45875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45875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45875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45875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45875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45875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45875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45875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45875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45875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45875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45875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45875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45875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45875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45875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45875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45875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45875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45875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45875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45875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45875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45875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45875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45875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45875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45875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45875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45875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45875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45875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45875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45875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45875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45875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45875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45875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45875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45875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45875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45875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45875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45875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45875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45875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45875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45875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45875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45875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45875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45875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45875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45875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45875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45875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45875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45875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45875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45875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45875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45875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45875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45875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45875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45875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45875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45875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45875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45875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45875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45875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45875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45875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45875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45875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45875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45875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45875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45875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45875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45875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45875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45875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45875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45875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45875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45875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45875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45875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45875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45875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45875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45875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45875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45875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45875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45875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45875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45875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45875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45875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45875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45875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45875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45875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45875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45875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45875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45875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45875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45875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45875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45875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45875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45875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45875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45875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45875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45875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45875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45875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45875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45875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45875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45875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45875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45875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45875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45875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45875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45875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45875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45875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45875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45875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45875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45875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45875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45875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45875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45875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45875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45875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45875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45875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45875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45875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45875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45875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45875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45875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45875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45875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45875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45875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45875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45875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45875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45875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45875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45875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45875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45875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45875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45875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45875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45875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45875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45875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45875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45875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45875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45875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45875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45875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45875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45875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45875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45875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45875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45875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45875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45875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45875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45875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45875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45875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45875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45875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45875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45875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45875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45875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45875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45875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45875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45875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45875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45875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45875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45875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45875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45875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45875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45875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45875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45875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45875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45875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45875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45875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45875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45875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45875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45875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45875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45875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45875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45875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45875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45875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45875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45875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45875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45875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45875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45875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45875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45875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45875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45875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45875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45875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45875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45875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45875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45875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45875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45875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45875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45875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45875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45875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45875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45875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45875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45875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45875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45875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45875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45875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45875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45875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45875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45875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45875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45875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45875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45875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45875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45875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45875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45875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45875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45875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45875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45875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45875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45875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45875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45875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45875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45875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45875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45875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45875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45875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45875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45875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45875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45875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45875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45875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45875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45875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45875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45875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45875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45875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45875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45875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45875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45875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45875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45875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45875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45875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45875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45875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45875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45875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45875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45875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45875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45875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45875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45875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45875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45875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45875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45875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45875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45875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45875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45875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45875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45875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45875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45875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45875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45875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45875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45875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45875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45875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45875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45875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45875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45875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45875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45875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45875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45875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45875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45875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45875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45875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45875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45875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45875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45875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45875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45875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45875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45875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45875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45875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45875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45875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45875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45875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45875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45875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45875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45875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45875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45875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45875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45875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45875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45875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45875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45875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45875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45875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45875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45875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45875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45875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45875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45875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45875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45875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45875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45875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45875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45875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45875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45875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45875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45875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45875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45875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45875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45875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45875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45875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45875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45875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45875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45875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45875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45875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45875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45875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45875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45875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45875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45875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45875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45875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45875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45875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45875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45875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45875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45875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45875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45875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45875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45875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45875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45875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45875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45875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45875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45875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45875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45875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45875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45875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45875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45875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45875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45875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45875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45875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45875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45875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45875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45875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45875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45875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45875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45875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45875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45875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45875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45875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45875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45875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45875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45875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45875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45875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45875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45875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45875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45875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45875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45875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45875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45875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45875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45875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45875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45875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45875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45875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45875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45875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45875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45875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45875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45875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45875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45875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45875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45875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45875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29465-2025</t>
        </is>
      </c>
      <c r="B787" s="1" t="n">
        <v>45824</v>
      </c>
      <c r="C787" s="1" t="n">
        <v>45875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45875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31510-2025</t>
        </is>
      </c>
      <c r="B789" s="1" t="n">
        <v>45833</v>
      </c>
      <c r="C789" s="1" t="n">
        <v>45875</v>
      </c>
      <c r="D789" t="inlineStr">
        <is>
          <t>VÄSTERBOTTENS LÄN</t>
        </is>
      </c>
      <c r="E789" t="inlineStr">
        <is>
          <t>DOROTEA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31532-2025</t>
        </is>
      </c>
      <c r="B790" s="1" t="n">
        <v>45833</v>
      </c>
      <c r="C790" s="1" t="n">
        <v>45875</v>
      </c>
      <c r="D790" t="inlineStr">
        <is>
          <t>VÄSTERBOTTENS LÄN</t>
        </is>
      </c>
      <c r="E790" t="inlineStr">
        <is>
          <t>DOROTEA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31835-2025</t>
        </is>
      </c>
      <c r="B791" s="1" t="n">
        <v>45834</v>
      </c>
      <c r="C791" s="1" t="n">
        <v>45875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31799-2025</t>
        </is>
      </c>
      <c r="B792" s="1" t="n">
        <v>45834</v>
      </c>
      <c r="C792" s="1" t="n">
        <v>45875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33091-2025</t>
        </is>
      </c>
      <c r="B793" s="1" t="n">
        <v>45840</v>
      </c>
      <c r="C793" s="1" t="n">
        <v>45875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45875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33267-2025</t>
        </is>
      </c>
      <c r="B795" s="1" t="n">
        <v>45840</v>
      </c>
      <c r="C795" s="1" t="n">
        <v>45875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45875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45875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34279-2025</t>
        </is>
      </c>
      <c r="B798" s="1" t="n">
        <v>45846</v>
      </c>
      <c r="C798" s="1" t="n">
        <v>45875</v>
      </c>
      <c r="D798" t="inlineStr">
        <is>
          <t>VÄSTERBOTTENS LÄN</t>
        </is>
      </c>
      <c r="E798" t="inlineStr">
        <is>
          <t>DOROTEA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34503-2025</t>
        </is>
      </c>
      <c r="B799" s="1" t="n">
        <v>45846</v>
      </c>
      <c r="C799" s="1" t="n">
        <v>45875</v>
      </c>
      <c r="D799" t="inlineStr">
        <is>
          <t>VÄSTERBOTTENS LÄN</t>
        </is>
      </c>
      <c r="E799" t="inlineStr">
        <is>
          <t>DOROTEA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34489-2025</t>
        </is>
      </c>
      <c r="B800" s="1" t="n">
        <v>45847</v>
      </c>
      <c r="C800" s="1" t="n">
        <v>45875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34604-2025</t>
        </is>
      </c>
      <c r="B801" s="1" t="n">
        <v>45847</v>
      </c>
      <c r="C801" s="1" t="n">
        <v>45875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34488-2025</t>
        </is>
      </c>
      <c r="B802" s="1" t="n">
        <v>45847</v>
      </c>
      <c r="C802" s="1" t="n">
        <v>45875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45875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34682-2025</t>
        </is>
      </c>
      <c r="B804" s="1" t="n">
        <v>45848</v>
      </c>
      <c r="C804" s="1" t="n">
        <v>45875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34857-2025</t>
        </is>
      </c>
      <c r="B805" s="1" t="n">
        <v>45849</v>
      </c>
      <c r="C805" s="1" t="n">
        <v>45875</v>
      </c>
      <c r="D805" t="inlineStr">
        <is>
          <t>VÄSTERBOTTENS LÄN</t>
        </is>
      </c>
      <c r="E805" t="inlineStr">
        <is>
          <t>DOROTEA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34856-2025</t>
        </is>
      </c>
      <c r="B806" s="1" t="n">
        <v>45849</v>
      </c>
      <c r="C806" s="1" t="n">
        <v>45875</v>
      </c>
      <c r="D806" t="inlineStr">
        <is>
          <t>VÄSTERBOTTENS LÄN</t>
        </is>
      </c>
      <c r="E806" t="inlineStr">
        <is>
          <t>DOROTEA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35093-2025</t>
        </is>
      </c>
      <c r="B807" s="1" t="n">
        <v>45852</v>
      </c>
      <c r="C807" s="1" t="n">
        <v>45875</v>
      </c>
      <c r="D807" t="inlineStr">
        <is>
          <t>VÄSTERBOTTENS LÄN</t>
        </is>
      </c>
      <c r="E807" t="inlineStr">
        <is>
          <t>DOROTEA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35291-2025</t>
        </is>
      </c>
      <c r="B808" s="1" t="n">
        <v>45854</v>
      </c>
      <c r="C808" s="1" t="n">
        <v>45875</v>
      </c>
      <c r="D808" t="inlineStr">
        <is>
          <t>VÄSTERBOTTENS LÄN</t>
        </is>
      </c>
      <c r="E808" t="inlineStr">
        <is>
          <t>DOROTEA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35298-2025</t>
        </is>
      </c>
      <c r="B809" s="1" t="n">
        <v>45854</v>
      </c>
      <c r="C809" s="1" t="n">
        <v>45875</v>
      </c>
      <c r="D809" t="inlineStr">
        <is>
          <t>VÄSTERBOTTENS LÄN</t>
        </is>
      </c>
      <c r="E809" t="inlineStr">
        <is>
          <t>DOROTEA</t>
        </is>
      </c>
      <c r="F809" t="inlineStr">
        <is>
          <t>SCA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35418-2025</t>
        </is>
      </c>
      <c r="B810" s="1" t="n">
        <v>45855</v>
      </c>
      <c r="C810" s="1" t="n">
        <v>45875</v>
      </c>
      <c r="D810" t="inlineStr">
        <is>
          <t>VÄSTERBOTTENS LÄN</t>
        </is>
      </c>
      <c r="E810" t="inlineStr">
        <is>
          <t>DOROTEA</t>
        </is>
      </c>
      <c r="F810" t="inlineStr">
        <is>
          <t>SCA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35437-2025</t>
        </is>
      </c>
      <c r="B811" s="1" t="n">
        <v>45855</v>
      </c>
      <c r="C811" s="1" t="n">
        <v>45875</v>
      </c>
      <c r="D811" t="inlineStr">
        <is>
          <t>VÄSTERBOTTENS LÄN</t>
        </is>
      </c>
      <c r="E811" t="inlineStr">
        <is>
          <t>DOROTEA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35438-2025</t>
        </is>
      </c>
      <c r="B812" s="1" t="n">
        <v>45855</v>
      </c>
      <c r="C812" s="1" t="n">
        <v>45875</v>
      </c>
      <c r="D812" t="inlineStr">
        <is>
          <t>VÄSTERBOTTENS LÄN</t>
        </is>
      </c>
      <c r="E812" t="inlineStr">
        <is>
          <t>DOROTEA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35444-2025</t>
        </is>
      </c>
      <c r="B813" s="1" t="n">
        <v>45855</v>
      </c>
      <c r="C813" s="1" t="n">
        <v>45875</v>
      </c>
      <c r="D813" t="inlineStr">
        <is>
          <t>VÄSTERBOTTENS LÄN</t>
        </is>
      </c>
      <c r="E813" t="inlineStr">
        <is>
          <t>DOROTEA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35630-2025</t>
        </is>
      </c>
      <c r="B814" s="1" t="n">
        <v>45859</v>
      </c>
      <c r="C814" s="1" t="n">
        <v>45875</v>
      </c>
      <c r="D814" t="inlineStr">
        <is>
          <t>VÄSTERBOTTENS LÄN</t>
        </is>
      </c>
      <c r="E814" t="inlineStr">
        <is>
          <t>DOROTEA</t>
        </is>
      </c>
      <c r="F814" t="inlineStr">
        <is>
          <t>SCA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35631-2025</t>
        </is>
      </c>
      <c r="B815" s="1" t="n">
        <v>45859</v>
      </c>
      <c r="C815" s="1" t="n">
        <v>45875</v>
      </c>
      <c r="D815" t="inlineStr">
        <is>
          <t>VÄSTERBOTTENS LÄN</t>
        </is>
      </c>
      <c r="E815" t="inlineStr">
        <is>
          <t>DOROTEA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35937-2025</t>
        </is>
      </c>
      <c r="B816" s="1" t="n">
        <v>45862</v>
      </c>
      <c r="C816" s="1" t="n">
        <v>45875</v>
      </c>
      <c r="D816" t="inlineStr">
        <is>
          <t>VÄSTERBOTTENS LÄN</t>
        </is>
      </c>
      <c r="E816" t="inlineStr">
        <is>
          <t>DOROTEA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36111-2025</t>
        </is>
      </c>
      <c r="B817" s="1" t="n">
        <v>45866</v>
      </c>
      <c r="C817" s="1" t="n">
        <v>45875</v>
      </c>
      <c r="D817" t="inlineStr">
        <is>
          <t>VÄSTERBOTTENS LÄN</t>
        </is>
      </c>
      <c r="E817" t="inlineStr">
        <is>
          <t>DOROTEA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36096-2025</t>
        </is>
      </c>
      <c r="B818" s="1" t="n">
        <v>45866</v>
      </c>
      <c r="C818" s="1" t="n">
        <v>45875</v>
      </c>
      <c r="D818" t="inlineStr">
        <is>
          <t>VÄSTERBOTTENS LÄN</t>
        </is>
      </c>
      <c r="E818" t="inlineStr">
        <is>
          <t>DOROTEA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36125-2025</t>
        </is>
      </c>
      <c r="B819" s="1" t="n">
        <v>45866</v>
      </c>
      <c r="C819" s="1" t="n">
        <v>45875</v>
      </c>
      <c r="D819" t="inlineStr">
        <is>
          <t>VÄSTERBOTTENS LÄN</t>
        </is>
      </c>
      <c r="E819" t="inlineStr">
        <is>
          <t>DOROTEA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36363-2025</t>
        </is>
      </c>
      <c r="B820" s="1" t="n">
        <v>45867</v>
      </c>
      <c r="C820" s="1" t="n">
        <v>45875</v>
      </c>
      <c r="D820" t="inlineStr">
        <is>
          <t>VÄSTERBOTTENS LÄN</t>
        </is>
      </c>
      <c r="E820" t="inlineStr">
        <is>
          <t>DOROTEA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36161-2025</t>
        </is>
      </c>
      <c r="B821" s="1" t="n">
        <v>45867</v>
      </c>
      <c r="C821" s="1" t="n">
        <v>45875</v>
      </c>
      <c r="D821" t="inlineStr">
        <is>
          <t>VÄSTERBOTTENS LÄN</t>
        </is>
      </c>
      <c r="E821" t="inlineStr">
        <is>
          <t>DOROTEA</t>
        </is>
      </c>
      <c r="F821" t="inlineStr">
        <is>
          <t>SCA</t>
        </is>
      </c>
      <c r="G821" t="n">
        <v>14.2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36162-2025</t>
        </is>
      </c>
      <c r="B822" s="1" t="n">
        <v>45867</v>
      </c>
      <c r="C822" s="1" t="n">
        <v>45875</v>
      </c>
      <c r="D822" t="inlineStr">
        <is>
          <t>VÄSTERBOTTENS LÄN</t>
        </is>
      </c>
      <c r="E822" t="inlineStr">
        <is>
          <t>DOROTEA</t>
        </is>
      </c>
      <c r="F822" t="inlineStr">
        <is>
          <t>SCA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36871-2025</t>
        </is>
      </c>
      <c r="B823" s="1" t="n">
        <v>45874</v>
      </c>
      <c r="C823" s="1" t="n">
        <v>45875</v>
      </c>
      <c r="D823" t="inlineStr">
        <is>
          <t>VÄSTERBOTTENS LÄN</t>
        </is>
      </c>
      <c r="E823" t="inlineStr">
        <is>
          <t>DOROTEA</t>
        </is>
      </c>
      <c r="F823" t="inlineStr">
        <is>
          <t>SCA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36984-2025</t>
        </is>
      </c>
      <c r="B824" s="1" t="n">
        <v>45874</v>
      </c>
      <c r="C824" s="1" t="n">
        <v>45875</v>
      </c>
      <c r="D824" t="inlineStr">
        <is>
          <t>VÄSTERBOTTENS LÄN</t>
        </is>
      </c>
      <c r="E824" t="inlineStr">
        <is>
          <t>DOROTEA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36844-2025</t>
        </is>
      </c>
      <c r="B825" s="1" t="n">
        <v>45874</v>
      </c>
      <c r="C825" s="1" t="n">
        <v>45875</v>
      </c>
      <c r="D825" t="inlineStr">
        <is>
          <t>VÄSTERBOTTENS LÄN</t>
        </is>
      </c>
      <c r="E825" t="inlineStr">
        <is>
          <t>DOROTEA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36945-2025</t>
        </is>
      </c>
      <c r="B826" s="1" t="n">
        <v>45874</v>
      </c>
      <c r="C826" s="1" t="n">
        <v>45875</v>
      </c>
      <c r="D826" t="inlineStr">
        <is>
          <t>VÄSTERBOTTENS LÄN</t>
        </is>
      </c>
      <c r="E826" t="inlineStr">
        <is>
          <t>DOROTEA</t>
        </is>
      </c>
      <c r="F826" t="inlineStr">
        <is>
          <t>SCA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36977-2025</t>
        </is>
      </c>
      <c r="B827" s="1" t="n">
        <v>45874</v>
      </c>
      <c r="C827" s="1" t="n">
        <v>45875</v>
      </c>
      <c r="D827" t="inlineStr">
        <is>
          <t>VÄSTERBOTTENS LÄN</t>
        </is>
      </c>
      <c r="E827" t="inlineStr">
        <is>
          <t>DOROTEA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36845-2025</t>
        </is>
      </c>
      <c r="B828" s="1" t="n">
        <v>45874</v>
      </c>
      <c r="C828" s="1" t="n">
        <v>45875</v>
      </c>
      <c r="D828" t="inlineStr">
        <is>
          <t>VÄSTERBOTTENS LÄN</t>
        </is>
      </c>
      <c r="E828" t="inlineStr">
        <is>
          <t>DOROTEA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2025-08-06T19:54:24Z</dcterms:created>
  <dcterms:modified xmlns:dcterms="http://purl.org/dc/terms/" xmlns:xsi="http://www.w3.org/2001/XMLSchema-instance" xsi:type="dcterms:W3CDTF">2025-08-06T19:54:25Z</dcterms:modified>
</cp:coreProperties>
</file>