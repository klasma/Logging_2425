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46296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46296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46296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46296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46296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57059-2024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45629</v>
      </c>
      <c r="E7" s="1" t="n">
        <v>46296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7.5</v>
      </c>
      <c r="J7" t="n">
        <v>0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Harticka
Lunglav
Skrovellav
Vitgrynig nållav
Barkticka
Luddlav</t>
        </is>
      </c>
      <c r="W7">
        <f>HYPERLINK("https://klasma.github.io/Logging_2425/artfynd/A 57059-2024 artfynd.xlsx", "A 57059-2024")</f>
        <v/>
      </c>
      <c r="X7">
        <f>HYPERLINK("https://klasma.github.io/Logging_2425/kartor/A 57059-2024 karta.png", "A 57059-2024")</f>
        <v/>
      </c>
      <c r="Y7">
        <f>HYPERLINK("https://klasma.github.io/Logging_2425/kartor_geotiff/A 57059-2024 georefererad karta.tif", "A 57059-2024")</f>
        <v/>
      </c>
      <c r="AA7">
        <f>HYPERLINK("https://klasma.github.io/Logging_2425/klagomål/A 57059-2024 FSC-klagomål.docx", "A 57059-2024")</f>
        <v/>
      </c>
      <c r="AB7">
        <f>HYPERLINK("https://klasma.github.io/Logging_2425/klagomålsmail/A 57059-2024 FSC-klagomål mail.docx", "A 57059-2024")</f>
        <v/>
      </c>
      <c r="AC7">
        <f>HYPERLINK("https://klasma.github.io/Logging_2425/tillsyn/A 57059-2024 tillsynsbegäran.docx", "A 57059-2024")</f>
        <v/>
      </c>
      <c r="AD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46296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67790-2021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44526</v>
      </c>
      <c r="E9" s="1" t="n">
        <v>46296</v>
      </c>
      <c r="F9" t="inlineStr">
        <is>
          <t>VÄSTERBOTTENS LÄN</t>
        </is>
      </c>
      <c r="G9" t="inlineStr">
        <is>
          <t>DOROTEA</t>
        </is>
      </c>
      <c r="H9" t="inlineStr">
        <is>
          <t>Övriga statliga verk och myndigheter</t>
        </is>
      </c>
      <c r="I9" t="n">
        <v>3.2</v>
      </c>
      <c r="J9" t="n">
        <v>4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24</v>
      </c>
      <c r="U9" t="n">
        <v>10</v>
      </c>
      <c r="V9" s="2" t="inlineStr">
        <is>
          <t>Tretåig hackspett
Axag
Gräsull
Skogsrör
Brudsporre
Lopplummer (aggregat)</t>
        </is>
      </c>
      <c r="W9">
        <f>HYPERLINK("https://klasma.github.io/Logging_2425/artfynd/A 67790-2021 artfynd.xlsx", "A 67790-2021")</f>
        <v/>
      </c>
      <c r="X9">
        <f>HYPERLINK("https://klasma.github.io/Logging_2425/kartor/A 67790-2021 karta.png", "A 67790-2021")</f>
        <v/>
      </c>
      <c r="Y9">
        <f>HYPERLINK("https://klasma.github.io/Logging_2425/kartor_geotiff/A 67790-2021 georefererad karta.tif", "A 67790-2021")</f>
        <v/>
      </c>
      <c r="AA9">
        <f>HYPERLINK("https://klasma.github.io/Logging_2425/klagomål/A 67790-2021 FSC-klagomål.docx", "A 67790-2021")</f>
        <v/>
      </c>
      <c r="AB9">
        <f>HYPERLINK("https://klasma.github.io/Logging_2425/klagomålsmail/A 67790-2021 FSC-klagomål mail.docx", "A 67790-2021")</f>
        <v/>
      </c>
      <c r="AC9">
        <f>HYPERLINK("https://klasma.github.io/Logging_2425/tillsyn/A 67790-2021 tillsynsbegäran.docx", "A 67790-2021")</f>
        <v/>
      </c>
      <c r="AD9">
        <f>HYPERLINK("https://klasma.github.io/Logging_2425/tillsynsmail/A 67790-2021 tillsynsbegäran mail.docx", "A 67790-2021")</f>
        <v/>
      </c>
      <c r="AE9">
        <f>HYPERLINK("https://klasma.github.io/Logging_2425/fåglar/A 67790-2021 prioriterade fågelarter.docx", "A 67790-2021")</f>
        <v/>
      </c>
    </row>
    <row r="10" ht="15" customHeight="1">
      <c r="A10" t="inlineStr">
        <is>
          <t>A 33655-2023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46296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21.4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12</v>
      </c>
      <c r="U10" t="n">
        <v>12</v>
      </c>
      <c r="V10" s="2" t="inlineStr">
        <is>
          <t>Garnlav
Fjällig taggsvamp s.str.
Harticka
Rosenticka
Ullticka
Trådticka</t>
        </is>
      </c>
      <c r="W10">
        <f>HYPERLINK("https://klasma.github.io/Logging_2425/artfynd/A 33655-2023 artfynd.xlsx", "A 33655-2023")</f>
        <v/>
      </c>
      <c r="X10">
        <f>HYPERLINK("https://klasma.github.io/Logging_2425/kartor/A 33655-2023 karta.png", "A 33655-2023")</f>
        <v/>
      </c>
      <c r="Y10">
        <f>HYPERLINK("https://klasma.github.io/Logging_2425/kartor_geotiff/A 33655-2023 georefererad karta.tif", "A 33655-2023")</f>
        <v/>
      </c>
      <c r="AA10">
        <f>HYPERLINK("https://klasma.github.io/Logging_2425/klagomål/A 33655-2023 FSC-klagomål.docx", "A 33655-2023")</f>
        <v/>
      </c>
      <c r="AB10">
        <f>HYPERLINK("https://klasma.github.io/Logging_2425/klagomålsmail/A 33655-2023 FSC-klagomål mail.docx", "A 33655-2023")</f>
        <v/>
      </c>
      <c r="AC10">
        <f>HYPERLINK("https://klasma.github.io/Logging_2425/tillsyn/A 33655-2023 tillsynsbegäran.docx", "A 33655-2023")</f>
        <v/>
      </c>
      <c r="AD10">
        <f>HYPERLINK("https://klasma.github.io/Logging_2425/tillsynsmail/A 33655-2023 tillsynsbegäran mail.docx", "A 33655-2023")</f>
        <v/>
      </c>
    </row>
    <row r="11" ht="15" customHeight="1">
      <c r="A11" t="inlineStr">
        <is>
          <t>A 33659-2023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46296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21.1</v>
      </c>
      <c r="J11" t="n">
        <v>2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36</v>
      </c>
      <c r="U11" t="n">
        <v>36</v>
      </c>
      <c r="V11" s="2" t="inlineStr">
        <is>
          <t>Garnlav
Harticka
Lavskrika
Stjärntagging
Tretåig hackspett
Trådticka</t>
        </is>
      </c>
      <c r="W11">
        <f>HYPERLINK("https://klasma.github.io/Logging_2425/artfynd/A 33659-2023 artfynd.xlsx", "A 33659-2023")</f>
        <v/>
      </c>
      <c r="X11">
        <f>HYPERLINK("https://klasma.github.io/Logging_2425/kartor/A 33659-2023 karta.png", "A 33659-2023")</f>
        <v/>
      </c>
      <c r="Y11">
        <f>HYPERLINK("https://klasma.github.io/Logging_2425/kartor_geotiff/A 33659-2023 georefererad karta.tif", "A 33659-2023")</f>
        <v/>
      </c>
      <c r="AA11">
        <f>HYPERLINK("https://klasma.github.io/Logging_2425/klagomål/A 33659-2023 FSC-klagomål.docx", "A 33659-2023")</f>
        <v/>
      </c>
      <c r="AB11">
        <f>HYPERLINK("https://klasma.github.io/Logging_2425/klagomålsmail/A 33659-2023 FSC-klagomål mail.docx", "A 33659-2023")</f>
        <v/>
      </c>
      <c r="AC11">
        <f>HYPERLINK("https://klasma.github.io/Logging_2425/tillsyn/A 33659-2023 tillsynsbegäran.docx", "A 33659-2023")</f>
        <v/>
      </c>
      <c r="AD11">
        <f>HYPERLINK("https://klasma.github.io/Logging_2425/tillsynsmail/A 33659-2023 tillsynsbegäran mail.docx", "A 33659-2023")</f>
        <v/>
      </c>
      <c r="AE11">
        <f>HYPERLINK("https://klasma.github.io/Logging_2425/fåglar/A 33659-2023 prioriterade fågelarter.docx", "A 33659-2023")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46296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46296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46296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46296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47493-2023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45202</v>
      </c>
      <c r="E16" s="1" t="n">
        <v>46296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4.9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4</v>
      </c>
      <c r="U16" t="n">
        <v>4</v>
      </c>
      <c r="V16" s="2" t="inlineStr">
        <is>
          <t>Ostticka
Lunglav
Tretåig hackspett
Ullticka</t>
        </is>
      </c>
      <c r="W16">
        <f>HYPERLINK("https://klasma.github.io/Logging_2425/artfynd/A 47493-2023 artfynd.xlsx", "A 47493-2023")</f>
        <v/>
      </c>
      <c r="X16">
        <f>HYPERLINK("https://klasma.github.io/Logging_2425/kartor/A 47493-2023 karta.png", "A 47493-2023")</f>
        <v/>
      </c>
      <c r="Y16">
        <f>HYPERLINK("https://klasma.github.io/Logging_2425/kartor_geotiff/A 47493-2023 georefererad karta.tif", "A 47493-2023")</f>
        <v/>
      </c>
      <c r="AA16">
        <f>HYPERLINK("https://klasma.github.io/Logging_2425/klagomål/A 47493-2023 FSC-klagomål.docx", "A 47493-2023")</f>
        <v/>
      </c>
      <c r="AB16">
        <f>HYPERLINK("https://klasma.github.io/Logging_2425/klagomålsmail/A 47493-2023 FSC-klagomål mail.docx", "A 47493-2023")</f>
        <v/>
      </c>
      <c r="AC16">
        <f>HYPERLINK("https://klasma.github.io/Logging_2425/tillsyn/A 47493-2023 tillsynsbegäran.docx", "A 47493-2023")</f>
        <v/>
      </c>
      <c r="AD16">
        <f>HYPERLINK("https://klasma.github.io/Logging_2425/tillsynsmail/A 47493-2023 tillsynsbegäran mail.docx", "A 47493-2023")</f>
        <v/>
      </c>
      <c r="AE16">
        <f>HYPERLINK("https://klasma.github.io/Logging_2425/fåglar/A 47493-2023 prioriterade fågelarter.docx", "A 47493-2023")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46296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46296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4828-2023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44957</v>
      </c>
      <c r="E19" s="1" t="n">
        <v>46296</v>
      </c>
      <c r="F19" t="inlineStr">
        <is>
          <t>VÄSTERBOTTENS LÄN</t>
        </is>
      </c>
      <c r="G19" t="inlineStr">
        <is>
          <t>DOROTEA</t>
        </is>
      </c>
      <c r="I19" t="n">
        <v>8</v>
      </c>
      <c r="J19" t="n">
        <v>1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Garnlav
Vitgrynig nållav
Spindelblomster</t>
        </is>
      </c>
      <c r="W19">
        <f>HYPERLINK("https://klasma.github.io/Logging_2425/artfynd/A 4828-2023 artfynd.xlsx", "A 4828-2023")</f>
        <v/>
      </c>
      <c r="X19">
        <f>HYPERLINK("https://klasma.github.io/Logging_2425/kartor/A 4828-2023 karta.png", "A 4828-2023")</f>
        <v/>
      </c>
      <c r="Y19">
        <f>HYPERLINK("https://klasma.github.io/Logging_2425/kartor_geotiff/A 4828-2023 georefererad karta.tif", "A 4828-2023")</f>
        <v/>
      </c>
      <c r="AA19">
        <f>HYPERLINK("https://klasma.github.io/Logging_2425/klagomål/A 4828-2023 FSC-klagomål.docx", "A 4828-2023")</f>
        <v/>
      </c>
      <c r="AB19">
        <f>HYPERLINK("https://klasma.github.io/Logging_2425/klagomålsmail/A 4828-2023 FSC-klagomål mail.docx", "A 4828-2023")</f>
        <v/>
      </c>
      <c r="AC19">
        <f>HYPERLINK("https://klasma.github.io/Logging_2425/tillsyn/A 4828-2023 tillsynsbegäran.docx", "A 4828-2023")</f>
        <v/>
      </c>
      <c r="AD19">
        <f>HYPERLINK("https://klasma.github.io/Logging_2425/tillsynsmail/A 4828-2023 tillsynsbegäran mail.docx", "A 4828-2023")</f>
        <v/>
      </c>
    </row>
    <row r="20" ht="15" customHeight="1">
      <c r="A20" t="inlineStr">
        <is>
          <t>A 21672-2023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46296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7.4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Doftskinn
Skrovellav
Ullticka</t>
        </is>
      </c>
      <c r="W20">
        <f>HYPERLINK("https://klasma.github.io/Logging_2425/artfynd/A 21672-2023 artfynd.xlsx", "A 21672-2023")</f>
        <v/>
      </c>
      <c r="X20">
        <f>HYPERLINK("https://klasma.github.io/Logging_2425/kartor/A 21672-2023 karta.png", "A 21672-2023")</f>
        <v/>
      </c>
      <c r="Y20">
        <f>HYPERLINK("https://klasma.github.io/Logging_2425/kartor_geotiff/A 21672-2023 georefererad karta.tif", "A 21672-2023")</f>
        <v/>
      </c>
      <c r="AA20">
        <f>HYPERLINK("https://klasma.github.io/Logging_2425/klagomål/A 21672-2023 FSC-klagomål.docx", "A 21672-2023")</f>
        <v/>
      </c>
      <c r="AB20">
        <f>HYPERLINK("https://klasma.github.io/Logging_2425/klagomålsmail/A 21672-2023 FSC-klagomål mail.docx", "A 21672-2023")</f>
        <v/>
      </c>
      <c r="AC20">
        <f>HYPERLINK("https://klasma.github.io/Logging_2425/tillsyn/A 21672-2023 tillsynsbegäran.docx", "A 21672-2023")</f>
        <v/>
      </c>
      <c r="AD20">
        <f>HYPERLINK("https://klasma.github.io/Logging_2425/tillsynsmail/A 21672-2023 tillsynsbegäran mail.docx", "A 21672-2023")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46296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57783-2025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46296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8.5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Gammelgransskål
Tretåig hackspett</t>
        </is>
      </c>
      <c r="W22">
        <f>HYPERLINK("https://klasma.github.io/Logging_2425/artfynd/A 57783-2025 artfynd.xlsx", "A 57783-2025")</f>
        <v/>
      </c>
      <c r="X22">
        <f>HYPERLINK("https://klasma.github.io/Logging_2425/kartor/A 57783-2025 karta.png", "A 57783-2025")</f>
        <v/>
      </c>
      <c r="Y22">
        <f>HYPERLINK("https://klasma.github.io/Logging_2425/kartor_geotiff/A 57783-2025 georefererad karta.tif", "A 57783-2025")</f>
        <v/>
      </c>
      <c r="AA22">
        <f>HYPERLINK("https://klasma.github.io/Logging_2425/klagomål/A 57783-2025 FSC-klagomål.docx", "A 57783-2025")</f>
        <v/>
      </c>
      <c r="AB22">
        <f>HYPERLINK("https://klasma.github.io/Logging_2425/klagomålsmail/A 57783-2025 FSC-klagomål mail.docx", "A 57783-2025")</f>
        <v/>
      </c>
      <c r="AC22">
        <f>HYPERLINK("https://klasma.github.io/Logging_2425/tillsyn/A 57783-2025 tillsynsbegäran.docx", "A 57783-2025")</f>
        <v/>
      </c>
      <c r="AD22">
        <f>HYPERLINK("https://klasma.github.io/Logging_2425/tillsynsmail/A 57783-2025 tillsynsbegäran mail.docx", "A 57783-2025")</f>
        <v/>
      </c>
      <c r="AE22">
        <f>HYPERLINK("https://klasma.github.io/Logging_2425/fåglar/A 57783-2025 prioriterade fågelarter.docx", "A 57783-2025")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46296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46296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27234-2024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45471</v>
      </c>
      <c r="E25" s="1" t="n">
        <v>46296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2.2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Rynkskinn
Skrovellav</t>
        </is>
      </c>
      <c r="W25">
        <f>HYPERLINK("https://klasma.github.io/Logging_2425/artfynd/A 27234-2024 artfynd.xlsx", "A 27234-2024")</f>
        <v/>
      </c>
      <c r="X25">
        <f>HYPERLINK("https://klasma.github.io/Logging_2425/kartor/A 27234-2024 karta.png", "A 27234-2024")</f>
        <v/>
      </c>
      <c r="Y25">
        <f>HYPERLINK("https://klasma.github.io/Logging_2425/kartor_geotiff/A 27234-2024 georefererad karta.tif", "A 27234-2024")</f>
        <v/>
      </c>
      <c r="AA25">
        <f>HYPERLINK("https://klasma.github.io/Logging_2425/klagomål/A 27234-2024 FSC-klagomål.docx", "A 27234-2024")</f>
        <v/>
      </c>
      <c r="AB25">
        <f>HYPERLINK("https://klasma.github.io/Logging_2425/klagomålsmail/A 27234-2024 FSC-klagomål mail.docx", "A 27234-2024")</f>
        <v/>
      </c>
      <c r="AC25">
        <f>HYPERLINK("https://klasma.github.io/Logging_2425/tillsyn/A 27234-2024 tillsynsbegäran.docx", "A 27234-2024")</f>
        <v/>
      </c>
      <c r="AD25">
        <f>HYPERLINK("https://klasma.github.io/Logging_2425/tillsynsmail/A 27234-2024 tillsynsbegäran mail.docx", "A 27234-2024")</f>
        <v/>
      </c>
    </row>
    <row r="26" ht="15" customHeight="1">
      <c r="A26" t="inlineStr">
        <is>
          <t>A 40013-2024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45553</v>
      </c>
      <c r="E26" s="1" t="n">
        <v>46296</v>
      </c>
      <c r="F26" t="inlineStr">
        <is>
          <t>VÄSTERBOTTENS LÄN</t>
        </is>
      </c>
      <c r="G26" t="inlineStr">
        <is>
          <t>DOROTEA</t>
        </is>
      </c>
      <c r="H26" t="inlineStr">
        <is>
          <t>Övriga statliga verk och myndigheter</t>
        </is>
      </c>
      <c r="I26" t="n">
        <v>1.5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Tretåig hackspett
Tjäder</t>
        </is>
      </c>
      <c r="W26">
        <f>HYPERLINK("https://klasma.github.io/Logging_2425/artfynd/A 40013-2024 artfynd.xlsx", "A 40013-2024")</f>
        <v/>
      </c>
      <c r="X26">
        <f>HYPERLINK("https://klasma.github.io/Logging_2425/kartor/A 40013-2024 karta.png", "A 40013-2024")</f>
        <v/>
      </c>
      <c r="Y26">
        <f>HYPERLINK("https://klasma.github.io/Logging_2425/kartor_geotiff/A 40013-2024 georefererad karta.tif", "A 40013-2024")</f>
        <v/>
      </c>
      <c r="AA26">
        <f>HYPERLINK("https://klasma.github.io/Logging_2425/klagomål/A 40013-2024 FSC-klagomål.docx", "A 40013-2024")</f>
        <v/>
      </c>
      <c r="AB26">
        <f>HYPERLINK("https://klasma.github.io/Logging_2425/klagomålsmail/A 40013-2024 FSC-klagomål mail.docx", "A 40013-2024")</f>
        <v/>
      </c>
      <c r="AC26">
        <f>HYPERLINK("https://klasma.github.io/Logging_2425/tillsyn/A 40013-2024 tillsynsbegäran.docx", "A 40013-2024")</f>
        <v/>
      </c>
      <c r="AD26">
        <f>HYPERLINK("https://klasma.github.io/Logging_2425/tillsynsmail/A 40013-2024 tillsynsbegäran mail.docx", "A 40013-2024")</f>
        <v/>
      </c>
      <c r="AE26">
        <f>HYPERLINK("https://klasma.github.io/Logging_2425/fåglar/A 40013-2024 prioriterade fågelarter.docx", "A 40013-2024")</f>
        <v/>
      </c>
    </row>
    <row r="27" ht="15" customHeight="1">
      <c r="A27" t="inlineStr">
        <is>
          <t>A 19589-2024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45429</v>
      </c>
      <c r="E27" s="1" t="n">
        <v>46296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1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Lunglav
Talltita</t>
        </is>
      </c>
      <c r="W27">
        <f>HYPERLINK("https://klasma.github.io/Logging_2425/artfynd/A 19589-2024 artfynd.xlsx", "A 19589-2024")</f>
        <v/>
      </c>
      <c r="X27">
        <f>HYPERLINK("https://klasma.github.io/Logging_2425/kartor/A 19589-2024 karta.png", "A 19589-2024")</f>
        <v/>
      </c>
      <c r="Y27">
        <f>HYPERLINK("https://klasma.github.io/Logging_2425/kartor_geotiff/A 19589-2024 georefererad karta.tif", "A 19589-2024")</f>
        <v/>
      </c>
      <c r="AA27">
        <f>HYPERLINK("https://klasma.github.io/Logging_2425/klagomål/A 19589-2024 FSC-klagomål.docx", "A 19589-2024")</f>
        <v/>
      </c>
      <c r="AB27">
        <f>HYPERLINK("https://klasma.github.io/Logging_2425/klagomålsmail/A 19589-2024 FSC-klagomål mail.docx", "A 19589-2024")</f>
        <v/>
      </c>
      <c r="AC27">
        <f>HYPERLINK("https://klasma.github.io/Logging_2425/tillsyn/A 19589-2024 tillsynsbegäran.docx", "A 19589-2024")</f>
        <v/>
      </c>
      <c r="AD27">
        <f>HYPERLINK("https://klasma.github.io/Logging_2425/tillsynsmail/A 19589-2024 tillsynsbegäran mail.docx", "A 19589-2024")</f>
        <v/>
      </c>
      <c r="AE27">
        <f>HYPERLINK("https://klasma.github.io/Logging_2425/fåglar/A 19589-2024 prioriterade fågelarter.docx", "A 19589-2024")</f>
        <v/>
      </c>
    </row>
    <row r="28" ht="15" customHeight="1">
      <c r="A28" t="inlineStr">
        <is>
          <t>A 17825-2024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45418</v>
      </c>
      <c r="E28" s="1" t="n">
        <v>46296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24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Skrovellav</t>
        </is>
      </c>
      <c r="W28">
        <f>HYPERLINK("https://klasma.github.io/Logging_2425/artfynd/A 17825-2024 artfynd.xlsx", "A 17825-2024")</f>
        <v/>
      </c>
      <c r="X28">
        <f>HYPERLINK("https://klasma.github.io/Logging_2425/kartor/A 17825-2024 karta.png", "A 17825-2024")</f>
        <v/>
      </c>
      <c r="Y28">
        <f>HYPERLINK("https://klasma.github.io/Logging_2425/kartor_geotiff/A 17825-2024 georefererad karta.tif", "A 17825-2024")</f>
        <v/>
      </c>
      <c r="AA28">
        <f>HYPERLINK("https://klasma.github.io/Logging_2425/klagomål/A 17825-2024 FSC-klagomål.docx", "A 17825-2024")</f>
        <v/>
      </c>
      <c r="AB28">
        <f>HYPERLINK("https://klasma.github.io/Logging_2425/klagomålsmail/A 17825-2024 FSC-klagomål mail.docx", "A 17825-2024")</f>
        <v/>
      </c>
      <c r="AC28">
        <f>HYPERLINK("https://klasma.github.io/Logging_2425/tillsyn/A 17825-2024 tillsynsbegäran.docx", "A 17825-2024")</f>
        <v/>
      </c>
      <c r="AD28">
        <f>HYPERLINK("https://klasma.github.io/Logging_2425/tillsynsmail/A 17825-2024 tillsynsbegäran mail.docx", "A 17825-2024")</f>
        <v/>
      </c>
    </row>
    <row r="29" ht="15" customHeight="1">
      <c r="A29" t="inlineStr">
        <is>
          <t>A 33263-2025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46296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Vedticka</t>
        </is>
      </c>
      <c r="W29">
        <f>HYPERLINK("https://klasma.github.io/Logging_2425/artfynd/A 33263-2025 artfynd.xlsx", "A 33263-2025")</f>
        <v/>
      </c>
      <c r="X29">
        <f>HYPERLINK("https://klasma.github.io/Logging_2425/kartor/A 33263-2025 karta.png", "A 33263-2025")</f>
        <v/>
      </c>
      <c r="Y29">
        <f>HYPERLINK("https://klasma.github.io/Logging_2425/kartor_geotiff/A 33263-2025 georefererad karta.tif", "A 33263-2025")</f>
        <v/>
      </c>
      <c r="AA29">
        <f>HYPERLINK("https://klasma.github.io/Logging_2425/klagomål/A 33263-2025 FSC-klagomål.docx", "A 33263-2025")</f>
        <v/>
      </c>
      <c r="AB29">
        <f>HYPERLINK("https://klasma.github.io/Logging_2425/klagomålsmail/A 33263-2025 FSC-klagomål mail.docx", "A 33263-2025")</f>
        <v/>
      </c>
      <c r="AC29">
        <f>HYPERLINK("https://klasma.github.io/Logging_2425/tillsyn/A 33263-2025 tillsynsbegäran.docx", "A 33263-2025")</f>
        <v/>
      </c>
      <c r="AD29">
        <f>HYPERLINK("https://klasma.github.io/Logging_2425/tillsynsmail/A 33263-2025 tillsynsbegäran mail.docx", "A 33263-2025")</f>
        <v/>
      </c>
    </row>
    <row r="30" ht="15" customHeight="1">
      <c r="A30" t="inlineStr">
        <is>
          <t>A 58736-2022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44902</v>
      </c>
      <c r="E30" s="1" t="n">
        <v>46296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58736-2022 artfynd.xlsx", "A 58736-2022")</f>
        <v/>
      </c>
      <c r="X30">
        <f>HYPERLINK("https://klasma.github.io/Logging_2425/kartor/A 58736-2022 karta.png", "A 58736-2022")</f>
        <v/>
      </c>
      <c r="Y30">
        <f>HYPERLINK("https://klasma.github.io/Logging_2425/kartor_geotiff/A 58736-2022 georefererad karta.tif", "A 58736-2022")</f>
        <v/>
      </c>
      <c r="AA30">
        <f>HYPERLINK("https://klasma.github.io/Logging_2425/klagomål/A 58736-2022 FSC-klagomål.docx", "A 58736-2022")</f>
        <v/>
      </c>
      <c r="AB30">
        <f>HYPERLINK("https://klasma.github.io/Logging_2425/klagomålsmail/A 58736-2022 FSC-klagomål mail.docx", "A 58736-2022")</f>
        <v/>
      </c>
      <c r="AC30">
        <f>HYPERLINK("https://klasma.github.io/Logging_2425/tillsyn/A 58736-2022 tillsynsbegäran.docx", "A 58736-2022")</f>
        <v/>
      </c>
      <c r="AD30">
        <f>HYPERLINK("https://klasma.github.io/Logging_2425/tillsynsmail/A 58736-2022 tillsynsbegäran mail.docx", "A 58736-2022")</f>
        <v/>
      </c>
    </row>
    <row r="31" ht="15" customHeight="1">
      <c r="A31" t="inlineStr">
        <is>
          <t>A 49045-2025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45937</v>
      </c>
      <c r="E31" s="1" t="n">
        <v>46296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4.5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Gammelgransskål
Tretåig hackspett</t>
        </is>
      </c>
      <c r="W31">
        <f>HYPERLINK("https://klasma.github.io/Logging_2425/artfynd/A 49045-2025 artfynd.xlsx", "A 49045-2025")</f>
        <v/>
      </c>
      <c r="X31">
        <f>HYPERLINK("https://klasma.github.io/Logging_2425/kartor/A 49045-2025 karta.png", "A 49045-2025")</f>
        <v/>
      </c>
      <c r="Y31">
        <f>HYPERLINK("https://klasma.github.io/Logging_2425/kartor_geotiff/A 49045-2025 georefererad karta.tif", "A 49045-2025")</f>
        <v/>
      </c>
      <c r="AA31">
        <f>HYPERLINK("https://klasma.github.io/Logging_2425/klagomål/A 49045-2025 FSC-klagomål.docx", "A 49045-2025")</f>
        <v/>
      </c>
      <c r="AB31">
        <f>HYPERLINK("https://klasma.github.io/Logging_2425/klagomålsmail/A 49045-2025 FSC-klagomål mail.docx", "A 49045-2025")</f>
        <v/>
      </c>
      <c r="AC31">
        <f>HYPERLINK("https://klasma.github.io/Logging_2425/tillsyn/A 49045-2025 tillsynsbegäran.docx", "A 49045-2025")</f>
        <v/>
      </c>
      <c r="AD31">
        <f>HYPERLINK("https://klasma.github.io/Logging_2425/tillsynsmail/A 49045-2025 tillsynsbegäran mail.docx", "A 49045-2025")</f>
        <v/>
      </c>
      <c r="AE31">
        <f>HYPERLINK("https://klasma.github.io/Logging_2425/fåglar/A 49045-2025 prioriterade fågelarter.docx", "A 49045-2025")</f>
        <v/>
      </c>
    </row>
    <row r="32" ht="15" customHeight="1">
      <c r="A32" t="inlineStr">
        <is>
          <t>A 4554-2026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46047</v>
      </c>
      <c r="E32" s="1" t="n">
        <v>46296</v>
      </c>
      <c r="F32" t="inlineStr">
        <is>
          <t>VÄSTERBOTTENS LÄN</t>
        </is>
      </c>
      <c r="G32" t="inlineStr">
        <is>
          <t>DOROTEA</t>
        </is>
      </c>
      <c r="I32" t="n">
        <v>6.1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Violettkantad guldvinge
Kricka</t>
        </is>
      </c>
      <c r="W32">
        <f>HYPERLINK("https://klasma.github.io/Logging_2425/artfynd/A 4554-2026 artfynd.xlsx", "A 4554-2026")</f>
        <v/>
      </c>
      <c r="X32">
        <f>HYPERLINK("https://klasma.github.io/Logging_2425/kartor/A 4554-2026 karta.png", "A 4554-2026")</f>
        <v/>
      </c>
      <c r="Y32">
        <f>HYPERLINK("https://klasma.github.io/Logging_2425/kartor_geotiff/A 4554-2026 georefererad karta.tif", "A 4554-2026")</f>
        <v/>
      </c>
      <c r="AA32">
        <f>HYPERLINK("https://klasma.github.io/Logging_2425/klagomål/A 4554-2026 FSC-klagomål.docx", "A 4554-2026")</f>
        <v/>
      </c>
      <c r="AB32">
        <f>HYPERLINK("https://klasma.github.io/Logging_2425/klagomålsmail/A 4554-2026 FSC-klagomål mail.docx", "A 4554-2026")</f>
        <v/>
      </c>
      <c r="AC32">
        <f>HYPERLINK("https://klasma.github.io/Logging_2425/tillsyn/A 4554-2026 tillsynsbegäran.docx", "A 4554-2026")</f>
        <v/>
      </c>
      <c r="AD32">
        <f>HYPERLINK("https://klasma.github.io/Logging_2425/tillsynsmail/A 4554-2026 tillsynsbegäran mail.docx", "A 4554-2026")</f>
        <v/>
      </c>
      <c r="AE32">
        <f>HYPERLINK("https://klasma.github.io/Logging_2425/fåglar/A 4554-2026 prioriterade fågelarter.docx", "A 4554-2026")</f>
        <v/>
      </c>
    </row>
    <row r="33" ht="15" customHeight="1">
      <c r="A33" t="inlineStr">
        <is>
          <t>A 35336-2026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46261</v>
      </c>
      <c r="E33" s="1" t="n">
        <v>46296</v>
      </c>
      <c r="F33" t="inlineStr">
        <is>
          <t>VÄSTERBOTTENS LÄN</t>
        </is>
      </c>
      <c r="G33" t="inlineStr">
        <is>
          <t>DOROTEA</t>
        </is>
      </c>
      <c r="I33" t="n">
        <v>4.2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Blodticka</t>
        </is>
      </c>
      <c r="W33">
        <f>HYPERLINK("https://klasma.github.io/Logging_2425/artfynd/A 35336-2026 artfynd.xlsx", "A 35336-2026")</f>
        <v/>
      </c>
      <c r="X33">
        <f>HYPERLINK("https://klasma.github.io/Logging_2425/kartor/A 35336-2026 karta.png", "A 35336-2026")</f>
        <v/>
      </c>
      <c r="Y33">
        <f>HYPERLINK("https://klasma.github.io/Logging_2425/kartor_geotiff/A 35336-2026 georefererad karta.tif", "A 35336-2026")</f>
        <v/>
      </c>
      <c r="AA33">
        <f>HYPERLINK("https://klasma.github.io/Logging_2425/klagomål/A 35336-2026 FSC-klagomål.docx", "A 35336-2026")</f>
        <v/>
      </c>
      <c r="AB33">
        <f>HYPERLINK("https://klasma.github.io/Logging_2425/klagomålsmail/A 35336-2026 FSC-klagomål mail.docx", "A 35336-2026")</f>
        <v/>
      </c>
      <c r="AC33">
        <f>HYPERLINK("https://klasma.github.io/Logging_2425/tillsyn/A 35336-2026 tillsynsbegäran.docx", "A 35336-2026")</f>
        <v/>
      </c>
      <c r="AD33">
        <f>HYPERLINK("https://klasma.github.io/Logging_2425/tillsynsmail/A 35336-2026 tillsynsbegäran mail.docx", "A 35336-2026")</f>
        <v/>
      </c>
    </row>
    <row r="34" ht="15" customHeight="1">
      <c r="A34" t="inlineStr">
        <is>
          <t>S 832-2022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44603</v>
      </c>
      <c r="E34" s="1" t="n">
        <v>46296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459.7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Rödbrun blekspik
Stuplav</t>
        </is>
      </c>
      <c r="W34">
        <f>HYPERLINK("https://klasma.github.io/Logging_2425/artfynd/S 832-2022 artfynd.xlsx", "S 832-2022")</f>
        <v/>
      </c>
      <c r="X34">
        <f>HYPERLINK("https://klasma.github.io/Logging_2425/kartor/S 832-2022 karta.png", "S 832-2022")</f>
        <v/>
      </c>
      <c r="Y34">
        <f>HYPERLINK("https://klasma.github.io/Logging_2425/kartor_geotiff/S 832-2022 georefererad karta.tif", "S 832-2022")</f>
        <v/>
      </c>
      <c r="AA34">
        <f>HYPERLINK("https://klasma.github.io/Logging_2425/klagomål/S 832-2022 FSC-klagomål.docx", "S 832-2022")</f>
        <v/>
      </c>
      <c r="AB34">
        <f>HYPERLINK("https://klasma.github.io/Logging_2425/klagomålsmail/S 832-2022 FSC-klagomål mail.docx", "S 832-2022")</f>
        <v/>
      </c>
      <c r="AC34">
        <f>HYPERLINK("https://klasma.github.io/Logging_2425/tillsyn/S 832-2022 tillsynsbegäran.docx", "S 832-2022")</f>
        <v/>
      </c>
      <c r="AD34">
        <f>HYPERLINK("https://klasma.github.io/Logging_2425/tillsynsmail/S 832-2022 tillsynsbegäran mail.docx", "S 832-2022")</f>
        <v/>
      </c>
    </row>
    <row r="35" ht="15" customHeight="1">
      <c r="A35" t="inlineStr">
        <is>
          <t>S 2106-2026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46240</v>
      </c>
      <c r="E35" s="1" t="n">
        <v>46296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3.2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Stor aspticka</t>
        </is>
      </c>
      <c r="W35">
        <f>HYPERLINK("https://klasma.github.io/Logging_2425/artfynd/S 2106-2026 artfynd.xlsx", "S 2106-2026")</f>
        <v/>
      </c>
      <c r="X35">
        <f>HYPERLINK("https://klasma.github.io/Logging_2425/kartor/S 2106-2026 karta.png", "S 2106-2026")</f>
        <v/>
      </c>
      <c r="Y35">
        <f>HYPERLINK("https://klasma.github.io/Logging_2425/kartor_geotiff/S 2106-2026 georefererad karta.tif", "S 2106-2026")</f>
        <v/>
      </c>
      <c r="AA35">
        <f>HYPERLINK("https://klasma.github.io/Logging_2425/klagomål/S 2106-2026 FSC-klagomål.docx", "S 2106-2026")</f>
        <v/>
      </c>
      <c r="AB35">
        <f>HYPERLINK("https://klasma.github.io/Logging_2425/klagomålsmail/S 2106-2026 FSC-klagomål mail.docx", "S 2106-2026")</f>
        <v/>
      </c>
      <c r="AC35">
        <f>HYPERLINK("https://klasma.github.io/Logging_2425/tillsyn/S 2106-2026 tillsynsbegäran.docx", "S 2106-2026")</f>
        <v/>
      </c>
      <c r="AD35">
        <f>HYPERLINK("https://klasma.github.io/Logging_2425/tillsynsmail/S 2106-2026 tillsynsbegäran mail.docx", "S 2106-2026")</f>
        <v/>
      </c>
    </row>
    <row r="36" ht="15" customHeight="1">
      <c r="A36" t="inlineStr">
        <is>
          <t>A 12005-2023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44994</v>
      </c>
      <c r="E36" s="1" t="n">
        <v>46296</v>
      </c>
      <c r="F36" t="inlineStr">
        <is>
          <t>VÄSTERBOTTENS LÄN</t>
        </is>
      </c>
      <c r="G36" t="inlineStr">
        <is>
          <t>DOROTEA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HYPERLINK("https://klasma.github.io/Logging_2425/artfynd/A 12005-2023 artfynd.xlsx", "A 12005-2023")</f>
        <v/>
      </c>
      <c r="X36">
        <f>HYPERLINK("https://klasma.github.io/Logging_2425/kartor/A 12005-2023 karta.png", "A 12005-2023")</f>
        <v/>
      </c>
      <c r="Y36">
        <f>HYPERLINK("https://klasma.github.io/Logging_2425/kartor_geotiff/A 12005-2023 georefererad karta.tif", "A 12005-2023")</f>
        <v/>
      </c>
      <c r="AA36">
        <f>HYPERLINK("https://klasma.github.io/Logging_2425/klagomål/A 12005-2023 FSC-klagomål.docx", "A 12005-2023")</f>
        <v/>
      </c>
      <c r="AB36">
        <f>HYPERLINK("https://klasma.github.io/Logging_2425/klagomålsmail/A 12005-2023 FSC-klagomål mail.docx", "A 12005-2023")</f>
        <v/>
      </c>
      <c r="AC36">
        <f>HYPERLINK("https://klasma.github.io/Logging_2425/tillsyn/A 12005-2023 tillsynsbegäran.docx", "A 12005-2023")</f>
        <v/>
      </c>
      <c r="AD36">
        <f>HYPERLINK("https://klasma.github.io/Logging_2425/tillsynsmail/A 12005-2023 tillsynsbegäran mail.docx", "A 12005-2023")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46296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36318-2024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46296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2.5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8</v>
      </c>
      <c r="U38" t="n">
        <v>8</v>
      </c>
      <c r="V38" s="2" t="inlineStr">
        <is>
          <t>Garnlav</t>
        </is>
      </c>
      <c r="W38">
        <f>HYPERLINK("https://klasma.github.io/Logging_2425/artfynd/A 36318-2024 artfynd.xlsx", "A 36318-2024")</f>
        <v/>
      </c>
      <c r="X38">
        <f>HYPERLINK("https://klasma.github.io/Logging_2425/kartor/A 36318-2024 karta.png", "A 36318-2024")</f>
        <v/>
      </c>
      <c r="Y38">
        <f>HYPERLINK("https://klasma.github.io/Logging_2425/kartor_geotiff/A 36318-2024 georefererad karta.tif", "A 36318-2024")</f>
        <v/>
      </c>
      <c r="AA38">
        <f>HYPERLINK("https://klasma.github.io/Logging_2425/klagomål/A 36318-2024 FSC-klagomål.docx", "A 36318-2024")</f>
        <v/>
      </c>
      <c r="AB38">
        <f>HYPERLINK("https://klasma.github.io/Logging_2425/klagomålsmail/A 36318-2024 FSC-klagomål mail.docx", "A 36318-2024")</f>
        <v/>
      </c>
      <c r="AC38">
        <f>HYPERLINK("https://klasma.github.io/Logging_2425/tillsyn/A 36318-2024 tillsynsbegäran.docx", "A 36318-2024")</f>
        <v/>
      </c>
      <c r="AD38">
        <f>HYPERLINK("https://klasma.github.io/Logging_2425/tillsynsmail/A 36318-2024 tillsynsbegäran mail.docx", "A 36318-2024")</f>
        <v/>
      </c>
    </row>
    <row r="39" ht="15" customHeight="1">
      <c r="A39" t="inlineStr">
        <is>
          <t>A 46815-2023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45198</v>
      </c>
      <c r="E39" s="1" t="n">
        <v>46296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Harticka</t>
        </is>
      </c>
      <c r="W39">
        <f>HYPERLINK("https://klasma.github.io/Logging_2425/artfynd/A 46815-2023 artfynd.xlsx", "A 46815-2023")</f>
        <v/>
      </c>
      <c r="X39">
        <f>HYPERLINK("https://klasma.github.io/Logging_2425/kartor/A 46815-2023 karta.png", "A 46815-2023")</f>
        <v/>
      </c>
      <c r="Y39">
        <f>HYPERLINK("https://klasma.github.io/Logging_2425/kartor_geotiff/A 46815-2023 georefererad karta.tif", "A 46815-2023")</f>
        <v/>
      </c>
      <c r="AA39">
        <f>HYPERLINK("https://klasma.github.io/Logging_2425/klagomål/A 46815-2023 FSC-klagomål.docx", "A 46815-2023")</f>
        <v/>
      </c>
      <c r="AB39">
        <f>HYPERLINK("https://klasma.github.io/Logging_2425/klagomålsmail/A 46815-2023 FSC-klagomål mail.docx", "A 46815-2023")</f>
        <v/>
      </c>
      <c r="AC39">
        <f>HYPERLINK("https://klasma.github.io/Logging_2425/tillsyn/A 46815-2023 tillsynsbegäran.docx", "A 46815-2023")</f>
        <v/>
      </c>
      <c r="AD39">
        <f>HYPERLINK("https://klasma.github.io/Logging_2425/tillsynsmail/A 46815-2023 tillsynsbegäran mail.docx", "A 46815-2023")</f>
        <v/>
      </c>
    </row>
    <row r="40" ht="15" customHeight="1">
      <c r="A40" t="inlineStr">
        <is>
          <t>A 57060-2024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45629</v>
      </c>
      <c r="E40" s="1" t="n">
        <v>46296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8.9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Garnlav</t>
        </is>
      </c>
      <c r="W40">
        <f>HYPERLINK("https://klasma.github.io/Logging_2425/artfynd/A 57060-2024 artfynd.xlsx", "A 57060-2024")</f>
        <v/>
      </c>
      <c r="X40">
        <f>HYPERLINK("https://klasma.github.io/Logging_2425/kartor/A 57060-2024 karta.png", "A 57060-2024")</f>
        <v/>
      </c>
      <c r="Y40">
        <f>HYPERLINK("https://klasma.github.io/Logging_2425/kartor_geotiff/A 57060-2024 georefererad karta.tif", "A 57060-2024")</f>
        <v/>
      </c>
      <c r="AA40">
        <f>HYPERLINK("https://klasma.github.io/Logging_2425/klagomål/A 57060-2024 FSC-klagomål.docx", "A 57060-2024")</f>
        <v/>
      </c>
      <c r="AB40">
        <f>HYPERLINK("https://klasma.github.io/Logging_2425/klagomålsmail/A 57060-2024 FSC-klagomål mail.docx", "A 57060-2024")</f>
        <v/>
      </c>
      <c r="AC40">
        <f>HYPERLINK("https://klasma.github.io/Logging_2425/tillsyn/A 57060-2024 tillsynsbegäran.docx", "A 57060-2024")</f>
        <v/>
      </c>
      <c r="AD40">
        <f>HYPERLINK("https://klasma.github.io/Logging_2425/tillsynsmail/A 57060-2024 tillsynsbegäran mail.docx", "A 57060-2024")</f>
        <v/>
      </c>
    </row>
    <row r="41" ht="15" customHeight="1">
      <c r="A41" t="inlineStr">
        <is>
          <t>A 30286-2023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46296</v>
      </c>
      <c r="F41" t="inlineStr">
        <is>
          <t>VÄSTERBOTTENS LÄN</t>
        </is>
      </c>
      <c r="G41" t="inlineStr">
        <is>
          <t>DOROTEA</t>
        </is>
      </c>
      <c r="I41" t="n">
        <v>21.2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Skogsrör</t>
        </is>
      </c>
      <c r="W41">
        <f>HYPERLINK("https://klasma.github.io/Logging_2425/artfynd/A 30286-2023 artfynd.xlsx", "A 30286-2023")</f>
        <v/>
      </c>
      <c r="X41">
        <f>HYPERLINK("https://klasma.github.io/Logging_2425/kartor/A 30286-2023 karta.png", "A 30286-2023")</f>
        <v/>
      </c>
      <c r="Y41">
        <f>HYPERLINK("https://klasma.github.io/Logging_2425/kartor_geotiff/A 30286-2023 georefererad karta.tif", "A 30286-2023")</f>
        <v/>
      </c>
      <c r="AA41">
        <f>HYPERLINK("https://klasma.github.io/Logging_2425/klagomål/A 30286-2023 FSC-klagomål.docx", "A 30286-2023")</f>
        <v/>
      </c>
      <c r="AB41">
        <f>HYPERLINK("https://klasma.github.io/Logging_2425/klagomålsmail/A 30286-2023 FSC-klagomål mail.docx", "A 30286-2023")</f>
        <v/>
      </c>
      <c r="AC41">
        <f>HYPERLINK("https://klasma.github.io/Logging_2425/tillsyn/A 30286-2023 tillsynsbegäran.docx", "A 30286-2023")</f>
        <v/>
      </c>
      <c r="AD41">
        <f>HYPERLINK("https://klasma.github.io/Logging_2425/tillsynsmail/A 30286-2023 tillsynsbegäran mail.docx", "A 30286-2023")</f>
        <v/>
      </c>
    </row>
    <row r="42" ht="15" customHeight="1">
      <c r="A42" t="inlineStr">
        <is>
          <t>A 1278-2024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45302</v>
      </c>
      <c r="E42" s="1" t="n">
        <v>46296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1.3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Gräddticka</t>
        </is>
      </c>
      <c r="W42">
        <f>HYPERLINK("https://klasma.github.io/Logging_2425/artfynd/A 1278-2024 artfynd.xlsx", "A 1278-2024")</f>
        <v/>
      </c>
      <c r="X42">
        <f>HYPERLINK("https://klasma.github.io/Logging_2425/kartor/A 1278-2024 karta.png", "A 1278-2024")</f>
        <v/>
      </c>
      <c r="Y42">
        <f>HYPERLINK("https://klasma.github.io/Logging_2425/kartor_geotiff/A 1278-2024 georefererad karta.tif", "A 1278-2024")</f>
        <v/>
      </c>
      <c r="AA42">
        <f>HYPERLINK("https://klasma.github.io/Logging_2425/klagomål/A 1278-2024 FSC-klagomål.docx", "A 1278-2024")</f>
        <v/>
      </c>
      <c r="AB42">
        <f>HYPERLINK("https://klasma.github.io/Logging_2425/klagomålsmail/A 1278-2024 FSC-klagomål mail.docx", "A 1278-2024")</f>
        <v/>
      </c>
      <c r="AC42">
        <f>HYPERLINK("https://klasma.github.io/Logging_2425/tillsyn/A 1278-2024 tillsynsbegäran.docx", "A 1278-2024")</f>
        <v/>
      </c>
      <c r="AD42">
        <f>HYPERLINK("https://klasma.github.io/Logging_2425/tillsynsmail/A 1278-2024 tillsynsbegäran mail.docx", "A 1278-2024")</f>
        <v/>
      </c>
    </row>
    <row r="43" ht="15" customHeight="1">
      <c r="A43" t="inlineStr">
        <is>
          <t>A 20600-2023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45057</v>
      </c>
      <c r="E43" s="1" t="n">
        <v>46296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1.6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HYPERLINK("https://klasma.github.io/Logging_2425/artfynd/A 20600-2023 artfynd.xlsx", "A 20600-2023")</f>
        <v/>
      </c>
      <c r="X43">
        <f>HYPERLINK("https://klasma.github.io/Logging_2425/kartor/A 20600-2023 karta.png", "A 20600-2023")</f>
        <v/>
      </c>
      <c r="Y43">
        <f>HYPERLINK("https://klasma.github.io/Logging_2425/kartor_geotiff/A 20600-2023 georefererad karta.tif", "A 20600-2023")</f>
        <v/>
      </c>
      <c r="AA43">
        <f>HYPERLINK("https://klasma.github.io/Logging_2425/klagomål/A 20600-2023 FSC-klagomål.docx", "A 20600-2023")</f>
        <v/>
      </c>
      <c r="AB43">
        <f>HYPERLINK("https://klasma.github.io/Logging_2425/klagomålsmail/A 20600-2023 FSC-klagomål mail.docx", "A 20600-2023")</f>
        <v/>
      </c>
      <c r="AC43">
        <f>HYPERLINK("https://klasma.github.io/Logging_2425/tillsyn/A 20600-2023 tillsynsbegäran.docx", "A 20600-2023")</f>
        <v/>
      </c>
      <c r="AD43">
        <f>HYPERLINK("https://klasma.github.io/Logging_2425/tillsynsmail/A 20600-2023 tillsynsbegäran mail.docx", "A 20600-2023")</f>
        <v/>
      </c>
    </row>
    <row r="44" ht="15" customHeight="1">
      <c r="A44" t="inlineStr">
        <is>
          <t>A 53309-2022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44878</v>
      </c>
      <c r="E44" s="1" t="n">
        <v>46296</v>
      </c>
      <c r="F44" t="inlineStr">
        <is>
          <t>VÄSTERBOTTENS LÄN</t>
        </is>
      </c>
      <c r="G44" t="inlineStr">
        <is>
          <t>DOROTEA</t>
        </is>
      </c>
      <c r="I44" t="n">
        <v>6.6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Göktyta</t>
        </is>
      </c>
      <c r="W44">
        <f>HYPERLINK("https://klasma.github.io/Logging_2425/artfynd/A 53309-2022 artfynd.xlsx", "A 53309-2022")</f>
        <v/>
      </c>
      <c r="X44">
        <f>HYPERLINK("https://klasma.github.io/Logging_2425/kartor/A 53309-2022 karta.png", "A 53309-2022")</f>
        <v/>
      </c>
      <c r="Y44">
        <f>HYPERLINK("https://klasma.github.io/Logging_2425/kartor_geotiff/A 53309-2022 georefererad karta.tif", "A 53309-2022")</f>
        <v/>
      </c>
      <c r="AA44">
        <f>HYPERLINK("https://klasma.github.io/Logging_2425/klagomål/A 53309-2022 FSC-klagomål.docx", "A 53309-2022")</f>
        <v/>
      </c>
      <c r="AB44">
        <f>HYPERLINK("https://klasma.github.io/Logging_2425/klagomålsmail/A 53309-2022 FSC-klagomål mail.docx", "A 53309-2022")</f>
        <v/>
      </c>
      <c r="AC44">
        <f>HYPERLINK("https://klasma.github.io/Logging_2425/tillsyn/A 53309-2022 tillsynsbegäran.docx", "A 53309-2022")</f>
        <v/>
      </c>
      <c r="AD44">
        <f>HYPERLINK("https://klasma.github.io/Logging_2425/tillsynsmail/A 53309-2022 tillsynsbegäran mail.docx", "A 53309-2022")</f>
        <v/>
      </c>
      <c r="AE44">
        <f>HYPERLINK("https://klasma.github.io/Logging_2425/fåglar/A 53309-2022 prioriterade fågelarter.docx", "A 53309-2022")</f>
        <v/>
      </c>
    </row>
    <row r="45" ht="15" customHeight="1">
      <c r="A45" t="inlineStr">
        <is>
          <t>A 26440-2025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45807</v>
      </c>
      <c r="E45" s="1" t="n">
        <v>46296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HYPERLINK("https://klasma.github.io/Logging_2425/artfynd/A 26440-2025 artfynd.xlsx", "A 26440-2025")</f>
        <v/>
      </c>
      <c r="X45">
        <f>HYPERLINK("https://klasma.github.io/Logging_2425/kartor/A 26440-2025 karta.png", "A 26440-2025")</f>
        <v/>
      </c>
      <c r="Y45">
        <f>HYPERLINK("https://klasma.github.io/Logging_2425/kartor_geotiff/A 26440-2025 georefererad karta.tif", "A 26440-2025")</f>
        <v/>
      </c>
      <c r="AA45">
        <f>HYPERLINK("https://klasma.github.io/Logging_2425/klagomål/A 26440-2025 FSC-klagomål.docx", "A 26440-2025")</f>
        <v/>
      </c>
      <c r="AB45">
        <f>HYPERLINK("https://klasma.github.io/Logging_2425/klagomålsmail/A 26440-2025 FSC-klagomål mail.docx", "A 26440-2025")</f>
        <v/>
      </c>
      <c r="AC45">
        <f>HYPERLINK("https://klasma.github.io/Logging_2425/tillsyn/A 26440-2025 tillsynsbegäran.docx", "A 26440-2025")</f>
        <v/>
      </c>
      <c r="AD45">
        <f>HYPERLINK("https://klasma.github.io/Logging_2425/tillsynsmail/A 26440-2025 tillsynsbegäran mail.docx", "A 26440-2025")</f>
        <v/>
      </c>
    </row>
    <row r="46" ht="15" customHeight="1">
      <c r="A46" t="inlineStr">
        <is>
          <t>A 57058-2024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46296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HYPERLINK("https://klasma.github.io/Logging_2425/artfynd/A 57058-2024 artfynd.xlsx", "A 57058-2024")</f>
        <v/>
      </c>
      <c r="X46">
        <f>HYPERLINK("https://klasma.github.io/Logging_2425/kartor/A 57058-2024 karta.png", "A 57058-2024")</f>
        <v/>
      </c>
      <c r="Y46">
        <f>HYPERLINK("https://klasma.github.io/Logging_2425/kartor_geotiff/A 57058-2024 georefererad karta.tif", "A 57058-2024")</f>
        <v/>
      </c>
      <c r="AA46">
        <f>HYPERLINK("https://klasma.github.io/Logging_2425/klagomål/A 57058-2024 FSC-klagomål.docx", "A 57058-2024")</f>
        <v/>
      </c>
      <c r="AB46">
        <f>HYPERLINK("https://klasma.github.io/Logging_2425/klagomålsmail/A 57058-2024 FSC-klagomål mail.docx", "A 57058-2024")</f>
        <v/>
      </c>
      <c r="AC46">
        <f>HYPERLINK("https://klasma.github.io/Logging_2425/tillsyn/A 57058-2024 tillsynsbegäran.docx", "A 57058-2024")</f>
        <v/>
      </c>
      <c r="AD46">
        <f>HYPERLINK("https://klasma.github.io/Logging_2425/tillsynsmail/A 57058-2024 tillsynsbegäran mail.docx", "A 57058-2024")</f>
        <v/>
      </c>
    </row>
    <row r="47" ht="15" customHeight="1">
      <c r="A47" t="inlineStr">
        <is>
          <t>A 50530-2025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45945</v>
      </c>
      <c r="E47" s="1" t="n">
        <v>46296</v>
      </c>
      <c r="F47" t="inlineStr">
        <is>
          <t>VÄSTERBOTTENS LÄN</t>
        </is>
      </c>
      <c r="G47" t="inlineStr">
        <is>
          <t>DOROTEA</t>
        </is>
      </c>
      <c r="I47" t="n">
        <v>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Ängsnycklar</t>
        </is>
      </c>
      <c r="W47">
        <f>HYPERLINK("https://klasma.github.io/Logging_2425/artfynd/A 50530-2025 artfynd.xlsx", "A 50530-2025")</f>
        <v/>
      </c>
      <c r="X47">
        <f>HYPERLINK("https://klasma.github.io/Logging_2425/kartor/A 50530-2025 karta.png", "A 50530-2025")</f>
        <v/>
      </c>
      <c r="Y47">
        <f>HYPERLINK("https://klasma.github.io/Logging_2425/kartor_geotiff/A 50530-2025 georefererad karta.tif", "A 50530-2025")</f>
        <v/>
      </c>
      <c r="AA47">
        <f>HYPERLINK("https://klasma.github.io/Logging_2425/klagomål/A 50530-2025 FSC-klagomål.docx", "A 50530-2025")</f>
        <v/>
      </c>
      <c r="AB47">
        <f>HYPERLINK("https://klasma.github.io/Logging_2425/klagomålsmail/A 50530-2025 FSC-klagomål mail.docx", "A 50530-2025")</f>
        <v/>
      </c>
      <c r="AC47">
        <f>HYPERLINK("https://klasma.github.io/Logging_2425/tillsyn/A 50530-2025 tillsynsbegäran.docx", "A 50530-2025")</f>
        <v/>
      </c>
      <c r="AD47">
        <f>HYPERLINK("https://klasma.github.io/Logging_2425/tillsynsmail/A 50530-2025 tillsynsbegäran mail.docx", "A 50530-2025")</f>
        <v/>
      </c>
    </row>
    <row r="48" ht="15" customHeight="1">
      <c r="A48" t="inlineStr">
        <is>
          <t>A 39686-2025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46296</v>
      </c>
      <c r="F48" t="inlineStr">
        <is>
          <t>VÄSTERBOTTENS LÄN</t>
        </is>
      </c>
      <c r="G48" t="inlineStr">
        <is>
          <t>DOROTEA</t>
        </is>
      </c>
      <c r="I48" t="n">
        <v>1.5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HYPERLINK("https://klasma.github.io/Logging_2425/artfynd/A 39686-2025 artfynd.xlsx", "A 39686-2025")</f>
        <v/>
      </c>
      <c r="X48">
        <f>HYPERLINK("https://klasma.github.io/Logging_2425/kartor/A 39686-2025 karta.png", "A 39686-2025")</f>
        <v/>
      </c>
      <c r="Y48">
        <f>HYPERLINK("https://klasma.github.io/Logging_2425/kartor_geotiff/A 39686-2025 georefererad karta.tif", "A 39686-2025")</f>
        <v/>
      </c>
      <c r="AA48">
        <f>HYPERLINK("https://klasma.github.io/Logging_2425/klagomål/A 39686-2025 FSC-klagomål.docx", "A 39686-2025")</f>
        <v/>
      </c>
      <c r="AB48">
        <f>HYPERLINK("https://klasma.github.io/Logging_2425/klagomålsmail/A 39686-2025 FSC-klagomål mail.docx", "A 39686-2025")</f>
        <v/>
      </c>
      <c r="AC48">
        <f>HYPERLINK("https://klasma.github.io/Logging_2425/tillsyn/A 39686-2025 tillsynsbegäran.docx", "A 39686-2025")</f>
        <v/>
      </c>
      <c r="AD48">
        <f>HYPERLINK("https://klasma.github.io/Logging_2425/tillsynsmail/A 39686-2025 tillsynsbegäran mail.docx", "A 39686-2025")</f>
        <v/>
      </c>
    </row>
    <row r="49" ht="15" customHeight="1">
      <c r="A49" t="inlineStr">
        <is>
          <t>A 41079-2025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45898</v>
      </c>
      <c r="E49" s="1" t="n">
        <v>46296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3.3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HYPERLINK("https://klasma.github.io/Logging_2425/artfynd/A 41079-2025 artfynd.xlsx", "A 41079-2025")</f>
        <v/>
      </c>
      <c r="X49">
        <f>HYPERLINK("https://klasma.github.io/Logging_2425/kartor/A 41079-2025 karta.png", "A 41079-2025")</f>
        <v/>
      </c>
      <c r="Y49">
        <f>HYPERLINK("https://klasma.github.io/Logging_2425/kartor_geotiff/A 41079-2025 georefererad karta.tif", "A 41079-2025")</f>
        <v/>
      </c>
      <c r="AA49">
        <f>HYPERLINK("https://klasma.github.io/Logging_2425/klagomål/A 41079-2025 FSC-klagomål.docx", "A 41079-2025")</f>
        <v/>
      </c>
      <c r="AB49">
        <f>HYPERLINK("https://klasma.github.io/Logging_2425/klagomålsmail/A 41079-2025 FSC-klagomål mail.docx", "A 41079-2025")</f>
        <v/>
      </c>
      <c r="AC49">
        <f>HYPERLINK("https://klasma.github.io/Logging_2425/tillsyn/A 41079-2025 tillsynsbegäran.docx", "A 41079-2025")</f>
        <v/>
      </c>
      <c r="AD49">
        <f>HYPERLINK("https://klasma.github.io/Logging_2425/tillsynsmail/A 41079-2025 tillsynsbegäran mail.docx", "A 41079-2025")</f>
        <v/>
      </c>
    </row>
    <row r="50" ht="15" customHeight="1">
      <c r="A50" t="inlineStr">
        <is>
          <t>A 21926-2026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46150</v>
      </c>
      <c r="E50" s="1" t="n">
        <v>46296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2.7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HYPERLINK("https://klasma.github.io/Logging_2425/artfynd/A 21926-2026 artfynd.xlsx", "A 21926-2026")</f>
        <v/>
      </c>
      <c r="X50">
        <f>HYPERLINK("https://klasma.github.io/Logging_2425/kartor/A 21926-2026 karta.png", "A 21926-2026")</f>
        <v/>
      </c>
      <c r="Y50">
        <f>HYPERLINK("https://klasma.github.io/Logging_2425/kartor_geotiff/A 21926-2026 georefererad karta.tif", "A 21926-2026")</f>
        <v/>
      </c>
      <c r="AA50">
        <f>HYPERLINK("https://klasma.github.io/Logging_2425/klagomål/A 21926-2026 FSC-klagomål.docx", "A 21926-2026")</f>
        <v/>
      </c>
      <c r="AB50">
        <f>HYPERLINK("https://klasma.github.io/Logging_2425/klagomålsmail/A 21926-2026 FSC-klagomål mail.docx", "A 21926-2026")</f>
        <v/>
      </c>
      <c r="AC50">
        <f>HYPERLINK("https://klasma.github.io/Logging_2425/tillsyn/A 21926-2026 tillsynsbegäran.docx", "A 21926-2026")</f>
        <v/>
      </c>
      <c r="AD50">
        <f>HYPERLINK("https://klasma.github.io/Logging_2425/tillsynsmail/A 21926-2026 tillsynsbegäran mail.docx", "A 21926-2026")</f>
        <v/>
      </c>
    </row>
    <row r="51" ht="15" customHeight="1">
      <c r="A51" t="inlineStr">
        <is>
          <t>A 25980-2026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46296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40.2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HYPERLINK("https://klasma.github.io/Logging_2425/artfynd/A 25980-2026 artfynd.xlsx", "A 25980-2026")</f>
        <v/>
      </c>
      <c r="X51">
        <f>HYPERLINK("https://klasma.github.io/Logging_2425/kartor/A 25980-2026 karta.png", "A 25980-2026")</f>
        <v/>
      </c>
      <c r="Y51">
        <f>HYPERLINK("https://klasma.github.io/Logging_2425/kartor_geotiff/A 25980-2026 georefererad karta.tif", "A 25980-2026")</f>
        <v/>
      </c>
      <c r="AA51">
        <f>HYPERLINK("https://klasma.github.io/Logging_2425/klagomål/A 25980-2026 FSC-klagomål.docx", "A 25980-2026")</f>
        <v/>
      </c>
      <c r="AB51">
        <f>HYPERLINK("https://klasma.github.io/Logging_2425/klagomålsmail/A 25980-2026 FSC-klagomål mail.docx", "A 25980-2026")</f>
        <v/>
      </c>
      <c r="AC51">
        <f>HYPERLINK("https://klasma.github.io/Logging_2425/tillsyn/A 25980-2026 tillsynsbegäran.docx", "A 25980-2026")</f>
        <v/>
      </c>
      <c r="AD51">
        <f>HYPERLINK("https://klasma.github.io/Logging_2425/tillsynsmail/A 25980-2026 tillsynsbegäran mail.docx", "A 25980-2026")</f>
        <v/>
      </c>
    </row>
    <row r="52" ht="15" customHeight="1">
      <c r="A52" t="inlineStr">
        <is>
          <t>A 30357-2026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46209</v>
      </c>
      <c r="E52" s="1" t="n">
        <v>46296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Tajgahumla</t>
        </is>
      </c>
      <c r="W52">
        <f>HYPERLINK("https://klasma.github.io/Logging_2425/artfynd/A 30357-2026 artfynd.xlsx", "A 30357-2026")</f>
        <v/>
      </c>
      <c r="X52">
        <f>HYPERLINK("https://klasma.github.io/Logging_2425/kartor/A 30357-2026 karta.png", "A 30357-2026")</f>
        <v/>
      </c>
      <c r="Y52">
        <f>HYPERLINK("https://klasma.github.io/Logging_2425/kartor_geotiff/A 30357-2026 georefererad karta.tif", "A 30357-2026")</f>
        <v/>
      </c>
      <c r="AA52">
        <f>HYPERLINK("https://klasma.github.io/Logging_2425/klagomål/A 30357-2026 FSC-klagomål.docx", "A 30357-2026")</f>
        <v/>
      </c>
      <c r="AB52">
        <f>HYPERLINK("https://klasma.github.io/Logging_2425/klagomålsmail/A 30357-2026 FSC-klagomål mail.docx", "A 30357-2026")</f>
        <v/>
      </c>
      <c r="AC52">
        <f>HYPERLINK("https://klasma.github.io/Logging_2425/tillsyn/A 30357-2026 tillsynsbegäran.docx", "A 30357-2026")</f>
        <v/>
      </c>
      <c r="AD52">
        <f>HYPERLINK("https://klasma.github.io/Logging_2425/tillsynsmail/A 30357-2026 tillsynsbegäran mail.docx", "A 30357-2026")</f>
        <v/>
      </c>
    </row>
    <row r="53" ht="15" customHeight="1">
      <c r="A53" t="inlineStr">
        <is>
          <t>A 35297-2026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46296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35297-2026 artfynd.xlsx", "A 35297-2026")</f>
        <v/>
      </c>
      <c r="X53">
        <f>HYPERLINK("https://klasma.github.io/Logging_2425/kartor/A 35297-2026 karta.png", "A 35297-2026")</f>
        <v/>
      </c>
      <c r="Y53">
        <f>HYPERLINK("https://klasma.github.io/Logging_2425/kartor_geotiff/A 35297-2026 georefererad karta.tif", "A 35297-2026")</f>
        <v/>
      </c>
      <c r="AA53">
        <f>HYPERLINK("https://klasma.github.io/Logging_2425/klagomål/A 35297-2026 FSC-klagomål.docx", "A 35297-2026")</f>
        <v/>
      </c>
      <c r="AB53">
        <f>HYPERLINK("https://klasma.github.io/Logging_2425/klagomålsmail/A 35297-2026 FSC-klagomål mail.docx", "A 35297-2026")</f>
        <v/>
      </c>
      <c r="AC53">
        <f>HYPERLINK("https://klasma.github.io/Logging_2425/tillsyn/A 35297-2026 tillsynsbegäran.docx", "A 35297-2026")</f>
        <v/>
      </c>
      <c r="AD53">
        <f>HYPERLINK("https://klasma.github.io/Logging_2425/tillsynsmail/A 35297-2026 tillsynsbegäran mail.docx", "A 35297-2026")</f>
        <v/>
      </c>
    </row>
    <row r="54" ht="15" customHeight="1">
      <c r="A54" t="inlineStr">
        <is>
          <t>A 32331-2026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46296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1.9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Skrovellav</t>
        </is>
      </c>
      <c r="W54">
        <f>HYPERLINK("https://klasma.github.io/Logging_2425/artfynd/A 32331-2026 artfynd.xlsx", "A 32331-2026")</f>
        <v/>
      </c>
      <c r="X54">
        <f>HYPERLINK("https://klasma.github.io/Logging_2425/kartor/A 32331-2026 karta.png", "A 32331-2026")</f>
        <v/>
      </c>
      <c r="Y54">
        <f>HYPERLINK("https://klasma.github.io/Logging_2425/kartor_geotiff/A 32331-2026 georefererad karta.tif", "A 32331-2026")</f>
        <v/>
      </c>
      <c r="AA54">
        <f>HYPERLINK("https://klasma.github.io/Logging_2425/klagomål/A 32331-2026 FSC-klagomål.docx", "A 32331-2026")</f>
        <v/>
      </c>
      <c r="AB54">
        <f>HYPERLINK("https://klasma.github.io/Logging_2425/klagomålsmail/A 32331-2026 FSC-klagomål mail.docx", "A 32331-2026")</f>
        <v/>
      </c>
      <c r="AC54">
        <f>HYPERLINK("https://klasma.github.io/Logging_2425/tillsyn/A 32331-2026 tillsynsbegäran.docx", "A 32331-2026")</f>
        <v/>
      </c>
      <c r="AD54">
        <f>HYPERLINK("https://klasma.github.io/Logging_2425/tillsynsmail/A 32331-2026 tillsynsbegäran mail.docx", "A 32331-2026")</f>
        <v/>
      </c>
    </row>
    <row r="55" ht="15" customHeight="1">
      <c r="A55" t="inlineStr">
        <is>
          <t>S 877-2022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44606</v>
      </c>
      <c r="E55" s="1" t="n">
        <v>46296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598.1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Gammelgransskål</t>
        </is>
      </c>
      <c r="W55">
        <f>HYPERLINK("https://klasma.github.io/Logging_2425/artfynd/S 877-2022 artfynd.xlsx", "S 877-2022")</f>
        <v/>
      </c>
      <c r="X55">
        <f>HYPERLINK("https://klasma.github.io/Logging_2425/kartor/S 877-2022 karta.png", "S 877-2022")</f>
        <v/>
      </c>
      <c r="Y55">
        <f>HYPERLINK("https://klasma.github.io/Logging_2425/kartor_geotiff/S 877-2022 georefererad karta.tif", "S 877-2022")</f>
        <v/>
      </c>
      <c r="AA55">
        <f>HYPERLINK("https://klasma.github.io/Logging_2425/klagomål/S 877-2022 FSC-klagomål.docx", "S 877-2022")</f>
        <v/>
      </c>
      <c r="AB55">
        <f>HYPERLINK("https://klasma.github.io/Logging_2425/klagomålsmail/S 877-2022 FSC-klagomål mail.docx", "S 877-2022")</f>
        <v/>
      </c>
      <c r="AC55">
        <f>HYPERLINK("https://klasma.github.io/Logging_2425/tillsyn/S 877-2022 tillsynsbegäran.docx", "S 877-2022")</f>
        <v/>
      </c>
      <c r="AD55">
        <f>HYPERLINK("https://klasma.github.io/Logging_2425/tillsynsmail/S 877-2022 tillsynsbegäran mail.docx", "S 877-2022")</f>
        <v/>
      </c>
    </row>
    <row r="56" ht="15" customHeight="1">
      <c r="A56" t="inlineStr">
        <is>
          <t>S 1194-2025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45756</v>
      </c>
      <c r="E56" s="1" t="n">
        <v>46296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13.9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Stjärntagging</t>
        </is>
      </c>
      <c r="W56">
        <f>HYPERLINK("https://klasma.github.io/Logging_2425/artfynd/S 1194-2025 artfynd.xlsx", "S 1194-2025")</f>
        <v/>
      </c>
      <c r="X56">
        <f>HYPERLINK("https://klasma.github.io/Logging_2425/kartor/S 1194-2025 karta.png", "S 1194-2025")</f>
        <v/>
      </c>
      <c r="Y56">
        <f>HYPERLINK("https://klasma.github.io/Logging_2425/kartor_geotiff/S 1194-2025 georefererad karta.tif", "S 1194-2025")</f>
        <v/>
      </c>
      <c r="AA56">
        <f>HYPERLINK("https://klasma.github.io/Logging_2425/klagomål/S 1194-2025 FSC-klagomål.docx", "S 1194-2025")</f>
        <v/>
      </c>
      <c r="AB56">
        <f>HYPERLINK("https://klasma.github.io/Logging_2425/klagomålsmail/S 1194-2025 FSC-klagomål mail.docx", "S 1194-2025")</f>
        <v/>
      </c>
      <c r="AC56">
        <f>HYPERLINK("https://klasma.github.io/Logging_2425/tillsyn/S 1194-2025 tillsynsbegäran.docx", "S 1194-2025")</f>
        <v/>
      </c>
      <c r="AD56">
        <f>HYPERLINK("https://klasma.github.io/Logging_2425/tillsynsmail/S 1194-2025 tillsynsbegäran mail.docx", "S 1194-2025")</f>
        <v/>
      </c>
    </row>
    <row r="57" ht="15" customHeight="1">
      <c r="A57" t="inlineStr">
        <is>
          <t>S 2107-2026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46240</v>
      </c>
      <c r="E57" s="1" t="n">
        <v>46296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HYPERLINK("https://klasma.github.io/Logging_2425/artfynd/S 2107-2026 artfynd.xlsx", "S 2107-2026")</f>
        <v/>
      </c>
      <c r="X57">
        <f>HYPERLINK("https://klasma.github.io/Logging_2425/kartor/S 2107-2026 karta.png", "S 2107-2026")</f>
        <v/>
      </c>
      <c r="Y57">
        <f>HYPERLINK("https://klasma.github.io/Logging_2425/kartor_geotiff/S 2107-2026 georefererad karta.tif", "S 2107-2026")</f>
        <v/>
      </c>
      <c r="AA57">
        <f>HYPERLINK("https://klasma.github.io/Logging_2425/klagomål/S 2107-2026 FSC-klagomål.docx", "S 2107-2026")</f>
        <v/>
      </c>
      <c r="AB57">
        <f>HYPERLINK("https://klasma.github.io/Logging_2425/klagomålsmail/S 2107-2026 FSC-klagomål mail.docx", "S 2107-2026")</f>
        <v/>
      </c>
      <c r="AC57">
        <f>HYPERLINK("https://klasma.github.io/Logging_2425/tillsyn/S 2107-2026 tillsynsbegäran.docx", "S 2107-2026")</f>
        <v/>
      </c>
      <c r="AD57">
        <f>HYPERLINK("https://klasma.github.io/Logging_2425/tillsynsmail/S 2107-2026 tillsynsbegäran mail.docx", "S 2107-2026")</f>
        <v/>
      </c>
    </row>
    <row r="58" ht="15" customHeight="1">
      <c r="A58" t="inlineStr">
        <is>
          <t>S 2218-2026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46258</v>
      </c>
      <c r="E58" s="1" t="n">
        <v>46296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2218-2026 artfynd.xlsx", "S 2218-2026")</f>
        <v/>
      </c>
      <c r="X58">
        <f>HYPERLINK("https://klasma.github.io/Logging_2425/kartor/S 2218-2026 karta.png", "S 2218-2026")</f>
        <v/>
      </c>
      <c r="Y58">
        <f>HYPERLINK("https://klasma.github.io/Logging_2425/kartor_geotiff/S 2218-2026 georefererad karta.tif", "S 2218-2026")</f>
        <v/>
      </c>
      <c r="AA58">
        <f>HYPERLINK("https://klasma.github.io/Logging_2425/klagomål/S 2218-2026 FSC-klagomål.docx", "S 2218-2026")</f>
        <v/>
      </c>
      <c r="AB58">
        <f>HYPERLINK("https://klasma.github.io/Logging_2425/klagomålsmail/S 2218-2026 FSC-klagomål mail.docx", "S 2218-2026")</f>
        <v/>
      </c>
      <c r="AC58">
        <f>HYPERLINK("https://klasma.github.io/Logging_2425/tillsyn/S 2218-2026 tillsynsbegäran.docx", "S 2218-2026")</f>
        <v/>
      </c>
      <c r="AD58">
        <f>HYPERLINK("https://klasma.github.io/Logging_2425/tillsynsmail/S 2218-2026 tillsynsbegäran mail.docx", "S 2218-2026")</f>
        <v/>
      </c>
    </row>
    <row r="59" ht="15" customHeight="1">
      <c r="A59" t="inlineStr">
        <is>
          <t>A 64063-2021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46296</v>
      </c>
      <c r="F59" t="inlineStr">
        <is>
          <t>VÄSTERBOTTENS LÄN</t>
        </is>
      </c>
      <c r="G59" t="inlineStr">
        <is>
          <t>DOROTEA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46296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11309-2022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44629</v>
      </c>
      <c r="E61" s="1" t="n">
        <v>46296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16.8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43403-2022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46296</v>
      </c>
      <c r="F62" t="inlineStr">
        <is>
          <t>VÄSTERBOTTENS LÄN</t>
        </is>
      </c>
      <c r="G62" t="inlineStr">
        <is>
          <t>DOROTEA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46296</v>
      </c>
      <c r="F63" t="inlineStr">
        <is>
          <t>VÄSTERBOTTENS LÄN</t>
        </is>
      </c>
      <c r="G63" t="inlineStr">
        <is>
          <t>DOROTEA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48935-2022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44859</v>
      </c>
      <c r="E64" s="1" t="n">
        <v>46296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46296</v>
      </c>
      <c r="F65" t="inlineStr">
        <is>
          <t>VÄSTERBOTTENS LÄN</t>
        </is>
      </c>
      <c r="G65" t="inlineStr">
        <is>
          <t>DOROTEA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44851</v>
      </c>
      <c r="E66" s="1" t="n">
        <v>46296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44587</v>
      </c>
      <c r="E67" s="1" t="n">
        <v>46296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53117-2023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45228</v>
      </c>
      <c r="E68" s="1" t="n">
        <v>46296</v>
      </c>
      <c r="F68" t="inlineStr">
        <is>
          <t>VÄSTERBOTTENS LÄN</t>
        </is>
      </c>
      <c r="G68" t="inlineStr">
        <is>
          <t>DOROTEA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53118-2023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45228</v>
      </c>
      <c r="E69" s="1" t="n">
        <v>46296</v>
      </c>
      <c r="F69" t="inlineStr">
        <is>
          <t>VÄSTERBOTTENS LÄN</t>
        </is>
      </c>
      <c r="G69" t="inlineStr">
        <is>
          <t>DOROTEA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46296</v>
      </c>
      <c r="F70" t="inlineStr">
        <is>
          <t>VÄSTERBOTTENS LÄN</t>
        </is>
      </c>
      <c r="G70" t="inlineStr">
        <is>
          <t>DOROTEA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56807-2021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44481</v>
      </c>
      <c r="E71" s="1" t="n">
        <v>46296</v>
      </c>
      <c r="F71" t="inlineStr">
        <is>
          <t>VÄSTERBOTTENS LÄN</t>
        </is>
      </c>
      <c r="G71" t="inlineStr">
        <is>
          <t>DOROTEA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44889</v>
      </c>
      <c r="E72" s="1" t="n">
        <v>46296</v>
      </c>
      <c r="F72" t="inlineStr">
        <is>
          <t>VÄSTERBOTTENS LÄN</t>
        </is>
      </c>
      <c r="G72" t="inlineStr">
        <is>
          <t>DOROTEA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44582</v>
      </c>
      <c r="E73" s="1" t="n">
        <v>46296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67686-2021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46296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59395-2023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45253</v>
      </c>
      <c r="E75" s="1" t="n">
        <v>46296</v>
      </c>
      <c r="F75" t="inlineStr">
        <is>
          <t>VÄSTERBOTTENS LÄN</t>
        </is>
      </c>
      <c r="G75" t="inlineStr">
        <is>
          <t>DOROTEA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45253</v>
      </c>
      <c r="E76" s="1" t="n">
        <v>46296</v>
      </c>
      <c r="F76" t="inlineStr">
        <is>
          <t>VÄSTERBOTTENS LÄN</t>
        </is>
      </c>
      <c r="G76" t="inlineStr">
        <is>
          <t>DOROTEA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45148</v>
      </c>
      <c r="E77" s="1" t="n">
        <v>46296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45198</v>
      </c>
      <c r="E78" s="1" t="n">
        <v>46296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46965-2024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45586</v>
      </c>
      <c r="E79" s="1" t="n">
        <v>46296</v>
      </c>
      <c r="F79" t="inlineStr">
        <is>
          <t>VÄSTERBOTTENS LÄN</t>
        </is>
      </c>
      <c r="G79" t="inlineStr">
        <is>
          <t>DOROTEA</t>
        </is>
      </c>
      <c r="H79" t="inlineStr">
        <is>
          <t>Sveaskog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14806-2023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45013</v>
      </c>
      <c r="E80" s="1" t="n">
        <v>46296</v>
      </c>
      <c r="F80" t="inlineStr">
        <is>
          <t>VÄSTERBOTTENS LÄN</t>
        </is>
      </c>
      <c r="G80" t="inlineStr">
        <is>
          <t>DOROTEA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39721-2024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45552</v>
      </c>
      <c r="E81" s="1" t="n">
        <v>46296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46296</v>
      </c>
      <c r="F82" t="inlineStr">
        <is>
          <t>VÄSTERBOTTENS LÄN</t>
        </is>
      </c>
      <c r="G82" t="inlineStr">
        <is>
          <t>DOROTEA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45149</v>
      </c>
      <c r="E83" s="1" t="n">
        <v>46296</v>
      </c>
      <c r="F83" t="inlineStr">
        <is>
          <t>VÄSTERBOTTENS LÄN</t>
        </is>
      </c>
      <c r="G83" t="inlineStr">
        <is>
          <t>DOROTEA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44979</v>
      </c>
      <c r="E84" s="1" t="n">
        <v>46296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9.4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44742</v>
      </c>
      <c r="E85" s="1" t="n">
        <v>46296</v>
      </c>
      <c r="F85" t="inlineStr">
        <is>
          <t>VÄSTERBOTTENS LÄN</t>
        </is>
      </c>
      <c r="G85" t="inlineStr">
        <is>
          <t>DOROTEA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45720</v>
      </c>
      <c r="E86" s="1" t="n">
        <v>46296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44484</v>
      </c>
      <c r="E87" s="1" t="n">
        <v>46296</v>
      </c>
      <c r="F87" t="inlineStr">
        <is>
          <t>VÄSTERBOTTENS LÄN</t>
        </is>
      </c>
      <c r="G87" t="inlineStr">
        <is>
          <t>DOROTEA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45170</v>
      </c>
      <c r="E88" s="1" t="n">
        <v>46296</v>
      </c>
      <c r="F88" t="inlineStr">
        <is>
          <t>VÄSTERBOTTENS LÄN</t>
        </is>
      </c>
      <c r="G88" t="inlineStr">
        <is>
          <t>DOROTEA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57071-2023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45244</v>
      </c>
      <c r="E89" s="1" t="n">
        <v>46296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46296</v>
      </c>
      <c r="F90" t="inlineStr">
        <is>
          <t>VÄSTERBOTTENS LÄN</t>
        </is>
      </c>
      <c r="G90" t="inlineStr">
        <is>
          <t>DOROTEA</t>
        </is>
      </c>
      <c r="I90" t="n">
        <v>10.6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45556</v>
      </c>
      <c r="E91" s="1" t="n">
        <v>46296</v>
      </c>
      <c r="F91" t="inlineStr">
        <is>
          <t>VÄSTERBOTTENS LÄN</t>
        </is>
      </c>
      <c r="G91" t="inlineStr">
        <is>
          <t>DOROTEA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55549-2024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45622</v>
      </c>
      <c r="E92" s="1" t="n">
        <v>46296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45036</v>
      </c>
      <c r="E93" s="1" t="n">
        <v>46296</v>
      </c>
      <c r="F93" t="inlineStr">
        <is>
          <t>VÄSTERBOTTENS LÄN</t>
        </is>
      </c>
      <c r="G93" t="inlineStr">
        <is>
          <t>DOROTEA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60145-2021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46296</v>
      </c>
      <c r="F94" t="inlineStr">
        <is>
          <t>VÄSTERBOTTENS LÄN</t>
        </is>
      </c>
      <c r="G94" t="inlineStr">
        <is>
          <t>DOROTEA</t>
        </is>
      </c>
      <c r="I94" t="n">
        <v>13.3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28549-2023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46296</v>
      </c>
      <c r="F95" t="inlineStr">
        <is>
          <t>VÄSTERBOTTENS LÄN</t>
        </is>
      </c>
      <c r="G95" t="inlineStr">
        <is>
          <t>DOROTEA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8852-2024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45356</v>
      </c>
      <c r="E96" s="1" t="n">
        <v>46296</v>
      </c>
      <c r="F96" t="inlineStr">
        <is>
          <t>VÄSTERBOTTENS LÄN</t>
        </is>
      </c>
      <c r="G96" t="inlineStr">
        <is>
          <t>DOROTEA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27305-2024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45471</v>
      </c>
      <c r="E97" s="1" t="n">
        <v>46296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14163-2024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45392</v>
      </c>
      <c r="E98" s="1" t="n">
        <v>46296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23213-2022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46296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40435-2023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45169</v>
      </c>
      <c r="E100" s="1" t="n">
        <v>46296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46296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45331</v>
      </c>
      <c r="E102" s="1" t="n">
        <v>46296</v>
      </c>
      <c r="F102" t="inlineStr">
        <is>
          <t>VÄSTERBOTTENS LÄN</t>
        </is>
      </c>
      <c r="G102" t="inlineStr">
        <is>
          <t>DOROTEA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40434-2023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45169</v>
      </c>
      <c r="E103" s="1" t="n">
        <v>46296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4958-2023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44956</v>
      </c>
      <c r="E104" s="1" t="n">
        <v>46296</v>
      </c>
      <c r="F104" t="inlineStr">
        <is>
          <t>VÄSTERBOTTENS LÄN</t>
        </is>
      </c>
      <c r="G104" t="inlineStr">
        <is>
          <t>DOROTEA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46296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46817-2022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44848</v>
      </c>
      <c r="E106" s="1" t="n">
        <v>46296</v>
      </c>
      <c r="F106" t="inlineStr">
        <is>
          <t>VÄSTERBOTTENS LÄN</t>
        </is>
      </c>
      <c r="G106" t="inlineStr">
        <is>
          <t>DOROTEA</t>
        </is>
      </c>
      <c r="I106" t="n">
        <v>29.8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46296</v>
      </c>
      <c r="F107" t="inlineStr">
        <is>
          <t>VÄSTERBOTTENS LÄN</t>
        </is>
      </c>
      <c r="G107" t="inlineStr">
        <is>
          <t>DOROTEA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44889</v>
      </c>
      <c r="E108" s="1" t="n">
        <v>46296</v>
      </c>
      <c r="F108" t="inlineStr">
        <is>
          <t>VÄSTERBOTTENS LÄN</t>
        </is>
      </c>
      <c r="G108" t="inlineStr">
        <is>
          <t>DOROTEA</t>
        </is>
      </c>
      <c r="I108" t="n">
        <v>15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13035-2024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45385</v>
      </c>
      <c r="E109" s="1" t="n">
        <v>46296</v>
      </c>
      <c r="F109" t="inlineStr">
        <is>
          <t>VÄSTERBOTTENS LÄN</t>
        </is>
      </c>
      <c r="G109" t="inlineStr">
        <is>
          <t>DOROTEA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46966-2024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45586</v>
      </c>
      <c r="E110" s="1" t="n">
        <v>46296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Sveaskog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60304-2022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44910</v>
      </c>
      <c r="E111" s="1" t="n">
        <v>46296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27199-2024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45471</v>
      </c>
      <c r="E112" s="1" t="n">
        <v>46296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45551</v>
      </c>
      <c r="E113" s="1" t="n">
        <v>46296</v>
      </c>
      <c r="F113" t="inlineStr">
        <is>
          <t>VÄSTERBOTTENS LÄN</t>
        </is>
      </c>
      <c r="G113" t="inlineStr">
        <is>
          <t>DOROTEA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45055</v>
      </c>
      <c r="E114" s="1" t="n">
        <v>46296</v>
      </c>
      <c r="F114" t="inlineStr">
        <is>
          <t>VÄSTERBOTTENS LÄN</t>
        </is>
      </c>
      <c r="G114" t="inlineStr">
        <is>
          <t>DOROTEA</t>
        </is>
      </c>
      <c r="H114" t="inlineStr">
        <is>
          <t>Övriga statliga verk och myndigheter</t>
        </is>
      </c>
      <c r="I114" t="n">
        <v>13.9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23300-2023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45075</v>
      </c>
      <c r="E115" s="1" t="n">
        <v>46296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28717-2022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44748</v>
      </c>
      <c r="E116" s="1" t="n">
        <v>46296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45488</v>
      </c>
      <c r="E117" s="1" t="n">
        <v>46296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40438-2023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46296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45140</v>
      </c>
      <c r="E119" s="1" t="n">
        <v>46296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45182</v>
      </c>
      <c r="E120" s="1" t="n">
        <v>46296</v>
      </c>
      <c r="F120" t="inlineStr">
        <is>
          <t>VÄSTERBOTTENS LÄN</t>
        </is>
      </c>
      <c r="G120" t="inlineStr">
        <is>
          <t>DOROTEA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45315</v>
      </c>
      <c r="E121" s="1" t="n">
        <v>46296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60015-2023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45257</v>
      </c>
      <c r="E122" s="1" t="n">
        <v>46296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45771</v>
      </c>
      <c r="E123" s="1" t="n">
        <v>46296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17658-2023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45036</v>
      </c>
      <c r="E124" s="1" t="n">
        <v>46296</v>
      </c>
      <c r="F124" t="inlineStr">
        <is>
          <t>VÄSTERBOTTENS LÄN</t>
        </is>
      </c>
      <c r="G124" t="inlineStr">
        <is>
          <t>DOROTEA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53795-2022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44876</v>
      </c>
      <c r="E125" s="1" t="n">
        <v>46296</v>
      </c>
      <c r="F125" t="inlineStr">
        <is>
          <t>VÄSTERBOTTENS LÄN</t>
        </is>
      </c>
      <c r="G125" t="inlineStr">
        <is>
          <t>DOROTEA</t>
        </is>
      </c>
      <c r="I125" t="n">
        <v>12.3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45734</v>
      </c>
      <c r="E126" s="1" t="n">
        <v>46296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44958</v>
      </c>
      <c r="E127" s="1" t="n">
        <v>46296</v>
      </c>
      <c r="F127" t="inlineStr">
        <is>
          <t>VÄSTERBOTTENS LÄN</t>
        </is>
      </c>
      <c r="G127" t="inlineStr">
        <is>
          <t>DOROTEA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27477-2023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45097</v>
      </c>
      <c r="E128" s="1" t="n">
        <v>46296</v>
      </c>
      <c r="F128" t="inlineStr">
        <is>
          <t>VÄSTERBOTTENS LÄN</t>
        </is>
      </c>
      <c r="G128" t="inlineStr">
        <is>
          <t>DOROTEA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45142</v>
      </c>
      <c r="E129" s="1" t="n">
        <v>46296</v>
      </c>
      <c r="F129" t="inlineStr">
        <is>
          <t>VÄSTERBOTTENS LÄN</t>
        </is>
      </c>
      <c r="G129" t="inlineStr">
        <is>
          <t>DOROTEA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74013-2021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44557</v>
      </c>
      <c r="E130" s="1" t="n">
        <v>46296</v>
      </c>
      <c r="F130" t="inlineStr">
        <is>
          <t>VÄSTERBOTTENS LÄN</t>
        </is>
      </c>
      <c r="G130" t="inlineStr">
        <is>
          <t>DOROTEA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46296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42484-2024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45565</v>
      </c>
      <c r="E132" s="1" t="n">
        <v>46296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29454-2024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45483</v>
      </c>
      <c r="E133" s="1" t="n">
        <v>46296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17591-2025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45757</v>
      </c>
      <c r="E134" s="1" t="n">
        <v>46296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29645-2023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45098</v>
      </c>
      <c r="E135" s="1" t="n">
        <v>46296</v>
      </c>
      <c r="F135" t="inlineStr">
        <is>
          <t>VÄSTERBOTTENS LÄN</t>
        </is>
      </c>
      <c r="G135" t="inlineStr">
        <is>
          <t>DOROTEA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55919-2023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45239</v>
      </c>
      <c r="E136" s="1" t="n">
        <v>46296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43944-2024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45572</v>
      </c>
      <c r="E137" s="1" t="n">
        <v>46296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45478</v>
      </c>
      <c r="E138" s="1" t="n">
        <v>46296</v>
      </c>
      <c r="F138" t="inlineStr">
        <is>
          <t>VÄSTERBOTTENS LÄN</t>
        </is>
      </c>
      <c r="G138" t="inlineStr">
        <is>
          <t>DOROTEA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46296</v>
      </c>
      <c r="F139" t="inlineStr">
        <is>
          <t>VÄSTERBOTTENS LÄN</t>
        </is>
      </c>
      <c r="G139" t="inlineStr">
        <is>
          <t>DOROTEA</t>
        </is>
      </c>
      <c r="I139" t="n">
        <v>11.2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45562</v>
      </c>
      <c r="E140" s="1" t="n">
        <v>46296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46296</v>
      </c>
      <c r="F141" t="inlineStr">
        <is>
          <t>VÄSTERBOTTENS LÄN</t>
        </is>
      </c>
      <c r="G141" t="inlineStr">
        <is>
          <t>DOROTEA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42104-2024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45562</v>
      </c>
      <c r="E142" s="1" t="n">
        <v>46296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19657-2025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45770</v>
      </c>
      <c r="E143" s="1" t="n">
        <v>46296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45223</v>
      </c>
      <c r="E144" s="1" t="n">
        <v>46296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59653-2024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45639</v>
      </c>
      <c r="E145" s="1" t="n">
        <v>46296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45672</v>
      </c>
      <c r="E146" s="1" t="n">
        <v>46296</v>
      </c>
      <c r="F146" t="inlineStr">
        <is>
          <t>VÄSTERBOTTENS LÄN</t>
        </is>
      </c>
      <c r="G146" t="inlineStr">
        <is>
          <t>DOROTEA</t>
        </is>
      </c>
      <c r="H146" t="inlineStr">
        <is>
          <t>Kommuner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46296</v>
      </c>
      <c r="F147" t="inlineStr">
        <is>
          <t>VÄSTERBOTTENS LÄN</t>
        </is>
      </c>
      <c r="G147" t="inlineStr">
        <is>
          <t>DOROTEA</t>
        </is>
      </c>
      <c r="I147" t="n">
        <v>28.8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47494-2023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45202</v>
      </c>
      <c r="E148" s="1" t="n">
        <v>46296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45448</v>
      </c>
      <c r="E149" s="1" t="n">
        <v>46296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60162-2024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46296</v>
      </c>
      <c r="F150" t="inlineStr">
        <is>
          <t>VÄSTERBOTTENS LÄN</t>
        </is>
      </c>
      <c r="G150" t="inlineStr">
        <is>
          <t>DOROTEA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45789</v>
      </c>
      <c r="E151" s="1" t="n">
        <v>46296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17783-2023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45036</v>
      </c>
      <c r="E152" s="1" t="n">
        <v>46296</v>
      </c>
      <c r="F152" t="inlineStr">
        <is>
          <t>VÄSTERBOTTENS LÄN</t>
        </is>
      </c>
      <c r="G152" t="inlineStr">
        <is>
          <t>DOROTEA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7429-2023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44971</v>
      </c>
      <c r="E153" s="1" t="n">
        <v>46296</v>
      </c>
      <c r="F153" t="inlineStr">
        <is>
          <t>VÄSTERBOTTENS LÄN</t>
        </is>
      </c>
      <c r="G153" t="inlineStr">
        <is>
          <t>DOROTEA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44645</v>
      </c>
      <c r="E154" s="1" t="n">
        <v>46296</v>
      </c>
      <c r="F154" t="inlineStr">
        <is>
          <t>VÄSTERBOTTENS LÄN</t>
        </is>
      </c>
      <c r="G154" t="inlineStr">
        <is>
          <t>DOROTEA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46296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42473-2024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45565</v>
      </c>
      <c r="E156" s="1" t="n">
        <v>46296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45140</v>
      </c>
      <c r="E157" s="1" t="n">
        <v>46296</v>
      </c>
      <c r="F157" t="inlineStr">
        <is>
          <t>VÄSTERBOTTENS LÄN</t>
        </is>
      </c>
      <c r="G157" t="inlineStr">
        <is>
          <t>DOROTEA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29737-2024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45485</v>
      </c>
      <c r="E158" s="1" t="n">
        <v>46296</v>
      </c>
      <c r="F158" t="inlineStr">
        <is>
          <t>VÄSTERBOTTENS LÄN</t>
        </is>
      </c>
      <c r="G158" t="inlineStr">
        <is>
          <t>DOROTEA</t>
        </is>
      </c>
      <c r="I158" t="n">
        <v>10.2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45792</v>
      </c>
      <c r="E159" s="1" t="n">
        <v>46296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45551</v>
      </c>
      <c r="E160" s="1" t="n">
        <v>46296</v>
      </c>
      <c r="F160" t="inlineStr">
        <is>
          <t>VÄSTERBOTTENS LÄN</t>
        </is>
      </c>
      <c r="G160" t="inlineStr">
        <is>
          <t>DOROTEA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45720</v>
      </c>
      <c r="E161" s="1" t="n">
        <v>46296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33113-2024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45517</v>
      </c>
      <c r="E162" s="1" t="n">
        <v>46296</v>
      </c>
      <c r="F162" t="inlineStr">
        <is>
          <t>VÄSTERBOTTENS LÄN</t>
        </is>
      </c>
      <c r="G162" t="inlineStr">
        <is>
          <t>DOROTEA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57070-2023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45244</v>
      </c>
      <c r="E163" s="1" t="n">
        <v>46296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22450-2024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45446</v>
      </c>
      <c r="E164" s="1" t="n">
        <v>46296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45125</v>
      </c>
      <c r="E165" s="1" t="n">
        <v>46296</v>
      </c>
      <c r="F165" t="inlineStr">
        <is>
          <t>VÄSTERBOTTENS LÄN</t>
        </is>
      </c>
      <c r="G165" t="inlineStr">
        <is>
          <t>DOROTEA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45636</v>
      </c>
      <c r="E166" s="1" t="n">
        <v>46296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45448</v>
      </c>
      <c r="E167" s="1" t="n">
        <v>46296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45491</v>
      </c>
      <c r="E168" s="1" t="n">
        <v>46296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Sveaskog</t>
        </is>
      </c>
      <c r="I168" t="n">
        <v>13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53380-2024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45614</v>
      </c>
      <c r="E169" s="1" t="n">
        <v>46296</v>
      </c>
      <c r="F169" t="inlineStr">
        <is>
          <t>VÄSTERBOTTENS LÄN</t>
        </is>
      </c>
      <c r="G169" t="inlineStr">
        <is>
          <t>DOROTEA</t>
        </is>
      </c>
      <c r="I169" t="n">
        <v>12.8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62657-2022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44925</v>
      </c>
      <c r="E170" s="1" t="n">
        <v>46296</v>
      </c>
      <c r="F170" t="inlineStr">
        <is>
          <t>VÄSTERBOTTENS LÄN</t>
        </is>
      </c>
      <c r="G170" t="inlineStr">
        <is>
          <t>DOROTEA</t>
        </is>
      </c>
      <c r="I170" t="n">
        <v>22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34107-2023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45125</v>
      </c>
      <c r="E171" s="1" t="n">
        <v>46296</v>
      </c>
      <c r="F171" t="inlineStr">
        <is>
          <t>VÄSTERBOTTENS LÄN</t>
        </is>
      </c>
      <c r="G171" t="inlineStr">
        <is>
          <t>DOROTEA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44889</v>
      </c>
      <c r="E172" s="1" t="n">
        <v>46296</v>
      </c>
      <c r="F172" t="inlineStr">
        <is>
          <t>VÄSTERBOTTENS LÄN</t>
        </is>
      </c>
      <c r="G172" t="inlineStr">
        <is>
          <t>DOROTEA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13170-2025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45735</v>
      </c>
      <c r="E173" s="1" t="n">
        <v>46296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45803</v>
      </c>
      <c r="E174" s="1" t="n">
        <v>46296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42889-2024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45566</v>
      </c>
      <c r="E175" s="1" t="n">
        <v>46296</v>
      </c>
      <c r="F175" t="inlineStr">
        <is>
          <t>VÄSTERBOTTENS LÄN</t>
        </is>
      </c>
      <c r="G175" t="inlineStr">
        <is>
          <t>DOROTEA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44942</v>
      </c>
      <c r="E176" s="1" t="n">
        <v>46296</v>
      </c>
      <c r="F176" t="inlineStr">
        <is>
          <t>VÄSTERBOTTENS LÄN</t>
        </is>
      </c>
      <c r="G176" t="inlineStr">
        <is>
          <t>DOROTEA</t>
        </is>
      </c>
      <c r="I176" t="n">
        <v>22.7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45069</v>
      </c>
      <c r="E177" s="1" t="n">
        <v>46296</v>
      </c>
      <c r="F177" t="inlineStr">
        <is>
          <t>VÄSTERBOTTENS LÄN</t>
        </is>
      </c>
      <c r="G177" t="inlineStr">
        <is>
          <t>DOROTEA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53357-2024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45614</v>
      </c>
      <c r="E178" s="1" t="n">
        <v>46296</v>
      </c>
      <c r="F178" t="inlineStr">
        <is>
          <t>VÄSTERBOTTENS LÄN</t>
        </is>
      </c>
      <c r="G178" t="inlineStr">
        <is>
          <t>DOROTEA</t>
        </is>
      </c>
      <c r="I178" t="n">
        <v>26.5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46296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58313-2024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45632</v>
      </c>
      <c r="E180" s="1" t="n">
        <v>46296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45805</v>
      </c>
      <c r="E181" s="1" t="n">
        <v>46296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60163-2024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45642</v>
      </c>
      <c r="E182" s="1" t="n">
        <v>46296</v>
      </c>
      <c r="F182" t="inlineStr">
        <is>
          <t>VÄSTERBOTTENS LÄN</t>
        </is>
      </c>
      <c r="G182" t="inlineStr">
        <is>
          <t>DOROTEA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26481-2025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45807</v>
      </c>
      <c r="E183" s="1" t="n">
        <v>46296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45807</v>
      </c>
      <c r="E184" s="1" t="n">
        <v>46296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45224</v>
      </c>
      <c r="E185" s="1" t="n">
        <v>46296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46296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45664</v>
      </c>
      <c r="E187" s="1" t="n">
        <v>46296</v>
      </c>
      <c r="F187" t="inlineStr">
        <is>
          <t>VÄSTERBOTTENS LÄN</t>
        </is>
      </c>
      <c r="G187" t="inlineStr">
        <is>
          <t>DOROTEA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45742</v>
      </c>
      <c r="E188" s="1" t="n">
        <v>46296</v>
      </c>
      <c r="F188" t="inlineStr">
        <is>
          <t>VÄSTERBOTTENS LÄN</t>
        </is>
      </c>
      <c r="G188" t="inlineStr">
        <is>
          <t>DOROTEA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46296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45519</v>
      </c>
      <c r="E190" s="1" t="n">
        <v>46296</v>
      </c>
      <c r="F190" t="inlineStr">
        <is>
          <t>VÄSTERBOTTENS LÄN</t>
        </is>
      </c>
      <c r="G190" t="inlineStr">
        <is>
          <t>DOROTEA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45140</v>
      </c>
      <c r="E191" s="1" t="n">
        <v>46296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52276-2023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45217</v>
      </c>
      <c r="E192" s="1" t="n">
        <v>46296</v>
      </c>
      <c r="F192" t="inlineStr">
        <is>
          <t>VÄSTERBOTTENS LÄN</t>
        </is>
      </c>
      <c r="G192" t="inlineStr">
        <is>
          <t>DOROTEA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8088-2023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46296</v>
      </c>
      <c r="F193" t="inlineStr">
        <is>
          <t>VÄSTERBOTTENS LÄN</t>
        </is>
      </c>
      <c r="G193" t="inlineStr">
        <is>
          <t>DOROTEA</t>
        </is>
      </c>
      <c r="I193" t="n">
        <v>14.8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46296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45817</v>
      </c>
      <c r="E195" s="1" t="n">
        <v>46296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14320-2024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45393</v>
      </c>
      <c r="E196" s="1" t="n">
        <v>46296</v>
      </c>
      <c r="F196" t="inlineStr">
        <is>
          <t>VÄSTERBOTTENS LÄN</t>
        </is>
      </c>
      <c r="G196" t="inlineStr">
        <is>
          <t>DOROTEA</t>
        </is>
      </c>
      <c r="I196" t="n">
        <v>10.2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46296</v>
      </c>
      <c r="F197" t="inlineStr">
        <is>
          <t>VÄSTERBOTTENS LÄN</t>
        </is>
      </c>
      <c r="G197" t="inlineStr">
        <is>
          <t>DOROTEA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59418-2023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45253</v>
      </c>
      <c r="E198" s="1" t="n">
        <v>46296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41771-2024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45561</v>
      </c>
      <c r="E199" s="1" t="n">
        <v>46296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45642</v>
      </c>
      <c r="E200" s="1" t="n">
        <v>46296</v>
      </c>
      <c r="F200" t="inlineStr">
        <is>
          <t>VÄSTERBOTTENS LÄN</t>
        </is>
      </c>
      <c r="G200" t="inlineStr">
        <is>
          <t>DOROTEA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45642</v>
      </c>
      <c r="E201" s="1" t="n">
        <v>46296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45111</v>
      </c>
      <c r="E202" s="1" t="n">
        <v>46296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45180</v>
      </c>
      <c r="E203" s="1" t="n">
        <v>46296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27.7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45833</v>
      </c>
      <c r="E204" s="1" t="n">
        <v>46296</v>
      </c>
      <c r="F204" t="inlineStr">
        <is>
          <t>VÄSTERBOTTENS LÄN</t>
        </is>
      </c>
      <c r="G204" t="inlineStr">
        <is>
          <t>DOROTEA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46296</v>
      </c>
      <c r="F205" t="inlineStr">
        <is>
          <t>VÄSTERBOTTENS LÄN</t>
        </is>
      </c>
      <c r="G205" t="inlineStr">
        <is>
          <t>DOROTEA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52148-2023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45223</v>
      </c>
      <c r="E206" s="1" t="n">
        <v>46296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44568</v>
      </c>
      <c r="E207" s="1" t="n">
        <v>46296</v>
      </c>
      <c r="F207" t="inlineStr">
        <is>
          <t>VÄSTERBOTTENS LÄN</t>
        </is>
      </c>
      <c r="G207" t="inlineStr">
        <is>
          <t>DOROTEA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4617-2023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44956</v>
      </c>
      <c r="E208" s="1" t="n">
        <v>46296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45847</v>
      </c>
      <c r="E209" s="1" t="n">
        <v>46296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45846</v>
      </c>
      <c r="E210" s="1" t="n">
        <v>46296</v>
      </c>
      <c r="F210" t="inlineStr">
        <is>
          <t>VÄSTERBOTTENS LÄN</t>
        </is>
      </c>
      <c r="G210" t="inlineStr">
        <is>
          <t>DOROTEA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45547</v>
      </c>
      <c r="E211" s="1" t="n">
        <v>46296</v>
      </c>
      <c r="F211" t="inlineStr">
        <is>
          <t>VÄSTERBOTTENS LÄN</t>
        </is>
      </c>
      <c r="G211" t="inlineStr">
        <is>
          <t>DOROTEA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45848</v>
      </c>
      <c r="E212" s="1" t="n">
        <v>46296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45849</v>
      </c>
      <c r="E213" s="1" t="n">
        <v>46296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45735</v>
      </c>
      <c r="E214" s="1" t="n">
        <v>46296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45852</v>
      </c>
      <c r="E215" s="1" t="n">
        <v>46296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45855</v>
      </c>
      <c r="E216" s="1" t="n">
        <v>46296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45855</v>
      </c>
      <c r="E217" s="1" t="n">
        <v>46296</v>
      </c>
      <c r="F217" t="inlineStr">
        <is>
          <t>VÄSTERBOTTENS LÄN</t>
        </is>
      </c>
      <c r="G217" t="inlineStr">
        <is>
          <t>DOROTEA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35438-2025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45855</v>
      </c>
      <c r="E218" s="1" t="n">
        <v>46296</v>
      </c>
      <c r="F218" t="inlineStr">
        <is>
          <t>VÄSTERBOTTENS LÄN</t>
        </is>
      </c>
      <c r="G218" t="inlineStr">
        <is>
          <t>DOROTEA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35458-2025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45855</v>
      </c>
      <c r="E219" s="1" t="n">
        <v>46296</v>
      </c>
      <c r="F219" t="inlineStr">
        <is>
          <t>VÄSTERBOTTENS LÄN</t>
        </is>
      </c>
      <c r="G219" t="inlineStr">
        <is>
          <t>DOROTEA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49077-2022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44860</v>
      </c>
      <c r="E220" s="1" t="n">
        <v>46296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Sveaskog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25028-2024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45461</v>
      </c>
      <c r="E221" s="1" t="n">
        <v>46296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45036</v>
      </c>
      <c r="E222" s="1" t="n">
        <v>46296</v>
      </c>
      <c r="F222" t="inlineStr">
        <is>
          <t>VÄSTERBOTTENS LÄN</t>
        </is>
      </c>
      <c r="G222" t="inlineStr">
        <is>
          <t>DOROTEA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32821-2024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45516</v>
      </c>
      <c r="E223" s="1" t="n">
        <v>46296</v>
      </c>
      <c r="F223" t="inlineStr">
        <is>
          <t>VÄSTERBOTTENS LÄN</t>
        </is>
      </c>
      <c r="G223" t="inlineStr">
        <is>
          <t>DOROTEA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36111-2025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45866</v>
      </c>
      <c r="E224" s="1" t="n">
        <v>46296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36125-2025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45866</v>
      </c>
      <c r="E225" s="1" t="n">
        <v>46296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44980</v>
      </c>
      <c r="E226" s="1" t="n">
        <v>46296</v>
      </c>
      <c r="F226" t="inlineStr">
        <is>
          <t>VÄSTERBOTTENS LÄN</t>
        </is>
      </c>
      <c r="G226" t="inlineStr">
        <is>
          <t>DOROTEA</t>
        </is>
      </c>
      <c r="I226" t="n">
        <v>18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8246-2024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45351</v>
      </c>
      <c r="E227" s="1" t="n">
        <v>46296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27909-2024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46296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13.2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22946-2024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46296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45071</v>
      </c>
      <c r="E230" s="1" t="n">
        <v>46296</v>
      </c>
      <c r="F230" t="inlineStr">
        <is>
          <t>VÄSTERBOTTENS LÄN</t>
        </is>
      </c>
      <c r="G230" t="inlineStr">
        <is>
          <t>DOROTEA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45874</v>
      </c>
      <c r="E231" s="1" t="n">
        <v>46296</v>
      </c>
      <c r="F231" t="inlineStr">
        <is>
          <t>VÄSTERBOTTENS LÄN</t>
        </is>
      </c>
      <c r="G231" t="inlineStr">
        <is>
          <t>DOROTEA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46296</v>
      </c>
      <c r="F232" t="inlineStr">
        <is>
          <t>VÄSTERBOTTENS LÄN</t>
        </is>
      </c>
      <c r="G232" t="inlineStr">
        <is>
          <t>DOROTEA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45936</v>
      </c>
      <c r="E233" s="1" t="n">
        <v>46296</v>
      </c>
      <c r="F233" t="inlineStr">
        <is>
          <t>VÄSTERBOTTENS LÄN</t>
        </is>
      </c>
      <c r="G233" t="inlineStr">
        <is>
          <t>DOROTEA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48006-2023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45198</v>
      </c>
      <c r="E234" s="1" t="n">
        <v>46296</v>
      </c>
      <c r="F234" t="inlineStr">
        <is>
          <t>VÄSTERBOTTENS LÄN</t>
        </is>
      </c>
      <c r="G234" t="inlineStr">
        <is>
          <t>DOROTEA</t>
        </is>
      </c>
      <c r="H234" t="inlineStr">
        <is>
          <t>Övriga statliga verk och myndigheter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36844-2025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45874</v>
      </c>
      <c r="E235" s="1" t="n">
        <v>46296</v>
      </c>
      <c r="F235" t="inlineStr">
        <is>
          <t>VÄSTERBOTTENS LÄN</t>
        </is>
      </c>
      <c r="G235" t="inlineStr">
        <is>
          <t>DOROTEA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45875</v>
      </c>
      <c r="E236" s="1" t="n">
        <v>46296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46296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37259-2025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45876</v>
      </c>
      <c r="E238" s="1" t="n">
        <v>46296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49408-2025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45938</v>
      </c>
      <c r="E239" s="1" t="n">
        <v>46296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46296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9.800000000000001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45877</v>
      </c>
      <c r="E241" s="1" t="n">
        <v>46296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37276-2025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45876</v>
      </c>
      <c r="E242" s="1" t="n">
        <v>46296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38099-2025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45882</v>
      </c>
      <c r="E243" s="1" t="n">
        <v>46296</v>
      </c>
      <c r="F243" t="inlineStr">
        <is>
          <t>VÄSTERBOTTENS LÄN</t>
        </is>
      </c>
      <c r="G243" t="inlineStr">
        <is>
          <t>DOROTEA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45882</v>
      </c>
      <c r="E244" s="1" t="n">
        <v>46296</v>
      </c>
      <c r="F244" t="inlineStr">
        <is>
          <t>VÄSTERBOTTENS LÄN</t>
        </is>
      </c>
      <c r="G244" t="inlineStr">
        <is>
          <t>DOROTEA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38097-2025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45882</v>
      </c>
      <c r="E245" s="1" t="n">
        <v>46296</v>
      </c>
      <c r="F245" t="inlineStr">
        <is>
          <t>VÄSTERBOTTENS LÄN</t>
        </is>
      </c>
      <c r="G245" t="inlineStr">
        <is>
          <t>DOROTEA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38098-2025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45882</v>
      </c>
      <c r="E246" s="1" t="n">
        <v>46296</v>
      </c>
      <c r="F246" t="inlineStr">
        <is>
          <t>VÄSTERBOTTENS LÄN</t>
        </is>
      </c>
      <c r="G246" t="inlineStr">
        <is>
          <t>DOROTEA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46296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45539</v>
      </c>
      <c r="E248" s="1" t="n">
        <v>46296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12.3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39778-2025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45891</v>
      </c>
      <c r="E249" s="1" t="n">
        <v>46296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38101-2025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45882</v>
      </c>
      <c r="E250" s="1" t="n">
        <v>46296</v>
      </c>
      <c r="F250" t="inlineStr">
        <is>
          <t>VÄSTERBOTTENS LÄN</t>
        </is>
      </c>
      <c r="G250" t="inlineStr">
        <is>
          <t>DOROTEA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45712</v>
      </c>
      <c r="E251" s="1" t="n">
        <v>46296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46296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39977-2025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45893</v>
      </c>
      <c r="E253" s="1" t="n">
        <v>46296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10.3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25719-2024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45463</v>
      </c>
      <c r="E254" s="1" t="n">
        <v>46296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41055-2025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46296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41871-2025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45903</v>
      </c>
      <c r="E256" s="1" t="n">
        <v>46296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10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52412-2025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46296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42553-2025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45905</v>
      </c>
      <c r="E258" s="1" t="n">
        <v>46296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42125-2025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45904</v>
      </c>
      <c r="E259" s="1" t="n">
        <v>46296</v>
      </c>
      <c r="F259" t="inlineStr">
        <is>
          <t>VÄSTERBOTTENS LÄN</t>
        </is>
      </c>
      <c r="G259" t="inlineStr">
        <is>
          <t>DOROTEA</t>
        </is>
      </c>
      <c r="H259" t="inlineStr">
        <is>
          <t>Övriga Aktiebolag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46296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43866-2025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45912</v>
      </c>
      <c r="E261" s="1" t="n">
        <v>46296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7.5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44190-2025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46296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44194-2025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46296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8.4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43876-2025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45912</v>
      </c>
      <c r="E264" s="1" t="n">
        <v>46296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43720-2025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45912</v>
      </c>
      <c r="E265" s="1" t="n">
        <v>46296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11.1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46296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44593-2025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45917</v>
      </c>
      <c r="E267" s="1" t="n">
        <v>46296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44282-2025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45916</v>
      </c>
      <c r="E268" s="1" t="n">
        <v>46296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45916</v>
      </c>
      <c r="E269" s="1" t="n">
        <v>46296</v>
      </c>
      <c r="F269" t="inlineStr">
        <is>
          <t>VÄSTERBOTTENS LÄN</t>
        </is>
      </c>
      <c r="G269" t="inlineStr">
        <is>
          <t>DOROTEA</t>
        </is>
      </c>
      <c r="H269" t="inlineStr">
        <is>
          <t>Övriga statliga verk och myndigheter</t>
        </is>
      </c>
      <c r="I269" t="n">
        <v>15.2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45917</v>
      </c>
      <c r="E270" s="1" t="n">
        <v>46296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44784-2025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45917</v>
      </c>
      <c r="E271" s="1" t="n">
        <v>46296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46296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45966</v>
      </c>
      <c r="E273" s="1" t="n">
        <v>46296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45845</v>
      </c>
      <c r="E274" s="1" t="n">
        <v>46296</v>
      </c>
      <c r="F274" t="inlineStr">
        <is>
          <t>VÄSTERBOTTENS LÄN</t>
        </is>
      </c>
      <c r="G274" t="inlineStr">
        <is>
          <t>DOROTEA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34408-2025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45845</v>
      </c>
      <c r="E275" s="1" t="n">
        <v>46296</v>
      </c>
      <c r="F275" t="inlineStr">
        <is>
          <t>VÄSTERBOTTENS LÄN</t>
        </is>
      </c>
      <c r="G275" t="inlineStr">
        <is>
          <t>DOROTEA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56556-2025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46296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56428-2025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46296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45977</v>
      </c>
      <c r="E278" s="1" t="n">
        <v>46296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57245-2025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46296</v>
      </c>
      <c r="F279" t="inlineStr">
        <is>
          <t>VÄSTERBOTTENS LÄN</t>
        </is>
      </c>
      <c r="G279" t="inlineStr">
        <is>
          <t>DOROTEA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57250-2025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46296</v>
      </c>
      <c r="F280" t="inlineStr">
        <is>
          <t>VÄSTERBOTTENS LÄN</t>
        </is>
      </c>
      <c r="G280" t="inlineStr">
        <is>
          <t>DOROTEA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46296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10.2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45980</v>
      </c>
      <c r="E282" s="1" t="n">
        <v>46296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57481-2025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46296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46296</v>
      </c>
      <c r="F284" t="inlineStr">
        <is>
          <t>VÄSTERBOTTENS LÄN</t>
        </is>
      </c>
      <c r="G284" t="inlineStr">
        <is>
          <t>DOROTEA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46296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45982</v>
      </c>
      <c r="E286" s="1" t="n">
        <v>46296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45982</v>
      </c>
      <c r="E287" s="1" t="n">
        <v>46296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18.2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46296</v>
      </c>
      <c r="F288" t="inlineStr">
        <is>
          <t>VÄSTERBOTTENS LÄN</t>
        </is>
      </c>
      <c r="G288" t="inlineStr">
        <is>
          <t>DOROTEA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59338-2025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45988</v>
      </c>
      <c r="E289" s="1" t="n">
        <v>46296</v>
      </c>
      <c r="F289" t="inlineStr">
        <is>
          <t>VÄSTERBOTTENS LÄN</t>
        </is>
      </c>
      <c r="G289" t="inlineStr">
        <is>
          <t>DOROTEA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59054-2025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46296</v>
      </c>
      <c r="F290" t="inlineStr">
        <is>
          <t>VÄSTERBOTTENS LÄN</t>
        </is>
      </c>
      <c r="G290" t="inlineStr">
        <is>
          <t>DOROTEA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46296</v>
      </c>
      <c r="F291" t="inlineStr">
        <is>
          <t>VÄSTERBOTTENS LÄN</t>
        </is>
      </c>
      <c r="G291" t="inlineStr">
        <is>
          <t>DOROTEA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35937-2025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45862</v>
      </c>
      <c r="E292" s="1" t="n">
        <v>46296</v>
      </c>
      <c r="F292" t="inlineStr">
        <is>
          <t>VÄSTERBOTTENS LÄN</t>
        </is>
      </c>
      <c r="G292" t="inlineStr">
        <is>
          <t>DOROTEA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60724-2025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45996</v>
      </c>
      <c r="E293" s="1" t="n">
        <v>46296</v>
      </c>
      <c r="F293" t="inlineStr">
        <is>
          <t>VÄSTERBOTTENS LÄN</t>
        </is>
      </c>
      <c r="G293" t="inlineStr">
        <is>
          <t>DOROTEA</t>
        </is>
      </c>
      <c r="I293" t="n">
        <v>23.9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46296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62193-2025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46003</v>
      </c>
      <c r="E295" s="1" t="n">
        <v>46296</v>
      </c>
      <c r="F295" t="inlineStr">
        <is>
          <t>VÄSTERBOTTENS LÄN</t>
        </is>
      </c>
      <c r="G295" t="inlineStr">
        <is>
          <t>DOROTEA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62422-2025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46007</v>
      </c>
      <c r="E296" s="1" t="n">
        <v>46296</v>
      </c>
      <c r="F296" t="inlineStr">
        <is>
          <t>VÄSTERBOTTENS LÄN</t>
        </is>
      </c>
      <c r="G296" t="inlineStr">
        <is>
          <t>DOROTEA</t>
        </is>
      </c>
      <c r="I296" t="n">
        <v>6.4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62399-2025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46007</v>
      </c>
      <c r="E297" s="1" t="n">
        <v>46296</v>
      </c>
      <c r="F297" t="inlineStr">
        <is>
          <t>VÄSTERBOTTENS LÄN</t>
        </is>
      </c>
      <c r="G297" t="inlineStr">
        <is>
          <t>DOROTEA</t>
        </is>
      </c>
      <c r="I297" t="n">
        <v>16.7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62423-2025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46296</v>
      </c>
      <c r="F298" t="inlineStr">
        <is>
          <t>VÄSTERBOTTENS LÄN</t>
        </is>
      </c>
      <c r="G298" t="inlineStr">
        <is>
          <t>DOROTEA</t>
        </is>
      </c>
      <c r="I298" t="n">
        <v>13.2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45755</v>
      </c>
      <c r="E299" s="1" t="n">
        <v>46296</v>
      </c>
      <c r="F299" t="inlineStr">
        <is>
          <t>VÄSTERBOTTENS LÄN</t>
        </is>
      </c>
      <c r="G299" t="inlineStr">
        <is>
          <t>DOROTEA</t>
        </is>
      </c>
      <c r="I299" t="n">
        <v>7.6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62424-2025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46007</v>
      </c>
      <c r="E300" s="1" t="n">
        <v>46296</v>
      </c>
      <c r="F300" t="inlineStr">
        <is>
          <t>VÄSTERBOTTENS LÄN</t>
        </is>
      </c>
      <c r="G300" t="inlineStr">
        <is>
          <t>DOROTEA</t>
        </is>
      </c>
      <c r="I300" t="n">
        <v>12.3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62974-2025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46009</v>
      </c>
      <c r="E301" s="1" t="n">
        <v>46296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9.4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37072-2024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45539</v>
      </c>
      <c r="E302" s="1" t="n">
        <v>46296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63939-2025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46010</v>
      </c>
      <c r="E303" s="1" t="n">
        <v>46296</v>
      </c>
      <c r="F303" t="inlineStr">
        <is>
          <t>VÄSTERBOTTENS LÄN</t>
        </is>
      </c>
      <c r="G303" t="inlineStr">
        <is>
          <t>DOROTEA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63745-2025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46017</v>
      </c>
      <c r="E304" s="1" t="n">
        <v>46296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46030</v>
      </c>
      <c r="E305" s="1" t="n">
        <v>46296</v>
      </c>
      <c r="F305" t="inlineStr">
        <is>
          <t>VÄSTERBOTTENS LÄN</t>
        </is>
      </c>
      <c r="G305" t="inlineStr">
        <is>
          <t>DOROTEA</t>
        </is>
      </c>
      <c r="I305" t="n">
        <v>18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2146-2026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46296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46029</v>
      </c>
      <c r="E307" s="1" t="n">
        <v>46296</v>
      </c>
      <c r="F307" t="inlineStr">
        <is>
          <t>VÄSTERBOTTENS LÄN</t>
        </is>
      </c>
      <c r="G307" t="inlineStr">
        <is>
          <t>DOROTEA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46038</v>
      </c>
      <c r="E308" s="1" t="n">
        <v>46296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46296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46296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46042</v>
      </c>
      <c r="E311" s="1" t="n">
        <v>46296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46042</v>
      </c>
      <c r="E312" s="1" t="n">
        <v>46296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11.9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63885-2025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46296</v>
      </c>
      <c r="F313" t="inlineStr">
        <is>
          <t>VÄSTERBOTTENS LÄN</t>
        </is>
      </c>
      <c r="G313" t="inlineStr">
        <is>
          <t>DOROTEA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12773-2026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46091</v>
      </c>
      <c r="E314" s="1" t="n">
        <v>46296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46036</v>
      </c>
      <c r="E315" s="1" t="n">
        <v>46296</v>
      </c>
      <c r="F315" t="inlineStr">
        <is>
          <t>VÄSTERBOTTENS LÄN</t>
        </is>
      </c>
      <c r="G315" t="inlineStr">
        <is>
          <t>DOROTEA</t>
        </is>
      </c>
      <c r="I315" t="n">
        <v>11.8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46051</v>
      </c>
      <c r="E316" s="1" t="n">
        <v>46296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46051</v>
      </c>
      <c r="E317" s="1" t="n">
        <v>46296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46055</v>
      </c>
      <c r="E318" s="1" t="n">
        <v>46296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46054</v>
      </c>
      <c r="E319" s="1" t="n">
        <v>46296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7716-2026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46296</v>
      </c>
      <c r="F320" t="inlineStr">
        <is>
          <t>VÄSTERBOTTENS LÄN</t>
        </is>
      </c>
      <c r="G320" t="inlineStr">
        <is>
          <t>DOROTEA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7713-2026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46059</v>
      </c>
      <c r="E321" s="1" t="n">
        <v>46296</v>
      </c>
      <c r="F321" t="inlineStr">
        <is>
          <t>VÄSTERBOTTENS LÄN</t>
        </is>
      </c>
      <c r="G321" t="inlineStr">
        <is>
          <t>DOROTEA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7963-2026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46063</v>
      </c>
      <c r="E322" s="1" t="n">
        <v>46296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9796-2026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46072</v>
      </c>
      <c r="E323" s="1" t="n">
        <v>46296</v>
      </c>
      <c r="F323" t="inlineStr">
        <is>
          <t>VÄSTERBOTTENS LÄN</t>
        </is>
      </c>
      <c r="G323" t="inlineStr">
        <is>
          <t>DOROTEA</t>
        </is>
      </c>
      <c r="I323" t="n">
        <v>20.1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12082-2026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46086</v>
      </c>
      <c r="E324" s="1" t="n">
        <v>46296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11817-2026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46085</v>
      </c>
      <c r="E325" s="1" t="n">
        <v>46296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35202-2025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45852</v>
      </c>
      <c r="E326" s="1" t="n">
        <v>46296</v>
      </c>
      <c r="F326" t="inlineStr">
        <is>
          <t>VÄSTERBOTTENS LÄN</t>
        </is>
      </c>
      <c r="G326" t="inlineStr">
        <is>
          <t>DOROTEA</t>
        </is>
      </c>
      <c r="H326" t="inlineStr">
        <is>
          <t>Allmännings- och besparingsskogar</t>
        </is>
      </c>
      <c r="I326" t="n">
        <v>22.1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35203-2025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45852</v>
      </c>
      <c r="E327" s="1" t="n">
        <v>46296</v>
      </c>
      <c r="F327" t="inlineStr">
        <is>
          <t>VÄSTERBOTTENS LÄN</t>
        </is>
      </c>
      <c r="G327" t="inlineStr">
        <is>
          <t>DOROTEA</t>
        </is>
      </c>
      <c r="H327" t="inlineStr">
        <is>
          <t>Allmännings- och besparingsskogar</t>
        </is>
      </c>
      <c r="I327" t="n">
        <v>20.3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17133-2025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45755</v>
      </c>
      <c r="E328" s="1" t="n">
        <v>46296</v>
      </c>
      <c r="F328" t="inlineStr">
        <is>
          <t>VÄSTERBOTTENS LÄN</t>
        </is>
      </c>
      <c r="G328" t="inlineStr">
        <is>
          <t>DOROTEA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45796</v>
      </c>
      <c r="E329" s="1" t="n">
        <v>46296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46099</v>
      </c>
      <c r="E330" s="1" t="n">
        <v>46296</v>
      </c>
      <c r="F330" t="inlineStr">
        <is>
          <t>VÄSTERBOTTENS LÄN</t>
        </is>
      </c>
      <c r="G330" t="inlineStr">
        <is>
          <t>DOROTEA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15020-2026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46104</v>
      </c>
      <c r="E331" s="1" t="n">
        <v>46296</v>
      </c>
      <c r="F331" t="inlineStr">
        <is>
          <t>VÄSTERBOTTENS LÄN</t>
        </is>
      </c>
      <c r="G331" t="inlineStr">
        <is>
          <t>DOROTEA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15901-2026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46107</v>
      </c>
      <c r="E332" s="1" t="n">
        <v>46296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16251-2026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46111</v>
      </c>
      <c r="E333" s="1" t="n">
        <v>46296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46111</v>
      </c>
      <c r="E334" s="1" t="n">
        <v>46296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16352-2026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46296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33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16985-2026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46114</v>
      </c>
      <c r="E336" s="1" t="n">
        <v>46296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16896-2026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46113</v>
      </c>
      <c r="E337" s="1" t="n">
        <v>46296</v>
      </c>
      <c r="F337" t="inlineStr">
        <is>
          <t>VÄSTERBOTTENS LÄN</t>
        </is>
      </c>
      <c r="G337" t="inlineStr">
        <is>
          <t>DOROTEA</t>
        </is>
      </c>
      <c r="H337" t="inlineStr">
        <is>
          <t>Kommuner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17537-2026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46120</v>
      </c>
      <c r="E338" s="1" t="n">
        <v>46296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8.6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17623-2026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46296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20.3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18310-2026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46126</v>
      </c>
      <c r="E340" s="1" t="n">
        <v>46296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17971-2026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46123</v>
      </c>
      <c r="E341" s="1" t="n">
        <v>46296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18130-2026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46125</v>
      </c>
      <c r="E342" s="1" t="n">
        <v>46296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18.3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18254-2026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46126</v>
      </c>
      <c r="E343" s="1" t="n">
        <v>46296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18157-2026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46125</v>
      </c>
      <c r="E344" s="1" t="n">
        <v>46296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18143-2026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46125</v>
      </c>
      <c r="E345" s="1" t="n">
        <v>46296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19298-2026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46133</v>
      </c>
      <c r="E346" s="1" t="n">
        <v>46296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19445-2026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46133</v>
      </c>
      <c r="E347" s="1" t="n">
        <v>46296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19446-2026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46133</v>
      </c>
      <c r="E348" s="1" t="n">
        <v>46296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45846</v>
      </c>
      <c r="E349" s="1" t="n">
        <v>46296</v>
      </c>
      <c r="F349" t="inlineStr">
        <is>
          <t>VÄSTERBOTTENS LÄN</t>
        </is>
      </c>
      <c r="G349" t="inlineStr">
        <is>
          <t>DOROTEA</t>
        </is>
      </c>
      <c r="I349" t="n">
        <v>14.7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20316-2026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46136</v>
      </c>
      <c r="E350" s="1" t="n">
        <v>46296</v>
      </c>
      <c r="F350" t="inlineStr">
        <is>
          <t>VÄSTERBOTTENS LÄN</t>
        </is>
      </c>
      <c r="G350" t="inlineStr">
        <is>
          <t>DOROTEA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20333-2026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46136</v>
      </c>
      <c r="E351" s="1" t="n">
        <v>46296</v>
      </c>
      <c r="F351" t="inlineStr">
        <is>
          <t>VÄSTERBOTTENS LÄN</t>
        </is>
      </c>
      <c r="G351" t="inlineStr">
        <is>
          <t>DOROTEA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55889-2022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44888</v>
      </c>
      <c r="E352" s="1" t="n">
        <v>46296</v>
      </c>
      <c r="F352" t="inlineStr">
        <is>
          <t>VÄSTERBOTTENS LÄN</t>
        </is>
      </c>
      <c r="G352" t="inlineStr">
        <is>
          <t>DOROTEA</t>
        </is>
      </c>
      <c r="I352" t="n">
        <v>15.8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7397-2025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45705</v>
      </c>
      <c r="E353" s="1" t="n">
        <v>46296</v>
      </c>
      <c r="F353" t="inlineStr">
        <is>
          <t>VÄSTERBOTTENS LÄN</t>
        </is>
      </c>
      <c r="G353" t="inlineStr">
        <is>
          <t>DOROTEA</t>
        </is>
      </c>
      <c r="I353" t="n">
        <v>13.3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20390-2026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46139</v>
      </c>
      <c r="E354" s="1" t="n">
        <v>46296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8247-2024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45351</v>
      </c>
      <c r="E355" s="1" t="n">
        <v>46296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20332-2026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46136</v>
      </c>
      <c r="E356" s="1" t="n">
        <v>46296</v>
      </c>
      <c r="F356" t="inlineStr">
        <is>
          <t>VÄSTERBOTTENS LÄN</t>
        </is>
      </c>
      <c r="G356" t="inlineStr">
        <is>
          <t>DOROTEA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46136</v>
      </c>
      <c r="E357" s="1" t="n">
        <v>46296</v>
      </c>
      <c r="F357" t="inlineStr">
        <is>
          <t>VÄSTERBOTTENS LÄN</t>
        </is>
      </c>
      <c r="G357" t="inlineStr">
        <is>
          <t>DOROTEA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63294-2025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46010</v>
      </c>
      <c r="E358" s="1" t="n">
        <v>46296</v>
      </c>
      <c r="F358" t="inlineStr">
        <is>
          <t>VÄSTERBOTTENS LÄN</t>
        </is>
      </c>
      <c r="G358" t="inlineStr">
        <is>
          <t>DOROTEA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57170-2025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46296</v>
      </c>
      <c r="F359" t="inlineStr">
        <is>
          <t>VÄSTERBOTTENS LÄN</t>
        </is>
      </c>
      <c r="G359" t="inlineStr">
        <is>
          <t>DOROTEA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59329-2025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46296</v>
      </c>
      <c r="F360" t="inlineStr">
        <is>
          <t>VÄSTERBOTTENS LÄN</t>
        </is>
      </c>
      <c r="G360" t="inlineStr">
        <is>
          <t>DOROTEA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46296</v>
      </c>
      <c r="F361" t="inlineStr">
        <is>
          <t>VÄSTERBOTTENS LÄN</t>
        </is>
      </c>
      <c r="G361" t="inlineStr">
        <is>
          <t>DOROTEA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20321-2026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46136</v>
      </c>
      <c r="E362" s="1" t="n">
        <v>46296</v>
      </c>
      <c r="F362" t="inlineStr">
        <is>
          <t>VÄSTERBOTTENS LÄN</t>
        </is>
      </c>
      <c r="G362" t="inlineStr">
        <is>
          <t>DOROTEA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53092-2024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45611</v>
      </c>
      <c r="E363" s="1" t="n">
        <v>46296</v>
      </c>
      <c r="F363" t="inlineStr">
        <is>
          <t>VÄSTERBOTTENS LÄN</t>
        </is>
      </c>
      <c r="G363" t="inlineStr">
        <is>
          <t>DOROTEA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20286-2026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46136</v>
      </c>
      <c r="E364" s="1" t="n">
        <v>46296</v>
      </c>
      <c r="F364" t="inlineStr">
        <is>
          <t>VÄSTERBOTTENS LÄN</t>
        </is>
      </c>
      <c r="G364" t="inlineStr">
        <is>
          <t>DOROTEA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45295</v>
      </c>
      <c r="E365" s="1" t="n">
        <v>46296</v>
      </c>
      <c r="F365" t="inlineStr">
        <is>
          <t>VÄSTERBOTTENS LÄN</t>
        </is>
      </c>
      <c r="G365" t="inlineStr">
        <is>
          <t>DOROTEA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46141</v>
      </c>
      <c r="E366" s="1" t="n">
        <v>46296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37282-2025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45876</v>
      </c>
      <c r="E367" s="1" t="n">
        <v>46296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20290-2026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46136</v>
      </c>
      <c r="E368" s="1" t="n">
        <v>46296</v>
      </c>
      <c r="F368" t="inlineStr">
        <is>
          <t>VÄSTERBOTTENS LÄN</t>
        </is>
      </c>
      <c r="G368" t="inlineStr">
        <is>
          <t>DOROTEA</t>
        </is>
      </c>
      <c r="I368" t="n">
        <v>17.8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20754-2026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46141</v>
      </c>
      <c r="E369" s="1" t="n">
        <v>46296</v>
      </c>
      <c r="F369" t="inlineStr">
        <is>
          <t>VÄSTERBOTTENS LÄN</t>
        </is>
      </c>
      <c r="G369" t="inlineStr">
        <is>
          <t>DOROTEA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20522-2026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46140</v>
      </c>
      <c r="E370" s="1" t="n">
        <v>46296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20755-2026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46141</v>
      </c>
      <c r="E371" s="1" t="n">
        <v>46296</v>
      </c>
      <c r="F371" t="inlineStr">
        <is>
          <t>VÄSTERBOTTENS LÄN</t>
        </is>
      </c>
      <c r="G371" t="inlineStr">
        <is>
          <t>DOROTEA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53272-2024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46296</v>
      </c>
      <c r="F372" t="inlineStr">
        <is>
          <t>VÄSTERBOTTENS LÄN</t>
        </is>
      </c>
      <c r="G372" t="inlineStr">
        <is>
          <t>DOROTEA</t>
        </is>
      </c>
      <c r="I372" t="n">
        <v>31.7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63575-2025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46013</v>
      </c>
      <c r="E373" s="1" t="n">
        <v>46296</v>
      </c>
      <c r="F373" t="inlineStr">
        <is>
          <t>VÄSTERBOTTENS LÄN</t>
        </is>
      </c>
      <c r="G373" t="inlineStr">
        <is>
          <t>DOROTEA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20231-2026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46136</v>
      </c>
      <c r="E374" s="1" t="n">
        <v>46296</v>
      </c>
      <c r="F374" t="inlineStr">
        <is>
          <t>VÄSTERBOTTENS LÄN</t>
        </is>
      </c>
      <c r="G374" t="inlineStr">
        <is>
          <t>DOROTEA</t>
        </is>
      </c>
      <c r="I374" t="n">
        <v>21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3098-2025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45678</v>
      </c>
      <c r="E375" s="1" t="n">
        <v>46296</v>
      </c>
      <c r="F375" t="inlineStr">
        <is>
          <t>VÄSTERBOTTENS LÄN</t>
        </is>
      </c>
      <c r="G375" t="inlineStr">
        <is>
          <t>DOROTEA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36096-2025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45866</v>
      </c>
      <c r="E376" s="1" t="n">
        <v>46296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21152-2026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46146</v>
      </c>
      <c r="E377" s="1" t="n">
        <v>46296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21338-2026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46147</v>
      </c>
      <c r="E378" s="1" t="n">
        <v>46296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46146</v>
      </c>
      <c r="E379" s="1" t="n">
        <v>46296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21332-2026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46147</v>
      </c>
      <c r="E380" s="1" t="n">
        <v>46296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27777-2026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46189</v>
      </c>
      <c r="E381" s="1" t="n">
        <v>46296</v>
      </c>
      <c r="F381" t="inlineStr">
        <is>
          <t>VÄSTERBOTTENS LÄN</t>
        </is>
      </c>
      <c r="G381" t="inlineStr">
        <is>
          <t>DOROTEA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27780-2026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46189</v>
      </c>
      <c r="E382" s="1" t="n">
        <v>46296</v>
      </c>
      <c r="F382" t="inlineStr">
        <is>
          <t>VÄSTERBOTTENS LÄN</t>
        </is>
      </c>
      <c r="G382" t="inlineStr">
        <is>
          <t>DOROTEA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27762-2026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46189</v>
      </c>
      <c r="E383" s="1" t="n">
        <v>46296</v>
      </c>
      <c r="F383" t="inlineStr">
        <is>
          <t>VÄSTERBOTTENS LÄN</t>
        </is>
      </c>
      <c r="G383" t="inlineStr">
        <is>
          <t>DOROTEA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21749-2026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46149</v>
      </c>
      <c r="E384" s="1" t="n">
        <v>46296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15352-2025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45747</v>
      </c>
      <c r="E385" s="1" t="n">
        <v>46296</v>
      </c>
      <c r="F385" t="inlineStr">
        <is>
          <t>VÄSTERBOTTENS LÄN</t>
        </is>
      </c>
      <c r="G385" t="inlineStr">
        <is>
          <t>DOROTEA</t>
        </is>
      </c>
      <c r="I385" t="n">
        <v>10.3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21902-2026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46150</v>
      </c>
      <c r="E386" s="1" t="n">
        <v>46296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12.8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46296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21812-2026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46150</v>
      </c>
      <c r="E388" s="1" t="n">
        <v>46296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22214-2026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46296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16.4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22650-2026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46155</v>
      </c>
      <c r="E390" s="1" t="n">
        <v>46296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44888</v>
      </c>
      <c r="E391" s="1" t="n">
        <v>46296</v>
      </c>
      <c r="F391" t="inlineStr">
        <is>
          <t>VÄSTERBOTTENS LÄN</t>
        </is>
      </c>
      <c r="G391" t="inlineStr">
        <is>
          <t>DOROTEA</t>
        </is>
      </c>
      <c r="I391" t="n">
        <v>7.6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44960</v>
      </c>
      <c r="E392" s="1" t="n">
        <v>46296</v>
      </c>
      <c r="F392" t="inlineStr">
        <is>
          <t>VÄSTERBOTTENS LÄN</t>
        </is>
      </c>
      <c r="G392" t="inlineStr">
        <is>
          <t>DOROTEA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38096-2025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45882</v>
      </c>
      <c r="E393" s="1" t="n">
        <v>46296</v>
      </c>
      <c r="F393" t="inlineStr">
        <is>
          <t>VÄSTERBOTTENS LÄN</t>
        </is>
      </c>
      <c r="G393" t="inlineStr">
        <is>
          <t>DOROTEA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15735-2026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46107</v>
      </c>
      <c r="E394" s="1" t="n">
        <v>46296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11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38377-2023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45161</v>
      </c>
      <c r="E395" s="1" t="n">
        <v>46296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31497-2024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45505</v>
      </c>
      <c r="E396" s="1" t="n">
        <v>46296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23001-2026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46160</v>
      </c>
      <c r="E397" s="1" t="n">
        <v>46296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30461-2024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45491</v>
      </c>
      <c r="E398" s="1" t="n">
        <v>46296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54031-2025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45962</v>
      </c>
      <c r="E399" s="1" t="n">
        <v>46296</v>
      </c>
      <c r="F399" t="inlineStr">
        <is>
          <t>VÄSTERBOTTENS LÄN</t>
        </is>
      </c>
      <c r="G399" t="inlineStr">
        <is>
          <t>DOROTEA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23214-2026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46162</v>
      </c>
      <c r="E400" s="1" t="n">
        <v>46296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23408-2026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46162</v>
      </c>
      <c r="E401" s="1" t="n">
        <v>46296</v>
      </c>
      <c r="F401" t="inlineStr">
        <is>
          <t>VÄSTERBOTTENS LÄN</t>
        </is>
      </c>
      <c r="G401" t="inlineStr">
        <is>
          <t>DOROTEA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23336-2026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46162</v>
      </c>
      <c r="E402" s="1" t="n">
        <v>46296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23324-2026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46296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50582-2024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45600</v>
      </c>
      <c r="E404" s="1" t="n">
        <v>46296</v>
      </c>
      <c r="F404" t="inlineStr">
        <is>
          <t>VÄSTERBOTTENS LÄN</t>
        </is>
      </c>
      <c r="G404" t="inlineStr">
        <is>
          <t>DOROTEA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9103-2023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44979</v>
      </c>
      <c r="E405" s="1" t="n">
        <v>46296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7.7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24852-2026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46296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24839-2026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46296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46296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14255-2026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46099</v>
      </c>
      <c r="E409" s="1" t="n">
        <v>46296</v>
      </c>
      <c r="F409" t="inlineStr">
        <is>
          <t>VÄSTERBOTTENS LÄN</t>
        </is>
      </c>
      <c r="G409" t="inlineStr">
        <is>
          <t>DOROTEA</t>
        </is>
      </c>
      <c r="I409" t="n">
        <v>26.2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26124-2026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46181</v>
      </c>
      <c r="E410" s="1" t="n">
        <v>46296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46296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26255-2026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46296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26926-2026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46185</v>
      </c>
      <c r="E413" s="1" t="n">
        <v>46296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7.4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27738-2026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46191</v>
      </c>
      <c r="E414" s="1" t="n">
        <v>46296</v>
      </c>
      <c r="F414" t="inlineStr">
        <is>
          <t>VÄSTERBOTTENS LÄN</t>
        </is>
      </c>
      <c r="G414" t="inlineStr">
        <is>
          <t>DOROTEA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28180-2026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46296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28176-2026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46195</v>
      </c>
      <c r="E416" s="1" t="n">
        <v>46296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28360-2026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46196</v>
      </c>
      <c r="E417" s="1" t="n">
        <v>46296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49.5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28782-2026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46198</v>
      </c>
      <c r="E418" s="1" t="n">
        <v>46296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28783-2026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46198</v>
      </c>
      <c r="E419" s="1" t="n">
        <v>46296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28741-2026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46198</v>
      </c>
      <c r="E420" s="1" t="n">
        <v>46296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29757-2026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46204</v>
      </c>
      <c r="E421" s="1" t="n">
        <v>46296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9.300000000000001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31093-2026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46209</v>
      </c>
      <c r="E422" s="1" t="n">
        <v>46296</v>
      </c>
      <c r="F422" t="inlineStr">
        <is>
          <t>VÄSTERBOTTENS LÄN</t>
        </is>
      </c>
      <c r="G422" t="inlineStr">
        <is>
          <t>DOROTEA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30078-2026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46296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30190-2026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46296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7.8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30645-2026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46211</v>
      </c>
      <c r="E425" s="1" t="n">
        <v>46296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30821-2026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46212</v>
      </c>
      <c r="E426" s="1" t="n">
        <v>46296</v>
      </c>
      <c r="F426" t="inlineStr">
        <is>
          <t>VÄSTERBOTTENS LÄN</t>
        </is>
      </c>
      <c r="G426" t="inlineStr">
        <is>
          <t>DOROTEA</t>
        </is>
      </c>
      <c r="I426" t="n">
        <v>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34448-2026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46254</v>
      </c>
      <c r="E427" s="1" t="n">
        <v>46296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46212</v>
      </c>
      <c r="E428" s="1" t="n">
        <v>46296</v>
      </c>
      <c r="F428" t="inlineStr">
        <is>
          <t>VÄSTERBOTTENS LÄN</t>
        </is>
      </c>
      <c r="G428" t="inlineStr">
        <is>
          <t>DOROTEA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30823-2026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46212</v>
      </c>
      <c r="E429" s="1" t="n">
        <v>46296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30740-2026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46211</v>
      </c>
      <c r="E430" s="1" t="n">
        <v>46296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31016-2026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46213</v>
      </c>
      <c r="E431" s="1" t="n">
        <v>46296</v>
      </c>
      <c r="F431" t="inlineStr">
        <is>
          <t>VÄSTERBOTTENS LÄN</t>
        </is>
      </c>
      <c r="G431" t="inlineStr">
        <is>
          <t>DOROTEA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31006-2026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46213</v>
      </c>
      <c r="E432" s="1" t="n">
        <v>46296</v>
      </c>
      <c r="F432" t="inlineStr">
        <is>
          <t>VÄSTERBOTTENS LÄN</t>
        </is>
      </c>
      <c r="G432" t="inlineStr">
        <is>
          <t>DOROTEA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31260-2026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46218</v>
      </c>
      <c r="E433" s="1" t="n">
        <v>46296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46261</v>
      </c>
      <c r="E434" s="1" t="n">
        <v>46296</v>
      </c>
      <c r="F434" t="inlineStr">
        <is>
          <t>VÄSTERBOTTENS LÄN</t>
        </is>
      </c>
      <c r="G434" t="inlineStr">
        <is>
          <t>DOROTEA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31302-2026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46218</v>
      </c>
      <c r="E435" s="1" t="n">
        <v>46296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31181-2026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46217</v>
      </c>
      <c r="E436" s="1" t="n">
        <v>46296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15.6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35352-2026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46261</v>
      </c>
      <c r="E437" s="1" t="n">
        <v>46296</v>
      </c>
      <c r="F437" t="inlineStr">
        <is>
          <t>VÄSTERBOTTENS LÄN</t>
        </is>
      </c>
      <c r="G437" t="inlineStr">
        <is>
          <t>DOROTEA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31179-2026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46217</v>
      </c>
      <c r="E438" s="1" t="n">
        <v>46296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31259-2026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46218</v>
      </c>
      <c r="E439" s="1" t="n">
        <v>46296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35296-2026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46261</v>
      </c>
      <c r="E440" s="1" t="n">
        <v>46296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35335-2026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46261</v>
      </c>
      <c r="E441" s="1" t="n">
        <v>46296</v>
      </c>
      <c r="F441" t="inlineStr">
        <is>
          <t>VÄSTERBOTTENS LÄN</t>
        </is>
      </c>
      <c r="G441" t="inlineStr">
        <is>
          <t>DOROTEA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46261</v>
      </c>
      <c r="E442" s="1" t="n">
        <v>46296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31439-2026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46220</v>
      </c>
      <c r="E443" s="1" t="n">
        <v>46296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35500-2026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46262</v>
      </c>
      <c r="E444" s="1" t="n">
        <v>46296</v>
      </c>
      <c r="F444" t="inlineStr">
        <is>
          <t>VÄSTERBOTTENS LÄN</t>
        </is>
      </c>
      <c r="G444" t="inlineStr">
        <is>
          <t>DOROTEA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46224</v>
      </c>
      <c r="E445" s="1" t="n">
        <v>46296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31573-2026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46224</v>
      </c>
      <c r="E446" s="1" t="n">
        <v>46296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31575-2026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46224</v>
      </c>
      <c r="E447" s="1" t="n">
        <v>46296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46268</v>
      </c>
      <c r="E448" s="1" t="n">
        <v>46296</v>
      </c>
      <c r="F448" t="inlineStr">
        <is>
          <t>VÄSTERBOTTENS LÄN</t>
        </is>
      </c>
      <c r="G448" t="inlineStr">
        <is>
          <t>DOROTEA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37826-2026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46279</v>
      </c>
      <c r="E449" s="1" t="n">
        <v>46296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38087-2026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46281</v>
      </c>
      <c r="E450" s="1" t="n">
        <v>46296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38299-2026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46282</v>
      </c>
      <c r="E451" s="1" t="n">
        <v>46296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39088-2026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46287</v>
      </c>
      <c r="E452" s="1" t="n">
        <v>46296</v>
      </c>
      <c r="F452" t="inlineStr">
        <is>
          <t>VÄSTERBOTTENS LÄN</t>
        </is>
      </c>
      <c r="G452" t="inlineStr">
        <is>
          <t>DOROTEA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35925-2026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46265</v>
      </c>
      <c r="E453" s="1" t="n">
        <v>46296</v>
      </c>
      <c r="F453" t="inlineStr">
        <is>
          <t>VÄSTERBOTTENS LÄN</t>
        </is>
      </c>
      <c r="G453" t="inlineStr">
        <is>
          <t>DOROTEA</t>
        </is>
      </c>
      <c r="H453" t="inlineStr">
        <is>
          <t>Allmännings- och besparingsskogar</t>
        </is>
      </c>
      <c r="I453" t="n">
        <v>16.4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35934-2026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46265</v>
      </c>
      <c r="E454" s="1" t="n">
        <v>46296</v>
      </c>
      <c r="F454" t="inlineStr">
        <is>
          <t>VÄSTERBOTTENS LÄN</t>
        </is>
      </c>
      <c r="G454" t="inlineStr">
        <is>
          <t>DOROTEA</t>
        </is>
      </c>
      <c r="H454" t="inlineStr">
        <is>
          <t>Allmännings- och besparingsskogar</t>
        </is>
      </c>
      <c r="I454" t="n">
        <v>12.6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33514-2026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46248</v>
      </c>
      <c r="E455" s="1" t="n">
        <v>46296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46293</v>
      </c>
      <c r="E456" s="1" t="n">
        <v>46296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33364-2026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46247</v>
      </c>
      <c r="E457" s="1" t="n">
        <v>46296</v>
      </c>
      <c r="F457" t="inlineStr">
        <is>
          <t>VÄSTERBOTTENS LÄN</t>
        </is>
      </c>
      <c r="G457" t="inlineStr">
        <is>
          <t>DOROTEA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34189-2026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46253</v>
      </c>
      <c r="E458" s="1" t="n">
        <v>46296</v>
      </c>
      <c r="F458" t="inlineStr">
        <is>
          <t>VÄSTERBOTTENS LÄN</t>
        </is>
      </c>
      <c r="G458" t="inlineStr">
        <is>
          <t>DOROTEA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33738-2024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45520</v>
      </c>
      <c r="E459" s="1" t="n">
        <v>46296</v>
      </c>
      <c r="F459" t="inlineStr">
        <is>
          <t>VÄSTERBOTTENS LÄN</t>
        </is>
      </c>
      <c r="G459" t="inlineStr">
        <is>
          <t>DOROTEA</t>
        </is>
      </c>
      <c r="I459" t="n">
        <v>11.1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34187-2026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46253</v>
      </c>
      <c r="E460" s="1" t="n">
        <v>46296</v>
      </c>
      <c r="F460" t="inlineStr">
        <is>
          <t>VÄSTERBOTTENS LÄN</t>
        </is>
      </c>
      <c r="G460" t="inlineStr">
        <is>
          <t>DOROTEA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34186-2026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46253</v>
      </c>
      <c r="E461" s="1" t="n">
        <v>46296</v>
      </c>
      <c r="F461" t="inlineStr">
        <is>
          <t>VÄSTERBOTTENS LÄN</t>
        </is>
      </c>
      <c r="G461" t="inlineStr">
        <is>
          <t>DOROTEA</t>
        </is>
      </c>
      <c r="I461" t="n">
        <v>13.6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40614-2026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46295</v>
      </c>
      <c r="E462" s="1" t="n">
        <v>46296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13.2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34149-2026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46296</v>
      </c>
      <c r="F463" t="inlineStr">
        <is>
          <t>VÄSTERBOTTENS LÄN</t>
        </is>
      </c>
      <c r="G463" t="inlineStr">
        <is>
          <t>DOROTEA</t>
        </is>
      </c>
      <c r="I463" t="n">
        <v>11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2945-2024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45506</v>
      </c>
      <c r="E464" s="1" t="n">
        <v>46296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1058-2025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45749</v>
      </c>
      <c r="E465" s="1" t="n">
        <v>46296</v>
      </c>
      <c r="F465" t="inlineStr">
        <is>
          <t>VÄSTERBOTTENS LÄN</t>
        </is>
      </c>
      <c r="G465" t="inlineStr">
        <is>
          <t>DOROTEA</t>
        </is>
      </c>
      <c r="I465" t="n">
        <v>10.9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844-2025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45733</v>
      </c>
      <c r="E466" s="1" t="n">
        <v>46296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1293.5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2195-2025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45858</v>
      </c>
      <c r="E467" s="1" t="n">
        <v>46296</v>
      </c>
      <c r="F467" t="inlineStr">
        <is>
          <t>VÄSTERBOTTENS LÄN</t>
        </is>
      </c>
      <c r="G467" t="inlineStr">
        <is>
          <t>DOROTEA</t>
        </is>
      </c>
      <c r="I467" t="n">
        <v>27.4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2283-2025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45876</v>
      </c>
      <c r="E468" s="1" t="n">
        <v>46296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2360-2025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45889</v>
      </c>
      <c r="E469" s="1" t="n">
        <v>46296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2407-2026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46279</v>
      </c>
      <c r="E470" s="1" t="n">
        <v>46296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1763-2026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46189</v>
      </c>
      <c r="E471" s="1" t="n">
        <v>46296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2026-10-01T02:04:22Z</dcterms:created>
  <dcterms:modified xmlns:dcterms="http://purl.org/dc/terms/" xmlns:xsi="http://www.w3.org/2001/XMLSchema-instance" xsi:type="dcterms:W3CDTF">2026-10-01T02:04:22Z</dcterms:modified>
</cp:coreProperties>
</file>