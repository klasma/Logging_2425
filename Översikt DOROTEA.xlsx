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46268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46268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46268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46268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46268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46268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46268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46268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46268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46268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46268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46268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46268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46268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46268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46268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46268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46268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46268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46268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46268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46268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46268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46268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46268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58736-2022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44902</v>
      </c>
      <c r="E27" s="1" t="n">
        <v>46268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3.4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58736-2022 artfynd.xlsx", "A 58736-2022")</f>
        <v/>
      </c>
      <c r="X27">
        <f>HYPERLINK("https://klasma.github.io/Logging_2425/kartor/A 58736-2022 karta.png", "A 58736-2022")</f>
        <v/>
      </c>
      <c r="Y27">
        <f>HYPERLINK("https://klasma.github.io/Logging_2425/kartor_geotiff/A 58736-2022 georefererad karta.tif", "A 58736-2022")</f>
        <v/>
      </c>
      <c r="AA27">
        <f>HYPERLINK("https://klasma.github.io/Logging_2425/klagomål/A 58736-2022 FSC-klagomål.docx", "A 58736-2022")</f>
        <v/>
      </c>
      <c r="AB27">
        <f>HYPERLINK("https://klasma.github.io/Logging_2425/klagomålsmail/A 58736-2022 FSC-klagomål mail.docx", "A 58736-2022")</f>
        <v/>
      </c>
      <c r="AC27">
        <f>HYPERLINK("https://klasma.github.io/Logging_2425/tillsyn/A 58736-2022 tillsynsbegäran.docx", "A 58736-2022")</f>
        <v/>
      </c>
      <c r="AD27">
        <f>HYPERLINK("https://klasma.github.io/Logging_2425/tillsynsmail/A 58736-2022 tillsynsbegäran mail.docx", "A 58736-2022")</f>
        <v/>
      </c>
    </row>
    <row r="28" ht="15" customHeight="1">
      <c r="A28" t="inlineStr">
        <is>
          <t>A 33263-2025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46268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Vedticka</t>
        </is>
      </c>
      <c r="W28">
        <f>HYPERLINK("https://klasma.github.io/Logging_2425/artfynd/A 33263-2025 artfynd.xlsx", "A 33263-2025")</f>
        <v/>
      </c>
      <c r="X28">
        <f>HYPERLINK("https://klasma.github.io/Logging_2425/kartor/A 33263-2025 karta.png", "A 33263-2025")</f>
        <v/>
      </c>
      <c r="Y28">
        <f>HYPERLINK("https://klasma.github.io/Logging_2425/kartor_geotiff/A 33263-2025 georefererad karta.tif", "A 33263-2025")</f>
        <v/>
      </c>
      <c r="AA28">
        <f>HYPERLINK("https://klasma.github.io/Logging_2425/klagomål/A 33263-2025 FSC-klagomål.docx", "A 33263-2025")</f>
        <v/>
      </c>
      <c r="AB28">
        <f>HYPERLINK("https://klasma.github.io/Logging_2425/klagomålsmail/A 33263-2025 FSC-klagomål mail.docx", "A 33263-2025")</f>
        <v/>
      </c>
      <c r="AC28">
        <f>HYPERLINK("https://klasma.github.io/Logging_2425/tillsyn/A 33263-2025 tillsynsbegäran.docx", "A 33263-2025")</f>
        <v/>
      </c>
      <c r="AD28">
        <f>HYPERLINK("https://klasma.github.io/Logging_2425/tillsynsmail/A 33263-2025 tillsynsbegäran mail.docx", "A 33263-2025")</f>
        <v/>
      </c>
    </row>
    <row r="29" ht="15" customHeight="1">
      <c r="A29" t="inlineStr">
        <is>
          <t>A 27234-2024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45471</v>
      </c>
      <c r="E29" s="1" t="n">
        <v>46268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2.2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Rynkskinn
Skrovellav</t>
        </is>
      </c>
      <c r="W29">
        <f>HYPERLINK("https://klasma.github.io/Logging_2425/artfynd/A 27234-2024 artfynd.xlsx", "A 27234-2024")</f>
        <v/>
      </c>
      <c r="X29">
        <f>HYPERLINK("https://klasma.github.io/Logging_2425/kartor/A 27234-2024 karta.png", "A 27234-2024")</f>
        <v/>
      </c>
      <c r="Y29">
        <f>HYPERLINK("https://klasma.github.io/Logging_2425/kartor_geotiff/A 27234-2024 georefererad karta.tif", "A 27234-2024")</f>
        <v/>
      </c>
      <c r="AA29">
        <f>HYPERLINK("https://klasma.github.io/Logging_2425/klagomål/A 27234-2024 FSC-klagomål.docx", "A 27234-2024")</f>
        <v/>
      </c>
      <c r="AB29">
        <f>HYPERLINK("https://klasma.github.io/Logging_2425/klagomålsmail/A 27234-2024 FSC-klagomål mail.docx", "A 27234-2024")</f>
        <v/>
      </c>
      <c r="AC29">
        <f>HYPERLINK("https://klasma.github.io/Logging_2425/tillsyn/A 27234-2024 tillsynsbegäran.docx", "A 27234-2024")</f>
        <v/>
      </c>
      <c r="AD29">
        <f>HYPERLINK("https://klasma.github.io/Logging_2425/tillsynsmail/A 27234-2024 tillsynsbegäran mail.docx", "A 27234-2024")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46268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46268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40013-2024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45553</v>
      </c>
      <c r="E32" s="1" t="n">
        <v>46268</v>
      </c>
      <c r="F32" t="inlineStr">
        <is>
          <t>VÄSTERBOTTENS LÄN</t>
        </is>
      </c>
      <c r="G32" t="inlineStr">
        <is>
          <t>DOROTEA</t>
        </is>
      </c>
      <c r="H32" t="inlineStr">
        <is>
          <t>Övriga statliga verk och myndigheter</t>
        </is>
      </c>
      <c r="I32" t="n">
        <v>1.5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Tretåig hackspett
Tjäder</t>
        </is>
      </c>
      <c r="W32">
        <f>HYPERLINK("https://klasma.github.io/Logging_2425/artfynd/A 40013-2024 artfynd.xlsx", "A 40013-2024")</f>
        <v/>
      </c>
      <c r="X32">
        <f>HYPERLINK("https://klasma.github.io/Logging_2425/kartor/A 40013-2024 karta.png", "A 40013-2024")</f>
        <v/>
      </c>
      <c r="Y32">
        <f>HYPERLINK("https://klasma.github.io/Logging_2425/kartor_geotiff/A 40013-2024 georefererad karta.tif", "A 40013-2024")</f>
        <v/>
      </c>
      <c r="AA32">
        <f>HYPERLINK("https://klasma.github.io/Logging_2425/klagomål/A 40013-2024 FSC-klagomål.docx", "A 40013-2024")</f>
        <v/>
      </c>
      <c r="AB32">
        <f>HYPERLINK("https://klasma.github.io/Logging_2425/klagomålsmail/A 40013-2024 FSC-klagomål mail.docx", "A 40013-2024")</f>
        <v/>
      </c>
      <c r="AC32">
        <f>HYPERLINK("https://klasma.github.io/Logging_2425/tillsyn/A 40013-2024 tillsynsbegäran.docx", "A 40013-2024")</f>
        <v/>
      </c>
      <c r="AD32">
        <f>HYPERLINK("https://klasma.github.io/Logging_2425/tillsynsmail/A 40013-2024 tillsynsbegäran mail.docx", "A 40013-2024")</f>
        <v/>
      </c>
      <c r="AE32">
        <f>HYPERLINK("https://klasma.github.io/Logging_2425/fåglar/A 40013-2024 prioriterade fågelarter.docx", "A 40013-2024")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46268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46268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46268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46268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53309-2022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44878</v>
      </c>
      <c r="E37" s="1" t="n">
        <v>46268</v>
      </c>
      <c r="F37" t="inlineStr">
        <is>
          <t>VÄSTERBOTTENS LÄN</t>
        </is>
      </c>
      <c r="G37" t="inlineStr">
        <is>
          <t>DOROTEA</t>
        </is>
      </c>
      <c r="I37" t="n">
        <v>6.6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HYPERLINK("https://klasma.github.io/Logging_2425/artfynd/A 53309-2022 artfynd.xlsx", "A 53309-2022")</f>
        <v/>
      </c>
      <c r="X37">
        <f>HYPERLINK("https://klasma.github.io/Logging_2425/kartor/A 53309-2022 karta.png", "A 53309-2022")</f>
        <v/>
      </c>
      <c r="Y37">
        <f>HYPERLINK("https://klasma.github.io/Logging_2425/kartor_geotiff/A 53309-2022 georefererad karta.tif", "A 53309-2022")</f>
        <v/>
      </c>
      <c r="AA37">
        <f>HYPERLINK("https://klasma.github.io/Logging_2425/klagomål/A 53309-2022 FSC-klagomål.docx", "A 53309-2022")</f>
        <v/>
      </c>
      <c r="AB37">
        <f>HYPERLINK("https://klasma.github.io/Logging_2425/klagomålsmail/A 53309-2022 FSC-klagomål mail.docx", "A 53309-2022")</f>
        <v/>
      </c>
      <c r="AC37">
        <f>HYPERLINK("https://klasma.github.io/Logging_2425/tillsyn/A 53309-2022 tillsynsbegäran.docx", "A 53309-2022")</f>
        <v/>
      </c>
      <c r="AD37">
        <f>HYPERLINK("https://klasma.github.io/Logging_2425/tillsynsmail/A 53309-2022 tillsynsbegäran mail.docx", "A 53309-2022")</f>
        <v/>
      </c>
      <c r="AE37">
        <f>HYPERLINK("https://klasma.github.io/Logging_2425/fåglar/A 53309-2022 prioriterade fågelarter.docx", "A 53309-2022")</f>
        <v/>
      </c>
    </row>
    <row r="38" ht="15" customHeight="1">
      <c r="A38" t="inlineStr">
        <is>
          <t>A 26440-2025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46268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HYPERLINK("https://klasma.github.io/Logging_2425/artfynd/A 26440-2025 artfynd.xlsx", "A 26440-2025")</f>
        <v/>
      </c>
      <c r="X38">
        <f>HYPERLINK("https://klasma.github.io/Logging_2425/kartor/A 26440-2025 karta.png", "A 26440-2025")</f>
        <v/>
      </c>
      <c r="Y38">
        <f>HYPERLINK("https://klasma.github.io/Logging_2425/kartor_geotiff/A 26440-2025 georefererad karta.tif", "A 26440-2025")</f>
        <v/>
      </c>
      <c r="AA38">
        <f>HYPERLINK("https://klasma.github.io/Logging_2425/klagomål/A 26440-2025 FSC-klagomål.docx", "A 26440-2025")</f>
        <v/>
      </c>
      <c r="AB38">
        <f>HYPERLINK("https://klasma.github.io/Logging_2425/klagomålsmail/A 26440-2025 FSC-klagomål mail.docx", "A 26440-2025")</f>
        <v/>
      </c>
      <c r="AC38">
        <f>HYPERLINK("https://klasma.github.io/Logging_2425/tillsyn/A 26440-2025 tillsynsbegäran.docx", "A 26440-2025")</f>
        <v/>
      </c>
      <c r="AD38">
        <f>HYPERLINK("https://klasma.github.io/Logging_2425/tillsynsmail/A 26440-2025 tillsynsbegäran mail.docx", "A 26440-2025")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46268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46268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48089-2022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44855</v>
      </c>
      <c r="E41" s="1" t="n">
        <v>46268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9.199999999999999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Gammelgransskål</t>
        </is>
      </c>
      <c r="W41">
        <f>HYPERLINK("https://klasma.github.io/Logging_2425/artfynd/A 48089-2022 artfynd.xlsx", "A 48089-2022")</f>
        <v/>
      </c>
      <c r="X41">
        <f>HYPERLINK("https://klasma.github.io/Logging_2425/kartor/A 48089-2022 karta.png", "A 48089-2022")</f>
        <v/>
      </c>
      <c r="Y41">
        <f>HYPERLINK("https://klasma.github.io/Logging_2425/kartor_geotiff/A 48089-2022 georefererad karta.tif", "A 48089-2022")</f>
        <v/>
      </c>
      <c r="AA41">
        <f>HYPERLINK("https://klasma.github.io/Logging_2425/klagomål/A 48089-2022 FSC-klagomål.docx", "A 48089-2022")</f>
        <v/>
      </c>
      <c r="AB41">
        <f>HYPERLINK("https://klasma.github.io/Logging_2425/klagomålsmail/A 48089-2022 FSC-klagomål mail.docx", "A 48089-2022")</f>
        <v/>
      </c>
      <c r="AC41">
        <f>HYPERLINK("https://klasma.github.io/Logging_2425/tillsyn/A 48089-2022 tillsynsbegäran.docx", "A 48089-2022")</f>
        <v/>
      </c>
      <c r="AD41">
        <f>HYPERLINK("https://klasma.github.io/Logging_2425/tillsynsmail/A 48089-2022 tillsynsbegäran mail.docx", "A 48089-2022")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46268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46268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46268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1278-2024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45302</v>
      </c>
      <c r="E45" s="1" t="n">
        <v>46268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1.3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Gräddticka</t>
        </is>
      </c>
      <c r="W45">
        <f>HYPERLINK("https://klasma.github.io/Logging_2425/artfynd/A 1278-2024 artfynd.xlsx", "A 1278-2024")</f>
        <v/>
      </c>
      <c r="X45">
        <f>HYPERLINK("https://klasma.github.io/Logging_2425/kartor/A 1278-2024 karta.png", "A 1278-2024")</f>
        <v/>
      </c>
      <c r="Y45">
        <f>HYPERLINK("https://klasma.github.io/Logging_2425/kartor_geotiff/A 1278-2024 georefererad karta.tif", "A 1278-2024")</f>
        <v/>
      </c>
      <c r="AA45">
        <f>HYPERLINK("https://klasma.github.io/Logging_2425/klagomål/A 1278-2024 FSC-klagomål.docx", "A 1278-2024")</f>
        <v/>
      </c>
      <c r="AB45">
        <f>HYPERLINK("https://klasma.github.io/Logging_2425/klagomålsmail/A 1278-2024 FSC-klagomål mail.docx", "A 1278-2024")</f>
        <v/>
      </c>
      <c r="AC45">
        <f>HYPERLINK("https://klasma.github.io/Logging_2425/tillsyn/A 1278-2024 tillsynsbegäran.docx", "A 1278-2024")</f>
        <v/>
      </c>
      <c r="AD45">
        <f>HYPERLINK("https://klasma.github.io/Logging_2425/tillsynsmail/A 1278-2024 tillsynsbegäran mail.docx", "A 1278-2024")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46268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21926-2026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46268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HYPERLINK("https://klasma.github.io/Logging_2425/artfynd/A 21926-2026 artfynd.xlsx", "A 21926-2026")</f>
        <v/>
      </c>
      <c r="X47">
        <f>HYPERLINK("https://klasma.github.io/Logging_2425/kartor/A 21926-2026 karta.png", "A 21926-2026")</f>
        <v/>
      </c>
      <c r="Y47">
        <f>HYPERLINK("https://klasma.github.io/Logging_2425/kartor_geotiff/A 21926-2026 georefererad karta.tif", "A 21926-2026")</f>
        <v/>
      </c>
      <c r="AA47">
        <f>HYPERLINK("https://klasma.github.io/Logging_2425/klagomål/A 21926-2026 FSC-klagomål.docx", "A 21926-2026")</f>
        <v/>
      </c>
      <c r="AB47">
        <f>HYPERLINK("https://klasma.github.io/Logging_2425/klagomålsmail/A 21926-2026 FSC-klagomål mail.docx", "A 21926-2026")</f>
        <v/>
      </c>
      <c r="AC47">
        <f>HYPERLINK("https://klasma.github.io/Logging_2425/tillsyn/A 21926-2026 tillsynsbegäran.docx", "A 21926-2026")</f>
        <v/>
      </c>
      <c r="AD47">
        <f>HYPERLINK("https://klasma.github.io/Logging_2425/tillsynsmail/A 21926-2026 tillsynsbegäran mail.docx", "A 21926-2026")</f>
        <v/>
      </c>
    </row>
    <row r="48" ht="15" customHeight="1">
      <c r="A48" t="inlineStr">
        <is>
          <t>A 57060-2024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46268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8.9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57060-2024 artfynd.xlsx", "A 57060-2024")</f>
        <v/>
      </c>
      <c r="X48">
        <f>HYPERLINK("https://klasma.github.io/Logging_2425/kartor/A 57060-2024 karta.png", "A 57060-2024")</f>
        <v/>
      </c>
      <c r="Y48">
        <f>HYPERLINK("https://klasma.github.io/Logging_2425/kartor_geotiff/A 57060-2024 georefererad karta.tif", "A 57060-2024")</f>
        <v/>
      </c>
      <c r="AA48">
        <f>HYPERLINK("https://klasma.github.io/Logging_2425/klagomål/A 57060-2024 FSC-klagomål.docx", "A 57060-2024")</f>
        <v/>
      </c>
      <c r="AB48">
        <f>HYPERLINK("https://klasma.github.io/Logging_2425/klagomålsmail/A 57060-2024 FSC-klagomål mail.docx", "A 57060-2024")</f>
        <v/>
      </c>
      <c r="AC48">
        <f>HYPERLINK("https://klasma.github.io/Logging_2425/tillsyn/A 57060-2024 tillsynsbegäran.docx", "A 57060-2024")</f>
        <v/>
      </c>
      <c r="AD48">
        <f>HYPERLINK("https://klasma.github.io/Logging_2425/tillsynsmail/A 57060-2024 tillsynsbegäran mail.docx", "A 57060-2024")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46268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20600-2023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45057</v>
      </c>
      <c r="E50" s="1" t="n">
        <v>46268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HYPERLINK("https://klasma.github.io/Logging_2425/artfynd/A 20600-2023 artfynd.xlsx", "A 20600-2023")</f>
        <v/>
      </c>
      <c r="X50">
        <f>HYPERLINK("https://klasma.github.io/Logging_2425/kartor/A 20600-2023 karta.png", "A 20600-2023")</f>
        <v/>
      </c>
      <c r="Y50">
        <f>HYPERLINK("https://klasma.github.io/Logging_2425/kartor_geotiff/A 20600-2023 georefererad karta.tif", "A 20600-2023")</f>
        <v/>
      </c>
      <c r="AA50">
        <f>HYPERLINK("https://klasma.github.io/Logging_2425/klagomål/A 20600-2023 FSC-klagomål.docx", "A 20600-2023")</f>
        <v/>
      </c>
      <c r="AB50">
        <f>HYPERLINK("https://klasma.github.io/Logging_2425/klagomålsmail/A 20600-2023 FSC-klagomål mail.docx", "A 20600-2023")</f>
        <v/>
      </c>
      <c r="AC50">
        <f>HYPERLINK("https://klasma.github.io/Logging_2425/tillsyn/A 20600-2023 tillsynsbegäran.docx", "A 20600-2023")</f>
        <v/>
      </c>
      <c r="AD50">
        <f>HYPERLINK("https://klasma.github.io/Logging_2425/tillsynsmail/A 20600-2023 tillsynsbegäran mail.docx", "A 20600-2023")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46268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57058-2024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45629</v>
      </c>
      <c r="E52" s="1" t="n">
        <v>46268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HYPERLINK("https://klasma.github.io/Logging_2425/artfynd/A 57058-2024 artfynd.xlsx", "A 57058-2024")</f>
        <v/>
      </c>
      <c r="X52">
        <f>HYPERLINK("https://klasma.github.io/Logging_2425/kartor/A 57058-2024 karta.png", "A 57058-2024")</f>
        <v/>
      </c>
      <c r="Y52">
        <f>HYPERLINK("https://klasma.github.io/Logging_2425/kartor_geotiff/A 57058-2024 georefererad karta.tif", "A 57058-2024")</f>
        <v/>
      </c>
      <c r="AA52">
        <f>HYPERLINK("https://klasma.github.io/Logging_2425/klagomål/A 57058-2024 FSC-klagomål.docx", "A 57058-2024")</f>
        <v/>
      </c>
      <c r="AB52">
        <f>HYPERLINK("https://klasma.github.io/Logging_2425/klagomålsmail/A 57058-2024 FSC-klagomål mail.docx", "A 57058-2024")</f>
        <v/>
      </c>
      <c r="AC52">
        <f>HYPERLINK("https://klasma.github.io/Logging_2425/tillsyn/A 57058-2024 tillsynsbegäran.docx", "A 57058-2024")</f>
        <v/>
      </c>
      <c r="AD52">
        <f>HYPERLINK("https://klasma.github.io/Logging_2425/tillsynsmail/A 57058-2024 tillsynsbegäran mail.docx", "A 57058-2024")</f>
        <v/>
      </c>
    </row>
    <row r="53" ht="15" customHeight="1">
      <c r="A53" t="inlineStr">
        <is>
          <t>A 30357-2026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46209</v>
      </c>
      <c r="E53" s="1" t="n">
        <v>46268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Tajgahumla</t>
        </is>
      </c>
      <c r="W53">
        <f>HYPERLINK("https://klasma.github.io/Logging_2425/artfynd/A 30357-2026 artfynd.xlsx", "A 30357-2026")</f>
        <v/>
      </c>
      <c r="X53">
        <f>HYPERLINK("https://klasma.github.io/Logging_2425/kartor/A 30357-2026 karta.png", "A 30357-2026")</f>
        <v/>
      </c>
      <c r="Y53">
        <f>HYPERLINK("https://klasma.github.io/Logging_2425/kartor_geotiff/A 30357-2026 georefererad karta.tif", "A 30357-2026")</f>
        <v/>
      </c>
      <c r="AA53">
        <f>HYPERLINK("https://klasma.github.io/Logging_2425/klagomål/A 30357-2026 FSC-klagomål.docx", "A 30357-2026")</f>
        <v/>
      </c>
      <c r="AB53">
        <f>HYPERLINK("https://klasma.github.io/Logging_2425/klagomålsmail/A 30357-2026 FSC-klagomål mail.docx", "A 30357-2026")</f>
        <v/>
      </c>
      <c r="AC53">
        <f>HYPERLINK("https://klasma.github.io/Logging_2425/tillsyn/A 30357-2026 tillsynsbegäran.docx", "A 30357-2026")</f>
        <v/>
      </c>
      <c r="AD53">
        <f>HYPERLINK("https://klasma.github.io/Logging_2425/tillsynsmail/A 30357-2026 tillsynsbegäran mail.docx", "A 30357-2026")</f>
        <v/>
      </c>
    </row>
    <row r="54" ht="15" customHeight="1">
      <c r="A54" t="inlineStr">
        <is>
          <t>A 35297-2026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46261</v>
      </c>
      <c r="E54" s="1" t="n">
        <v>46268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35297-2026 artfynd.xlsx", "A 35297-2026")</f>
        <v/>
      </c>
      <c r="X54">
        <f>HYPERLINK("https://klasma.github.io/Logging_2425/kartor/A 35297-2026 karta.png", "A 35297-2026")</f>
        <v/>
      </c>
      <c r="Y54">
        <f>HYPERLINK("https://klasma.github.io/Logging_2425/kartor_geotiff/A 35297-2026 georefererad karta.tif", "A 35297-2026")</f>
        <v/>
      </c>
      <c r="AA54">
        <f>HYPERLINK("https://klasma.github.io/Logging_2425/klagomål/A 35297-2026 FSC-klagomål.docx", "A 35297-2026")</f>
        <v/>
      </c>
      <c r="AB54">
        <f>HYPERLINK("https://klasma.github.io/Logging_2425/klagomålsmail/A 35297-2026 FSC-klagomål mail.docx", "A 35297-2026")</f>
        <v/>
      </c>
      <c r="AC54">
        <f>HYPERLINK("https://klasma.github.io/Logging_2425/tillsyn/A 35297-2026 tillsynsbegäran.docx", "A 35297-2026")</f>
        <v/>
      </c>
      <c r="AD54">
        <f>HYPERLINK("https://klasma.github.io/Logging_2425/tillsynsmail/A 35297-2026 tillsynsbegäran mail.docx", "A 35297-2026")</f>
        <v/>
      </c>
    </row>
    <row r="55" ht="15" customHeight="1">
      <c r="A55" t="inlineStr">
        <is>
          <t>A 46815-2023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45198</v>
      </c>
      <c r="E55" s="1" t="n">
        <v>46268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3.7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46815-2023 artfynd.xlsx", "A 46815-2023")</f>
        <v/>
      </c>
      <c r="X55">
        <f>HYPERLINK("https://klasma.github.io/Logging_2425/kartor/A 46815-2023 karta.png", "A 46815-2023")</f>
        <v/>
      </c>
      <c r="Y55">
        <f>HYPERLINK("https://klasma.github.io/Logging_2425/kartor_geotiff/A 46815-2023 georefererad karta.tif", "A 46815-2023")</f>
        <v/>
      </c>
      <c r="AA55">
        <f>HYPERLINK("https://klasma.github.io/Logging_2425/klagomål/A 46815-2023 FSC-klagomål.docx", "A 46815-2023")</f>
        <v/>
      </c>
      <c r="AB55">
        <f>HYPERLINK("https://klasma.github.io/Logging_2425/klagomålsmail/A 46815-2023 FSC-klagomål mail.docx", "A 46815-2023")</f>
        <v/>
      </c>
      <c r="AC55">
        <f>HYPERLINK("https://klasma.github.io/Logging_2425/tillsyn/A 46815-2023 tillsynsbegäran.docx", "A 46815-2023")</f>
        <v/>
      </c>
      <c r="AD55">
        <f>HYPERLINK("https://klasma.github.io/Logging_2425/tillsynsmail/A 46815-2023 tillsynsbegäran mail.docx", "A 46815-2023")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46268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46268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46268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46268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46268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46268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46268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46268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46268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46268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46268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46268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46268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46268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44974</v>
      </c>
      <c r="E70" s="1" t="n">
        <v>46268</v>
      </c>
      <c r="F70" t="inlineStr">
        <is>
          <t>VÄSTERBOTTENS LÄN</t>
        </is>
      </c>
      <c r="G70" t="inlineStr">
        <is>
          <t>DOROTEA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41104-2023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45170</v>
      </c>
      <c r="E71" s="1" t="n">
        <v>46268</v>
      </c>
      <c r="F71" t="inlineStr">
        <is>
          <t>VÄSTERBOTTENS LÄN</t>
        </is>
      </c>
      <c r="G71" t="inlineStr">
        <is>
          <t>DOROTEA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55549-2024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46268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45556</v>
      </c>
      <c r="E73" s="1" t="n">
        <v>46268</v>
      </c>
      <c r="F73" t="inlineStr">
        <is>
          <t>VÄSTERBOTTENS LÄN</t>
        </is>
      </c>
      <c r="G73" t="inlineStr">
        <is>
          <t>DOROTEA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45330</v>
      </c>
      <c r="E74" s="1" t="n">
        <v>46268</v>
      </c>
      <c r="F74" t="inlineStr">
        <is>
          <t>VÄSTERBOTTENS LÄN</t>
        </is>
      </c>
      <c r="G74" t="inlineStr">
        <is>
          <t>DOROTEA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45721</v>
      </c>
      <c r="E75" s="1" t="n">
        <v>46268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60015-2023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45257</v>
      </c>
      <c r="E76" s="1" t="n">
        <v>46268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53795-2022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44876</v>
      </c>
      <c r="E77" s="1" t="n">
        <v>46268</v>
      </c>
      <c r="F77" t="inlineStr">
        <is>
          <t>VÄSTERBOTTENS LÄN</t>
        </is>
      </c>
      <c r="G77" t="inlineStr">
        <is>
          <t>DOROTEA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17658-2023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45036</v>
      </c>
      <c r="E78" s="1" t="n">
        <v>46268</v>
      </c>
      <c r="F78" t="inlineStr">
        <is>
          <t>VÄSTERBOTTENS LÄN</t>
        </is>
      </c>
      <c r="G78" t="inlineStr">
        <is>
          <t>DOROTEA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27477-2023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45097</v>
      </c>
      <c r="E79" s="1" t="n">
        <v>46268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30373-2024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45491</v>
      </c>
      <c r="E80" s="1" t="n">
        <v>46268</v>
      </c>
      <c r="F80" t="inlineStr">
        <is>
          <t>VÄSTERBOTTENS LÄN</t>
        </is>
      </c>
      <c r="G80" t="inlineStr">
        <is>
          <t>DOROTEA</t>
        </is>
      </c>
      <c r="H80" t="inlineStr">
        <is>
          <t>Sveaskog</t>
        </is>
      </c>
      <c r="I80" t="n">
        <v>13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46268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45125</v>
      </c>
      <c r="E82" s="1" t="n">
        <v>46268</v>
      </c>
      <c r="F82" t="inlineStr">
        <is>
          <t>VÄSTERBOTTENS LÄN</t>
        </is>
      </c>
      <c r="G82" t="inlineStr">
        <is>
          <t>DOROTEA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34107-2023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45125</v>
      </c>
      <c r="E83" s="1" t="n">
        <v>46268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46268</v>
      </c>
      <c r="F84" t="inlineStr">
        <is>
          <t>VÄSTERBOTTENS LÄN</t>
        </is>
      </c>
      <c r="G84" t="inlineStr">
        <is>
          <t>DOROTEA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9172-2025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45714</v>
      </c>
      <c r="E85" s="1" t="n">
        <v>46268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45520</v>
      </c>
      <c r="E86" s="1" t="n">
        <v>46268</v>
      </c>
      <c r="F86" t="inlineStr">
        <is>
          <t>VÄSTERBOTTENS LÄN</t>
        </is>
      </c>
      <c r="G86" t="inlineStr">
        <is>
          <t>DOROTEA</t>
        </is>
      </c>
      <c r="I86" t="n">
        <v>11.1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45140</v>
      </c>
      <c r="E87" s="1" t="n">
        <v>46268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25606-2025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45803</v>
      </c>
      <c r="E88" s="1" t="n">
        <v>46268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25356-2025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45800</v>
      </c>
      <c r="E89" s="1" t="n">
        <v>46268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26315-2025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46268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26481-2025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45807</v>
      </c>
      <c r="E91" s="1" t="n">
        <v>46268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46268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46030</v>
      </c>
      <c r="E93" s="1" t="n">
        <v>46268</v>
      </c>
      <c r="F93" t="inlineStr">
        <is>
          <t>VÄSTERBOTTENS LÄN</t>
        </is>
      </c>
      <c r="G93" t="inlineStr">
        <is>
          <t>DOROTEA</t>
        </is>
      </c>
      <c r="I93" t="n">
        <v>18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46268</v>
      </c>
      <c r="F94" t="inlineStr">
        <is>
          <t>VÄSTERBOTTENS LÄN</t>
        </is>
      </c>
      <c r="G94" t="inlineStr">
        <is>
          <t>DOROTEA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14759-2025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45742</v>
      </c>
      <c r="E95" s="1" t="n">
        <v>46268</v>
      </c>
      <c r="F95" t="inlineStr">
        <is>
          <t>VÄSTERBOTTENS LÄN</t>
        </is>
      </c>
      <c r="G95" t="inlineStr">
        <is>
          <t>DOROTEA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26904-2025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46268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46268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46268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38700-2024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45547</v>
      </c>
      <c r="E99" s="1" t="n">
        <v>46268</v>
      </c>
      <c r="F99" t="inlineStr">
        <is>
          <t>VÄSTERBOTTENS LÄN</t>
        </is>
      </c>
      <c r="G99" t="inlineStr">
        <is>
          <t>DOROTEA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46268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13364-2025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45735</v>
      </c>
      <c r="E101" s="1" t="n">
        <v>46268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29258-2025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46268</v>
      </c>
      <c r="F102" t="inlineStr">
        <is>
          <t>VÄSTERBOTTENS LÄN</t>
        </is>
      </c>
      <c r="G102" t="inlineStr">
        <is>
          <t>DOROTEA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45893</v>
      </c>
      <c r="E103" s="1" t="n">
        <v>46268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46268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Sveaskog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25028-2024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45461</v>
      </c>
      <c r="E105" s="1" t="n">
        <v>46268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17787-2023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45036</v>
      </c>
      <c r="E106" s="1" t="n">
        <v>46268</v>
      </c>
      <c r="F106" t="inlineStr">
        <is>
          <t>VÄSTERBOTTENS LÄN</t>
        </is>
      </c>
      <c r="G106" t="inlineStr">
        <is>
          <t>DOROTEA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46268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45351</v>
      </c>
      <c r="E108" s="1" t="n">
        <v>46268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46268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45833</v>
      </c>
      <c r="E110" s="1" t="n">
        <v>46268</v>
      </c>
      <c r="F110" t="inlineStr">
        <is>
          <t>VÄSTERBOTTENS LÄN</t>
        </is>
      </c>
      <c r="G110" t="inlineStr">
        <is>
          <t>DOROTEA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31510-2025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46268</v>
      </c>
      <c r="F111" t="inlineStr">
        <is>
          <t>VÄSTERBOTTENS LÄN</t>
        </is>
      </c>
      <c r="G111" t="inlineStr">
        <is>
          <t>DOROTEA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46268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48006-2023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45198</v>
      </c>
      <c r="E113" s="1" t="n">
        <v>46268</v>
      </c>
      <c r="F113" t="inlineStr">
        <is>
          <t>VÄSTERBOTTENS LÄN</t>
        </is>
      </c>
      <c r="G113" t="inlineStr">
        <is>
          <t>DOROTEA</t>
        </is>
      </c>
      <c r="H113" t="inlineStr">
        <is>
          <t>Övriga statliga verk och myndigheter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46268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46268</v>
      </c>
      <c r="F115" t="inlineStr">
        <is>
          <t>VÄSTERBOTTENS LÄN</t>
        </is>
      </c>
      <c r="G115" t="inlineStr">
        <is>
          <t>DOROTEA</t>
        </is>
      </c>
      <c r="H115" t="inlineStr">
        <is>
          <t>Övriga Aktiebolag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46268</v>
      </c>
      <c r="F116" t="inlineStr">
        <is>
          <t>VÄSTERBOTTENS LÄN</t>
        </is>
      </c>
      <c r="G116" t="inlineStr">
        <is>
          <t>DOROTEA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53117-2023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45228</v>
      </c>
      <c r="E117" s="1" t="n">
        <v>46268</v>
      </c>
      <c r="F117" t="inlineStr">
        <is>
          <t>VÄSTERBOTTENS LÄN</t>
        </is>
      </c>
      <c r="G117" t="inlineStr">
        <is>
          <t>DOROTEA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45228</v>
      </c>
      <c r="E118" s="1" t="n">
        <v>46268</v>
      </c>
      <c r="F118" t="inlineStr">
        <is>
          <t>VÄSTERBOTTENS LÄN</t>
        </is>
      </c>
      <c r="G118" t="inlineStr">
        <is>
          <t>DOROTEA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2842-2026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46268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43866-2025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46268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45915</v>
      </c>
      <c r="E121" s="1" t="n">
        <v>46268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46268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8.4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46268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46268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45846</v>
      </c>
      <c r="E125" s="1" t="n">
        <v>46268</v>
      </c>
      <c r="F125" t="inlineStr">
        <is>
          <t>VÄSTERBOTTENS LÄN</t>
        </is>
      </c>
      <c r="G125" t="inlineStr">
        <is>
          <t>DOROTEA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43720-2025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45912</v>
      </c>
      <c r="E126" s="1" t="n">
        <v>46268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45848</v>
      </c>
      <c r="E127" s="1" t="n">
        <v>46268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45917</v>
      </c>
      <c r="E128" s="1" t="n">
        <v>46268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45849</v>
      </c>
      <c r="E129" s="1" t="n">
        <v>46268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44282-2025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45916</v>
      </c>
      <c r="E130" s="1" t="n">
        <v>46268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46268</v>
      </c>
      <c r="F131" t="inlineStr">
        <is>
          <t>VÄSTERBOTTENS LÄN</t>
        </is>
      </c>
      <c r="G131" t="inlineStr">
        <is>
          <t>DOROTEA</t>
        </is>
      </c>
      <c r="H131" t="inlineStr">
        <is>
          <t>Övriga statliga verk och myndigheter</t>
        </is>
      </c>
      <c r="I131" t="n">
        <v>15.2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46268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35093-2025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45852</v>
      </c>
      <c r="E133" s="1" t="n">
        <v>46268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46268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44784-2025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46268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46268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45855</v>
      </c>
      <c r="E137" s="1" t="n">
        <v>46268</v>
      </c>
      <c r="F137" t="inlineStr">
        <is>
          <t>VÄSTERBOTTENS LÄN</t>
        </is>
      </c>
      <c r="G137" t="inlineStr">
        <is>
          <t>DOROTEA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45855</v>
      </c>
      <c r="E138" s="1" t="n">
        <v>46268</v>
      </c>
      <c r="F138" t="inlineStr">
        <is>
          <t>VÄSTERBOTTENS LÄN</t>
        </is>
      </c>
      <c r="G138" t="inlineStr">
        <is>
          <t>DOROTEA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46268</v>
      </c>
      <c r="F139" t="inlineStr">
        <is>
          <t>VÄSTERBOTTENS LÄN</t>
        </is>
      </c>
      <c r="G139" t="inlineStr">
        <is>
          <t>DOROTEA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46268</v>
      </c>
      <c r="F140" t="inlineStr">
        <is>
          <t>VÄSTERBOTTENS LÄN</t>
        </is>
      </c>
      <c r="G140" t="inlineStr">
        <is>
          <t>DOROTEA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46043</v>
      </c>
      <c r="E141" s="1" t="n">
        <v>46268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46042</v>
      </c>
      <c r="E142" s="1" t="n">
        <v>46268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46268</v>
      </c>
      <c r="F143" t="inlineStr">
        <is>
          <t>VÄSTERBOTTENS LÄN</t>
        </is>
      </c>
      <c r="G143" t="inlineStr">
        <is>
          <t>DOROTEA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46268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7.8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36111-2025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45866</v>
      </c>
      <c r="E145" s="1" t="n">
        <v>46268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46268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46965-2024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45586</v>
      </c>
      <c r="E147" s="1" t="n">
        <v>46268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14806-2023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45013</v>
      </c>
      <c r="E148" s="1" t="n">
        <v>46268</v>
      </c>
      <c r="F148" t="inlineStr">
        <is>
          <t>VÄSTERBOTTENS LÄN</t>
        </is>
      </c>
      <c r="G148" t="inlineStr">
        <is>
          <t>DOROTEA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36125-2025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45866</v>
      </c>
      <c r="E149" s="1" t="n">
        <v>46268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63885-2025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46010</v>
      </c>
      <c r="E150" s="1" t="n">
        <v>46268</v>
      </c>
      <c r="F150" t="inlineStr">
        <is>
          <t>VÄSTERBOTTENS LÄN</t>
        </is>
      </c>
      <c r="G150" t="inlineStr">
        <is>
          <t>DOROTEA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27558-2022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44742</v>
      </c>
      <c r="E151" s="1" t="n">
        <v>46268</v>
      </c>
      <c r="F151" t="inlineStr">
        <is>
          <t>VÄSTERBOTTENS LÄN</t>
        </is>
      </c>
      <c r="G151" t="inlineStr">
        <is>
          <t>DOROTEA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10400-2025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45720</v>
      </c>
      <c r="E152" s="1" t="n">
        <v>46268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46268</v>
      </c>
      <c r="F153" t="inlineStr">
        <is>
          <t>VÄSTERBOTTENS LÄN</t>
        </is>
      </c>
      <c r="G153" t="inlineStr">
        <is>
          <t>DOROTEA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36845-2025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45874</v>
      </c>
      <c r="E154" s="1" t="n">
        <v>46268</v>
      </c>
      <c r="F154" t="inlineStr">
        <is>
          <t>VÄSTERBOTTENS LÄN</t>
        </is>
      </c>
      <c r="G154" t="inlineStr">
        <is>
          <t>DOROTEA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46268</v>
      </c>
      <c r="F155" t="inlineStr">
        <is>
          <t>VÄSTERBOTTENS LÄN</t>
        </is>
      </c>
      <c r="G155" t="inlineStr">
        <is>
          <t>DOROTEA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36844-2025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45874</v>
      </c>
      <c r="E156" s="1" t="n">
        <v>46268</v>
      </c>
      <c r="F156" t="inlineStr">
        <is>
          <t>VÄSTERBOTTENS LÄN</t>
        </is>
      </c>
      <c r="G156" t="inlineStr">
        <is>
          <t>DOROTEA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48510-2025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46268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45875</v>
      </c>
      <c r="E158" s="1" t="n">
        <v>46268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45876</v>
      </c>
      <c r="E159" s="1" t="n">
        <v>46268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45356</v>
      </c>
      <c r="E160" s="1" t="n">
        <v>46268</v>
      </c>
      <c r="F160" t="inlineStr">
        <is>
          <t>VÄSTERBOTTENS LÄN</t>
        </is>
      </c>
      <c r="G160" t="inlineStr">
        <is>
          <t>DOROTEA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49408-2025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45938</v>
      </c>
      <c r="E161" s="1" t="n">
        <v>46268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37476-2025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45877</v>
      </c>
      <c r="E162" s="1" t="n">
        <v>46268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46268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9.800000000000001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37276-2025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45876</v>
      </c>
      <c r="E164" s="1" t="n">
        <v>46268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27305-2024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45471</v>
      </c>
      <c r="E165" s="1" t="n">
        <v>46268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12773-2026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46091</v>
      </c>
      <c r="E166" s="1" t="n">
        <v>46268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38099-2025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45882</v>
      </c>
      <c r="E167" s="1" t="n">
        <v>46268</v>
      </c>
      <c r="F167" t="inlineStr">
        <is>
          <t>VÄSTERBOTTENS LÄN</t>
        </is>
      </c>
      <c r="G167" t="inlineStr">
        <is>
          <t>DOROTEA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38100-2025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45882</v>
      </c>
      <c r="E168" s="1" t="n">
        <v>46268</v>
      </c>
      <c r="F168" t="inlineStr">
        <is>
          <t>VÄSTERBOTTENS LÄN</t>
        </is>
      </c>
      <c r="G168" t="inlineStr">
        <is>
          <t>DOROTEA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45882</v>
      </c>
      <c r="E169" s="1" t="n">
        <v>46268</v>
      </c>
      <c r="F169" t="inlineStr">
        <is>
          <t>VÄSTERBOTTENS LÄN</t>
        </is>
      </c>
      <c r="G169" t="inlineStr">
        <is>
          <t>DOROTEA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38098-2025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46268</v>
      </c>
      <c r="F170" t="inlineStr">
        <is>
          <t>VÄSTERBOTTENS LÄN</t>
        </is>
      </c>
      <c r="G170" t="inlineStr">
        <is>
          <t>DOROTEA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38227-2025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46268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38239-2025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45883</v>
      </c>
      <c r="E172" s="1" t="n">
        <v>46268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38101-2025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45882</v>
      </c>
      <c r="E173" s="1" t="n">
        <v>46268</v>
      </c>
      <c r="F173" t="inlineStr">
        <is>
          <t>VÄSTERBOTTENS LÄN</t>
        </is>
      </c>
      <c r="G173" t="inlineStr">
        <is>
          <t>DOROTEA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46268</v>
      </c>
      <c r="F174" t="inlineStr">
        <is>
          <t>VÄSTERBOTTENS LÄN</t>
        </is>
      </c>
      <c r="G174" t="inlineStr">
        <is>
          <t>DOROTEA</t>
        </is>
      </c>
      <c r="I174" t="n">
        <v>11.8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8709-2025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45712</v>
      </c>
      <c r="E175" s="1" t="n">
        <v>46268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46268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46051</v>
      </c>
      <c r="E177" s="1" t="n">
        <v>46268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37105-2024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45539</v>
      </c>
      <c r="E178" s="1" t="n">
        <v>46268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12.3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45574</v>
      </c>
      <c r="E179" s="1" t="n">
        <v>46268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46268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16.2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46268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45331</v>
      </c>
      <c r="E182" s="1" t="n">
        <v>46268</v>
      </c>
      <c r="F182" t="inlineStr">
        <is>
          <t>VÄSTERBOTTENS LÄN</t>
        </is>
      </c>
      <c r="G182" t="inlineStr">
        <is>
          <t>DOROTEA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57431-2022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44889</v>
      </c>
      <c r="E183" s="1" t="n">
        <v>46268</v>
      </c>
      <c r="F183" t="inlineStr">
        <is>
          <t>VÄSTERBOTTENS LÄN</t>
        </is>
      </c>
      <c r="G183" t="inlineStr">
        <is>
          <t>DOROTEA</t>
        </is>
      </c>
      <c r="I183" t="n">
        <v>15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46054</v>
      </c>
      <c r="E184" s="1" t="n">
        <v>46268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46059</v>
      </c>
      <c r="E185" s="1" t="n">
        <v>46268</v>
      </c>
      <c r="F185" t="inlineStr">
        <is>
          <t>VÄSTERBOTTENS LÄN</t>
        </is>
      </c>
      <c r="G185" t="inlineStr">
        <is>
          <t>DOROTEA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52412-2025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46268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7713-2026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46059</v>
      </c>
      <c r="E187" s="1" t="n">
        <v>46268</v>
      </c>
      <c r="F187" t="inlineStr">
        <is>
          <t>VÄSTERBOTTENS LÄN</t>
        </is>
      </c>
      <c r="G187" t="inlineStr">
        <is>
          <t>DOROTEA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53409-2025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45959</v>
      </c>
      <c r="E188" s="1" t="n">
        <v>46268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8.199999999999999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46063</v>
      </c>
      <c r="E189" s="1" t="n">
        <v>46268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34700-2023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45140</v>
      </c>
      <c r="E190" s="1" t="n">
        <v>46268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54489-2025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46268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46268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0.2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46268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7.3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9796-2026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46072</v>
      </c>
      <c r="E194" s="1" t="n">
        <v>46268</v>
      </c>
      <c r="F194" t="inlineStr">
        <is>
          <t>VÄSTERBOTTENS LÄN</t>
        </is>
      </c>
      <c r="G194" t="inlineStr">
        <is>
          <t>DOROTEA</t>
        </is>
      </c>
      <c r="I194" t="n">
        <v>20.1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56556-2025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45975</v>
      </c>
      <c r="E195" s="1" t="n">
        <v>46268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45975</v>
      </c>
      <c r="E196" s="1" t="n">
        <v>46268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35000-2023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45142</v>
      </c>
      <c r="E197" s="1" t="n">
        <v>46268</v>
      </c>
      <c r="F197" t="inlineStr">
        <is>
          <t>VÄSTERBOTTENS LÄN</t>
        </is>
      </c>
      <c r="G197" t="inlineStr">
        <is>
          <t>DOROTEA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45977</v>
      </c>
      <c r="E198" s="1" t="n">
        <v>46268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46268</v>
      </c>
      <c r="F199" t="inlineStr">
        <is>
          <t>VÄSTERBOTTENS LÄN</t>
        </is>
      </c>
      <c r="G199" t="inlineStr">
        <is>
          <t>DOROTEA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57250-2025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45978</v>
      </c>
      <c r="E200" s="1" t="n">
        <v>46268</v>
      </c>
      <c r="F200" t="inlineStr">
        <is>
          <t>VÄSTERBOTTENS LÄN</t>
        </is>
      </c>
      <c r="G200" t="inlineStr">
        <is>
          <t>DOROTEA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57380-2025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45980</v>
      </c>
      <c r="E201" s="1" t="n">
        <v>46268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45483</v>
      </c>
      <c r="E202" s="1" t="n">
        <v>46268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46268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57481-2025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46268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45981</v>
      </c>
      <c r="E205" s="1" t="n">
        <v>46268</v>
      </c>
      <c r="F205" t="inlineStr">
        <is>
          <t>VÄSTERBOTTENS LÄN</t>
        </is>
      </c>
      <c r="G205" t="inlineStr">
        <is>
          <t>DOROTEA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57722-2025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45981</v>
      </c>
      <c r="E206" s="1" t="n">
        <v>46268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45757</v>
      </c>
      <c r="E207" s="1" t="n">
        <v>46268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46268</v>
      </c>
      <c r="F208" t="inlineStr">
        <is>
          <t>VÄSTERBOTTENS LÄN</t>
        </is>
      </c>
      <c r="G208" t="inlineStr">
        <is>
          <t>DOROTEA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57947-2025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46268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45982</v>
      </c>
      <c r="E210" s="1" t="n">
        <v>46268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18.2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58600-2025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46268</v>
      </c>
      <c r="F211" t="inlineStr">
        <is>
          <t>VÄSTERBOTTENS LÄN</t>
        </is>
      </c>
      <c r="G211" t="inlineStr">
        <is>
          <t>DOROTEA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46268</v>
      </c>
      <c r="F212" t="inlineStr">
        <is>
          <t>VÄSTERBOTTENS LÄN</t>
        </is>
      </c>
      <c r="G212" t="inlineStr">
        <is>
          <t>DOROTEA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46086</v>
      </c>
      <c r="E213" s="1" t="n">
        <v>46268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11817-2026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46085</v>
      </c>
      <c r="E214" s="1" t="n">
        <v>46268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45988</v>
      </c>
      <c r="E215" s="1" t="n">
        <v>46268</v>
      </c>
      <c r="F215" t="inlineStr">
        <is>
          <t>VÄSTERBOTTENS LÄN</t>
        </is>
      </c>
      <c r="G215" t="inlineStr">
        <is>
          <t>DOROTEA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46268</v>
      </c>
      <c r="F216" t="inlineStr">
        <is>
          <t>VÄSTERBOTTENS LÄN</t>
        </is>
      </c>
      <c r="G216" t="inlineStr">
        <is>
          <t>DOROTEA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19657-2025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45770</v>
      </c>
      <c r="E217" s="1" t="n">
        <v>46268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46268</v>
      </c>
      <c r="F218" t="inlineStr">
        <is>
          <t>VÄSTERBOTTENS LÄN</t>
        </is>
      </c>
      <c r="G218" t="inlineStr">
        <is>
          <t>DOROTEA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35937-2025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45862</v>
      </c>
      <c r="E219" s="1" t="n">
        <v>46268</v>
      </c>
      <c r="F219" t="inlineStr">
        <is>
          <t>VÄSTERBOTTENS LÄN</t>
        </is>
      </c>
      <c r="G219" t="inlineStr">
        <is>
          <t>DOROTEA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45639</v>
      </c>
      <c r="E220" s="1" t="n">
        <v>46268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46268</v>
      </c>
      <c r="F221" t="inlineStr">
        <is>
          <t>VÄSTERBOTTENS LÄN</t>
        </is>
      </c>
      <c r="G221" t="inlineStr">
        <is>
          <t>DOROTEA</t>
        </is>
      </c>
      <c r="H221" t="inlineStr">
        <is>
          <t>Kommuner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45253</v>
      </c>
      <c r="E222" s="1" t="n">
        <v>46268</v>
      </c>
      <c r="F222" t="inlineStr">
        <is>
          <t>VÄSTERBOTTENS LÄN</t>
        </is>
      </c>
      <c r="G222" t="inlineStr">
        <is>
          <t>DOROTEA</t>
        </is>
      </c>
      <c r="I222" t="n">
        <v>28.8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60724-2025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45996</v>
      </c>
      <c r="E223" s="1" t="n">
        <v>46268</v>
      </c>
      <c r="F223" t="inlineStr">
        <is>
          <t>VÄSTERBOTTENS LÄN</t>
        </is>
      </c>
      <c r="G223" t="inlineStr">
        <is>
          <t>DOROTEA</t>
        </is>
      </c>
      <c r="I223" t="n">
        <v>23.9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35202-2025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45852</v>
      </c>
      <c r="E224" s="1" t="n">
        <v>46268</v>
      </c>
      <c r="F224" t="inlineStr">
        <is>
          <t>VÄSTERBOTTENS LÄN</t>
        </is>
      </c>
      <c r="G224" t="inlineStr">
        <is>
          <t>DOROTEA</t>
        </is>
      </c>
      <c r="H224" t="inlineStr">
        <is>
          <t>Allmännings- och besparingsskogar</t>
        </is>
      </c>
      <c r="I224" t="n">
        <v>22.1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35203-2025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45852</v>
      </c>
      <c r="E225" s="1" t="n">
        <v>46268</v>
      </c>
      <c r="F225" t="inlineStr">
        <is>
          <t>VÄSTERBOTTENS LÄN</t>
        </is>
      </c>
      <c r="G225" t="inlineStr">
        <is>
          <t>DOROTEA</t>
        </is>
      </c>
      <c r="H225" t="inlineStr">
        <is>
          <t>Allmännings- och besparingsskogar</t>
        </is>
      </c>
      <c r="I225" t="n">
        <v>20.3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60162-2024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45642</v>
      </c>
      <c r="E226" s="1" t="n">
        <v>46268</v>
      </c>
      <c r="F226" t="inlineStr">
        <is>
          <t>VÄSTERBOTTENS LÄN</t>
        </is>
      </c>
      <c r="G226" t="inlineStr">
        <is>
          <t>DOROTEA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46268</v>
      </c>
      <c r="F227" t="inlineStr">
        <is>
          <t>VÄSTERBOTTENS LÄN</t>
        </is>
      </c>
      <c r="G227" t="inlineStr">
        <is>
          <t>DOROTEA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7429-2023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44971</v>
      </c>
      <c r="E228" s="1" t="n">
        <v>46268</v>
      </c>
      <c r="F228" t="inlineStr">
        <is>
          <t>VÄSTERBOTTENS LÄN</t>
        </is>
      </c>
      <c r="G228" t="inlineStr">
        <is>
          <t>DOROTEA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45796</v>
      </c>
      <c r="E229" s="1" t="n">
        <v>46268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46003</v>
      </c>
      <c r="E230" s="1" t="n">
        <v>46268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62193-2025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46003</v>
      </c>
      <c r="E231" s="1" t="n">
        <v>46268</v>
      </c>
      <c r="F231" t="inlineStr">
        <is>
          <t>VÄSTERBOTTENS LÄN</t>
        </is>
      </c>
      <c r="G231" t="inlineStr">
        <is>
          <t>DOROTEA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46268</v>
      </c>
      <c r="F232" t="inlineStr">
        <is>
          <t>VÄSTERBOTTENS LÄN</t>
        </is>
      </c>
      <c r="G232" t="inlineStr">
        <is>
          <t>DOROTEA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62399-2025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46268</v>
      </c>
      <c r="F233" t="inlineStr">
        <is>
          <t>VÄSTERBOTTENS LÄN</t>
        </is>
      </c>
      <c r="G233" t="inlineStr">
        <is>
          <t>DOROTEA</t>
        </is>
      </c>
      <c r="I233" t="n">
        <v>16.7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62423-2025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46268</v>
      </c>
      <c r="F234" t="inlineStr">
        <is>
          <t>VÄSTERBOTTENS LÄN</t>
        </is>
      </c>
      <c r="G234" t="inlineStr">
        <is>
          <t>DOROTEA</t>
        </is>
      </c>
      <c r="I234" t="n">
        <v>13.2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17132-2025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45755</v>
      </c>
      <c r="E235" s="1" t="n">
        <v>46268</v>
      </c>
      <c r="F235" t="inlineStr">
        <is>
          <t>VÄSTERBOTTENS LÄN</t>
        </is>
      </c>
      <c r="G235" t="inlineStr">
        <is>
          <t>DOROTEA</t>
        </is>
      </c>
      <c r="I235" t="n">
        <v>7.6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45720</v>
      </c>
      <c r="E236" s="1" t="n">
        <v>46268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62424-2025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46268</v>
      </c>
      <c r="F237" t="inlineStr">
        <is>
          <t>VÄSTERBOTTENS LÄN</t>
        </is>
      </c>
      <c r="G237" t="inlineStr">
        <is>
          <t>DOROTEA</t>
        </is>
      </c>
      <c r="I237" t="n">
        <v>12.3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62974-2025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46009</v>
      </c>
      <c r="E238" s="1" t="n">
        <v>46268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9.4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37072-2024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45539</v>
      </c>
      <c r="E239" s="1" t="n">
        <v>46268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8.199999999999999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62657-2022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44925</v>
      </c>
      <c r="E240" s="1" t="n">
        <v>46268</v>
      </c>
      <c r="F240" t="inlineStr">
        <is>
          <t>VÄSTERBOTTENS LÄN</t>
        </is>
      </c>
      <c r="G240" t="inlineStr">
        <is>
          <t>DOROTEA</t>
        </is>
      </c>
      <c r="I240" t="n">
        <v>22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63939-2025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46010</v>
      </c>
      <c r="E241" s="1" t="n">
        <v>46268</v>
      </c>
      <c r="F241" t="inlineStr">
        <is>
          <t>VÄSTERBOTTENS LÄN</t>
        </is>
      </c>
      <c r="G241" t="inlineStr">
        <is>
          <t>DOROTEA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46268</v>
      </c>
      <c r="F242" t="inlineStr">
        <is>
          <t>VÄSTERBOTTENS LÄN</t>
        </is>
      </c>
      <c r="G242" t="inlineStr">
        <is>
          <t>DOROTEA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63745-2025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46017</v>
      </c>
      <c r="E243" s="1" t="n">
        <v>46268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22580-2023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45069</v>
      </c>
      <c r="E244" s="1" t="n">
        <v>46268</v>
      </c>
      <c r="F244" t="inlineStr">
        <is>
          <t>VÄSTERBOTTENS LÄN</t>
        </is>
      </c>
      <c r="G244" t="inlineStr">
        <is>
          <t>DOROTEA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53357-2024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45614</v>
      </c>
      <c r="E245" s="1" t="n">
        <v>46268</v>
      </c>
      <c r="F245" t="inlineStr">
        <is>
          <t>VÄSTERBOTTENS LÄN</t>
        </is>
      </c>
      <c r="G245" t="inlineStr">
        <is>
          <t>DOROTEA</t>
        </is>
      </c>
      <c r="I245" t="n">
        <v>26.5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46268</v>
      </c>
      <c r="F246" t="inlineStr">
        <is>
          <t>VÄSTERBOTTENS LÄN</t>
        </is>
      </c>
      <c r="G246" t="inlineStr">
        <is>
          <t>DOROTEA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45224</v>
      </c>
      <c r="E247" s="1" t="n">
        <v>46268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9030-2025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45713</v>
      </c>
      <c r="E248" s="1" t="n">
        <v>46268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46268</v>
      </c>
      <c r="F249" t="inlineStr">
        <is>
          <t>VÄSTERBOTTENS LÄN</t>
        </is>
      </c>
      <c r="G249" t="inlineStr">
        <is>
          <t>DOROTEA</t>
        </is>
      </c>
      <c r="I249" t="n">
        <v>7.8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45217</v>
      </c>
      <c r="E250" s="1" t="n">
        <v>46268</v>
      </c>
      <c r="F250" t="inlineStr">
        <is>
          <t>VÄSTERBOTTENS LÄN</t>
        </is>
      </c>
      <c r="G250" t="inlineStr">
        <is>
          <t>DOROTEA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8088-2023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46268</v>
      </c>
      <c r="F251" t="inlineStr">
        <is>
          <t>VÄSTERBOTTENS LÄN</t>
        </is>
      </c>
      <c r="G251" t="inlineStr">
        <is>
          <t>DOROTEA</t>
        </is>
      </c>
      <c r="I251" t="n">
        <v>14.8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44956</v>
      </c>
      <c r="E252" s="1" t="n">
        <v>46268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15901-2026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46268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46268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46268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46268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33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46114</v>
      </c>
      <c r="E257" s="1" t="n">
        <v>46268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16896-2026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46268</v>
      </c>
      <c r="F258" t="inlineStr">
        <is>
          <t>VÄSTERBOTTENS LÄN</t>
        </is>
      </c>
      <c r="G258" t="inlineStr">
        <is>
          <t>DOROTEA</t>
        </is>
      </c>
      <c r="H258" t="inlineStr">
        <is>
          <t>Kommuner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17537-2026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46268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46268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20.3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41771-2024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46268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18310-2026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46126</v>
      </c>
      <c r="E262" s="1" t="n">
        <v>46268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17971-2026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46123</v>
      </c>
      <c r="E263" s="1" t="n">
        <v>46268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46125</v>
      </c>
      <c r="E264" s="1" t="n">
        <v>46268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18.3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18254-2026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46126</v>
      </c>
      <c r="E265" s="1" t="n">
        <v>46268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46125</v>
      </c>
      <c r="E266" s="1" t="n">
        <v>46268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18143-2026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46268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10.1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60153-2024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46268</v>
      </c>
      <c r="F268" t="inlineStr">
        <is>
          <t>VÄSTERBOTTENS LÄN</t>
        </is>
      </c>
      <c r="G268" t="inlineStr">
        <is>
          <t>DOROTEA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60169-2024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45642</v>
      </c>
      <c r="E269" s="1" t="n">
        <v>46268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19298-2026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46133</v>
      </c>
      <c r="E270" s="1" t="n">
        <v>46268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19445-2026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46268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19446-2026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46268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44568</v>
      </c>
      <c r="E273" s="1" t="n">
        <v>46268</v>
      </c>
      <c r="F273" t="inlineStr">
        <is>
          <t>VÄSTERBOTTENS LÄN</t>
        </is>
      </c>
      <c r="G273" t="inlineStr">
        <is>
          <t>DOROTEA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46268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13.5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34503-2025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45846</v>
      </c>
      <c r="E275" s="1" t="n">
        <v>46268</v>
      </c>
      <c r="F275" t="inlineStr">
        <is>
          <t>VÄSTERBOTTENS LÄN</t>
        </is>
      </c>
      <c r="G275" t="inlineStr">
        <is>
          <t>DOROTEA</t>
        </is>
      </c>
      <c r="I275" t="n">
        <v>14.7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20316-2026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46136</v>
      </c>
      <c r="E276" s="1" t="n">
        <v>46268</v>
      </c>
      <c r="F276" t="inlineStr">
        <is>
          <t>VÄSTERBOTTENS LÄN</t>
        </is>
      </c>
      <c r="G276" t="inlineStr">
        <is>
          <t>DOROTEA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46268</v>
      </c>
      <c r="F277" t="inlineStr">
        <is>
          <t>VÄSTERBOTTENS LÄN</t>
        </is>
      </c>
      <c r="G277" t="inlineStr">
        <is>
          <t>DOROTEA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46268</v>
      </c>
      <c r="F278" t="inlineStr">
        <is>
          <t>VÄSTERBOTTENS LÄN</t>
        </is>
      </c>
      <c r="G278" t="inlineStr">
        <is>
          <t>DOROTEA</t>
        </is>
      </c>
      <c r="I278" t="n">
        <v>15.8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46268</v>
      </c>
      <c r="F279" t="inlineStr">
        <is>
          <t>VÄSTERBOTTENS LÄN</t>
        </is>
      </c>
      <c r="G279" t="inlineStr">
        <is>
          <t>DOROTEA</t>
        </is>
      </c>
      <c r="I279" t="n">
        <v>13.3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32821-2024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45516</v>
      </c>
      <c r="E280" s="1" t="n">
        <v>46268</v>
      </c>
      <c r="F280" t="inlineStr">
        <is>
          <t>VÄSTERBOTTENS LÄN</t>
        </is>
      </c>
      <c r="G280" t="inlineStr">
        <is>
          <t>DOROTEA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46139</v>
      </c>
      <c r="E281" s="1" t="n">
        <v>46268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10360-2023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44980</v>
      </c>
      <c r="E282" s="1" t="n">
        <v>46268</v>
      </c>
      <c r="F282" t="inlineStr">
        <is>
          <t>VÄSTERBOTTENS LÄN</t>
        </is>
      </c>
      <c r="G282" t="inlineStr">
        <is>
          <t>DOROTEA</t>
        </is>
      </c>
      <c r="I282" t="n">
        <v>18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8247-2024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45351</v>
      </c>
      <c r="E283" s="1" t="n">
        <v>46268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45475</v>
      </c>
      <c r="E284" s="1" t="n">
        <v>46268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46268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45071</v>
      </c>
      <c r="E286" s="1" t="n">
        <v>46268</v>
      </c>
      <c r="F286" t="inlineStr">
        <is>
          <t>VÄSTERBOTTENS LÄN</t>
        </is>
      </c>
      <c r="G286" t="inlineStr">
        <is>
          <t>DOROTEA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46136</v>
      </c>
      <c r="E287" s="1" t="n">
        <v>46268</v>
      </c>
      <c r="F287" t="inlineStr">
        <is>
          <t>VÄSTERBOTTENS LÄN</t>
        </is>
      </c>
      <c r="G287" t="inlineStr">
        <is>
          <t>DOROTEA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20327-2026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46268</v>
      </c>
      <c r="F288" t="inlineStr">
        <is>
          <t>VÄSTERBOTTENS LÄN</t>
        </is>
      </c>
      <c r="G288" t="inlineStr">
        <is>
          <t>DOROTEA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15057-2024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45399</v>
      </c>
      <c r="E289" s="1" t="n">
        <v>46268</v>
      </c>
      <c r="F289" t="inlineStr">
        <is>
          <t>VÄSTERBOTTENS LÄN</t>
        </is>
      </c>
      <c r="G289" t="inlineStr">
        <is>
          <t>DOROTEA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44889</v>
      </c>
      <c r="E290" s="1" t="n">
        <v>46268</v>
      </c>
      <c r="F290" t="inlineStr">
        <is>
          <t>VÄSTERBOTTENS LÄN</t>
        </is>
      </c>
      <c r="G290" t="inlineStr">
        <is>
          <t>DOROTEA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67686-2021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44524</v>
      </c>
      <c r="E291" s="1" t="n">
        <v>46268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63294-2025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46010</v>
      </c>
      <c r="E292" s="1" t="n">
        <v>46268</v>
      </c>
      <c r="F292" t="inlineStr">
        <is>
          <t>VÄSTERBOTTENS LÄN</t>
        </is>
      </c>
      <c r="G292" t="inlineStr">
        <is>
          <t>DOROTEA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57170-2025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46268</v>
      </c>
      <c r="F293" t="inlineStr">
        <is>
          <t>VÄSTERBOTTENS LÄN</t>
        </is>
      </c>
      <c r="G293" t="inlineStr">
        <is>
          <t>DOROTEA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59329-2025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45988</v>
      </c>
      <c r="E294" s="1" t="n">
        <v>46268</v>
      </c>
      <c r="F294" t="inlineStr">
        <is>
          <t>VÄSTERBOTTENS LÄN</t>
        </is>
      </c>
      <c r="G294" t="inlineStr">
        <is>
          <t>DOROTEA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35457-2025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45855</v>
      </c>
      <c r="E295" s="1" t="n">
        <v>46268</v>
      </c>
      <c r="F295" t="inlineStr">
        <is>
          <t>VÄSTERBOTTENS LÄN</t>
        </is>
      </c>
      <c r="G295" t="inlineStr">
        <is>
          <t>DOROTEA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20321-2026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46136</v>
      </c>
      <c r="E296" s="1" t="n">
        <v>46268</v>
      </c>
      <c r="F296" t="inlineStr">
        <is>
          <t>VÄSTERBOTTENS LÄN</t>
        </is>
      </c>
      <c r="G296" t="inlineStr">
        <is>
          <t>DOROTEA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53092-2024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45611</v>
      </c>
      <c r="E297" s="1" t="n">
        <v>46268</v>
      </c>
      <c r="F297" t="inlineStr">
        <is>
          <t>VÄSTERBOTTENS LÄN</t>
        </is>
      </c>
      <c r="G297" t="inlineStr">
        <is>
          <t>DOROTEA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39721-2024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45552</v>
      </c>
      <c r="E298" s="1" t="n">
        <v>46268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46268</v>
      </c>
      <c r="F299" t="inlineStr">
        <is>
          <t>VÄSTERBOTTENS LÄN</t>
        </is>
      </c>
      <c r="G299" t="inlineStr">
        <is>
          <t>DOROTEA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45295</v>
      </c>
      <c r="E300" s="1" t="n">
        <v>46268</v>
      </c>
      <c r="F300" t="inlineStr">
        <is>
          <t>VÄSTERBOTTENS LÄN</t>
        </is>
      </c>
      <c r="G300" t="inlineStr">
        <is>
          <t>DOROTEA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20680-2026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46268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37282-2025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45876</v>
      </c>
      <c r="E302" s="1" t="n">
        <v>46268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46136</v>
      </c>
      <c r="E303" s="1" t="n">
        <v>46268</v>
      </c>
      <c r="F303" t="inlineStr">
        <is>
          <t>VÄSTERBOTTENS LÄN</t>
        </is>
      </c>
      <c r="G303" t="inlineStr">
        <is>
          <t>DOROTEA</t>
        </is>
      </c>
      <c r="I303" t="n">
        <v>17.8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46268</v>
      </c>
      <c r="F304" t="inlineStr">
        <is>
          <t>VÄSTERBOTTENS LÄN</t>
        </is>
      </c>
      <c r="G304" t="inlineStr">
        <is>
          <t>DOROTEA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46268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46141</v>
      </c>
      <c r="E306" s="1" t="n">
        <v>46268</v>
      </c>
      <c r="F306" t="inlineStr">
        <is>
          <t>VÄSTERBOTTENS LÄN</t>
        </is>
      </c>
      <c r="G306" t="inlineStr">
        <is>
          <t>DOROTEA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53272-2024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46268</v>
      </c>
      <c r="F307" t="inlineStr">
        <is>
          <t>VÄSTERBOTTENS LÄN</t>
        </is>
      </c>
      <c r="G307" t="inlineStr">
        <is>
          <t>DOROTEA</t>
        </is>
      </c>
      <c r="I307" t="n">
        <v>31.7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63575-2025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46268</v>
      </c>
      <c r="F308" t="inlineStr">
        <is>
          <t>VÄSTERBOTTENS LÄN</t>
        </is>
      </c>
      <c r="G308" t="inlineStr">
        <is>
          <t>DOROTEA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20231-2026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46268</v>
      </c>
      <c r="F309" t="inlineStr">
        <is>
          <t>VÄSTERBOTTENS LÄN</t>
        </is>
      </c>
      <c r="G309" t="inlineStr">
        <is>
          <t>DOROTEA</t>
        </is>
      </c>
      <c r="I309" t="n">
        <v>21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46268</v>
      </c>
      <c r="F310" t="inlineStr">
        <is>
          <t>VÄSTERBOTTENS LÄN</t>
        </is>
      </c>
      <c r="G310" t="inlineStr">
        <is>
          <t>DOROTEA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45866</v>
      </c>
      <c r="E311" s="1" t="n">
        <v>46268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36137-2023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45149</v>
      </c>
      <c r="E312" s="1" t="n">
        <v>46268</v>
      </c>
      <c r="F312" t="inlineStr">
        <is>
          <t>VÄSTERBOTTENS LÄN</t>
        </is>
      </c>
      <c r="G312" t="inlineStr">
        <is>
          <t>DOROTEA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44979</v>
      </c>
      <c r="E313" s="1" t="n">
        <v>46268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44761</v>
      </c>
      <c r="E314" s="1" t="n">
        <v>46268</v>
      </c>
      <c r="F314" t="inlineStr">
        <is>
          <t>VÄSTERBOTTENS LÄN</t>
        </is>
      </c>
      <c r="G314" t="inlineStr">
        <is>
          <t>DOROTEA</t>
        </is>
      </c>
      <c r="I314" t="n">
        <v>10.6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46268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46268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46146</v>
      </c>
      <c r="E317" s="1" t="n">
        <v>46268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46147</v>
      </c>
      <c r="E318" s="1" t="n">
        <v>46268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45036</v>
      </c>
      <c r="E319" s="1" t="n">
        <v>46268</v>
      </c>
      <c r="F319" t="inlineStr">
        <is>
          <t>VÄSTERBOTTENS LÄN</t>
        </is>
      </c>
      <c r="G319" t="inlineStr">
        <is>
          <t>DOROTEA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27777-2026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46189</v>
      </c>
      <c r="E320" s="1" t="n">
        <v>46268</v>
      </c>
      <c r="F320" t="inlineStr">
        <is>
          <t>VÄSTERBOTTENS LÄN</t>
        </is>
      </c>
      <c r="G320" t="inlineStr">
        <is>
          <t>DOROTEA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46189</v>
      </c>
      <c r="E321" s="1" t="n">
        <v>46268</v>
      </c>
      <c r="F321" t="inlineStr">
        <is>
          <t>VÄSTERBOTTENS LÄN</t>
        </is>
      </c>
      <c r="G321" t="inlineStr">
        <is>
          <t>DOROTEA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27762-2026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46189</v>
      </c>
      <c r="E322" s="1" t="n">
        <v>46268</v>
      </c>
      <c r="F322" t="inlineStr">
        <is>
          <t>VÄSTERBOTTENS LÄN</t>
        </is>
      </c>
      <c r="G322" t="inlineStr">
        <is>
          <t>DOROTEA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21749-2026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46149</v>
      </c>
      <c r="E323" s="1" t="n">
        <v>46268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45747</v>
      </c>
      <c r="E324" s="1" t="n">
        <v>46268</v>
      </c>
      <c r="F324" t="inlineStr">
        <is>
          <t>VÄSTERBOTTENS LÄN</t>
        </is>
      </c>
      <c r="G324" t="inlineStr">
        <is>
          <t>DOROTEA</t>
        </is>
      </c>
      <c r="I324" t="n">
        <v>10.3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46150</v>
      </c>
      <c r="E325" s="1" t="n">
        <v>46268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12.8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46153</v>
      </c>
      <c r="E326" s="1" t="n">
        <v>46268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21812-2026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46150</v>
      </c>
      <c r="E327" s="1" t="n">
        <v>46268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22214-2026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46268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22650-2026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46155</v>
      </c>
      <c r="E329" s="1" t="n">
        <v>46268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6.5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14163-2024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45392</v>
      </c>
      <c r="E330" s="1" t="n">
        <v>46268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23213-2022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44719</v>
      </c>
      <c r="E331" s="1" t="n">
        <v>46268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40435-2023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45169</v>
      </c>
      <c r="E332" s="1" t="n">
        <v>46268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44888</v>
      </c>
      <c r="E333" s="1" t="n">
        <v>46268</v>
      </c>
      <c r="F333" t="inlineStr">
        <is>
          <t>VÄSTERBOTTENS LÄN</t>
        </is>
      </c>
      <c r="G333" t="inlineStr">
        <is>
          <t>DOROTEA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44960</v>
      </c>
      <c r="E334" s="1" t="n">
        <v>46268</v>
      </c>
      <c r="F334" t="inlineStr">
        <is>
          <t>VÄSTERBOTTENS LÄN</t>
        </is>
      </c>
      <c r="G334" t="inlineStr">
        <is>
          <t>DOROTEA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46268</v>
      </c>
      <c r="F335" t="inlineStr">
        <is>
          <t>VÄSTERBOTTENS LÄN</t>
        </is>
      </c>
      <c r="G335" t="inlineStr">
        <is>
          <t>DOROTEA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15735-2026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46268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11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45161</v>
      </c>
      <c r="E337" s="1" t="n">
        <v>46268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40434-2023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45169</v>
      </c>
      <c r="E338" s="1" t="n">
        <v>46268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4958-2023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44956</v>
      </c>
      <c r="E339" s="1" t="n">
        <v>46268</v>
      </c>
      <c r="F339" t="inlineStr">
        <is>
          <t>VÄSTERBOTTENS LÄN</t>
        </is>
      </c>
      <c r="G339" t="inlineStr">
        <is>
          <t>DOROTEA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41353-2022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44824</v>
      </c>
      <c r="E340" s="1" t="n">
        <v>46268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45505</v>
      </c>
      <c r="E341" s="1" t="n">
        <v>46268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23001-2026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46160</v>
      </c>
      <c r="E342" s="1" t="n">
        <v>46268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30461-2024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45491</v>
      </c>
      <c r="E343" s="1" t="n">
        <v>46268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54031-2025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45962</v>
      </c>
      <c r="E344" s="1" t="n">
        <v>46268</v>
      </c>
      <c r="F344" t="inlineStr">
        <is>
          <t>VÄSTERBOTTENS LÄN</t>
        </is>
      </c>
      <c r="G344" t="inlineStr">
        <is>
          <t>DOROTEA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23214-2026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46268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46268</v>
      </c>
      <c r="F346" t="inlineStr">
        <is>
          <t>VÄSTERBOTTENS LÄN</t>
        </is>
      </c>
      <c r="G346" t="inlineStr">
        <is>
          <t>DOROTEA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60304-2022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44910</v>
      </c>
      <c r="E347" s="1" t="n">
        <v>46268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27199-2024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45471</v>
      </c>
      <c r="E348" s="1" t="n">
        <v>46268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45551</v>
      </c>
      <c r="E349" s="1" t="n">
        <v>46268</v>
      </c>
      <c r="F349" t="inlineStr">
        <is>
          <t>VÄSTERBOTTENS LÄN</t>
        </is>
      </c>
      <c r="G349" t="inlineStr">
        <is>
          <t>DOROTEA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45055</v>
      </c>
      <c r="E350" s="1" t="n">
        <v>46268</v>
      </c>
      <c r="F350" t="inlineStr">
        <is>
          <t>VÄSTERBOTTENS LÄN</t>
        </is>
      </c>
      <c r="G350" t="inlineStr">
        <is>
          <t>DOROTEA</t>
        </is>
      </c>
      <c r="H350" t="inlineStr">
        <is>
          <t>Övriga statliga verk och myndigheter</t>
        </is>
      </c>
      <c r="I350" t="n">
        <v>13.9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23336-2026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46162</v>
      </c>
      <c r="E351" s="1" t="n">
        <v>46268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23324-2026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46162</v>
      </c>
      <c r="E352" s="1" t="n">
        <v>46268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5.8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40438-2023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46268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50582-2024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45600</v>
      </c>
      <c r="E354" s="1" t="n">
        <v>46268</v>
      </c>
      <c r="F354" t="inlineStr">
        <is>
          <t>VÄSTERBOTTENS LÄN</t>
        </is>
      </c>
      <c r="G354" t="inlineStr">
        <is>
          <t>DOROTEA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45315</v>
      </c>
      <c r="E355" s="1" t="n">
        <v>46268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45771</v>
      </c>
      <c r="E356" s="1" t="n">
        <v>46268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44958</v>
      </c>
      <c r="E357" s="1" t="n">
        <v>46268</v>
      </c>
      <c r="F357" t="inlineStr">
        <is>
          <t>VÄSTERBOTTENS LÄN</t>
        </is>
      </c>
      <c r="G357" t="inlineStr">
        <is>
          <t>DOROTEA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25373-2026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46268</v>
      </c>
      <c r="F358" t="inlineStr">
        <is>
          <t>VÄSTERBOTTENS LÄN</t>
        </is>
      </c>
      <c r="G358" t="inlineStr">
        <is>
          <t>DOROTEA</t>
        </is>
      </c>
      <c r="I358" t="n">
        <v>7.9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44979</v>
      </c>
      <c r="E359" s="1" t="n">
        <v>46268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74013-2021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44557</v>
      </c>
      <c r="E360" s="1" t="n">
        <v>46268</v>
      </c>
      <c r="F360" t="inlineStr">
        <is>
          <t>VÄSTERBOTTENS LÄN</t>
        </is>
      </c>
      <c r="G360" t="inlineStr">
        <is>
          <t>DOROTEA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57794-2023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45246</v>
      </c>
      <c r="E361" s="1" t="n">
        <v>46268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46268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24839-2026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46268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11.8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42484-2024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45565</v>
      </c>
      <c r="E364" s="1" t="n">
        <v>46268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55919-2023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45239</v>
      </c>
      <c r="E365" s="1" t="n">
        <v>46268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7.2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25361-2026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46176</v>
      </c>
      <c r="E366" s="1" t="n">
        <v>46268</v>
      </c>
      <c r="F366" t="inlineStr">
        <is>
          <t>VÄSTERBOTTENS LÄN</t>
        </is>
      </c>
      <c r="G366" t="inlineStr">
        <is>
          <t>DOROTEA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25682-2026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46268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42228-2024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45562</v>
      </c>
      <c r="E368" s="1" t="n">
        <v>46268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46268</v>
      </c>
      <c r="F369" t="inlineStr">
        <is>
          <t>VÄSTERBOTTENS LÄN</t>
        </is>
      </c>
      <c r="G369" t="inlineStr">
        <is>
          <t>DOROTEA</t>
        </is>
      </c>
      <c r="I369" t="n">
        <v>26.2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26124-2026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46268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26237-2026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46182</v>
      </c>
      <c r="E371" s="1" t="n">
        <v>46268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46268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26255-2026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46268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47494-2023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45202</v>
      </c>
      <c r="E374" s="1" t="n">
        <v>46268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22942-2024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45448</v>
      </c>
      <c r="E375" s="1" t="n">
        <v>46268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17783-2023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45036</v>
      </c>
      <c r="E376" s="1" t="n">
        <v>46268</v>
      </c>
      <c r="F376" t="inlineStr">
        <is>
          <t>VÄSTERBOTTENS LÄN</t>
        </is>
      </c>
      <c r="G376" t="inlineStr">
        <is>
          <t>DOROTEA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42473-2024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45565</v>
      </c>
      <c r="E377" s="1" t="n">
        <v>46268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57070-2023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45244</v>
      </c>
      <c r="E378" s="1" t="n">
        <v>46268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46185</v>
      </c>
      <c r="E379" s="1" t="n">
        <v>46268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59007-2024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45636</v>
      </c>
      <c r="E380" s="1" t="n">
        <v>46268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22944-2024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45448</v>
      </c>
      <c r="E381" s="1" t="n">
        <v>46268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27738-2026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46191</v>
      </c>
      <c r="E382" s="1" t="n">
        <v>46268</v>
      </c>
      <c r="F382" t="inlineStr">
        <is>
          <t>VÄSTERBOTTENS LÄN</t>
        </is>
      </c>
      <c r="G382" t="inlineStr">
        <is>
          <t>DOROTEA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13170-2025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45735</v>
      </c>
      <c r="E383" s="1" t="n">
        <v>46268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42889-2024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45566</v>
      </c>
      <c r="E384" s="1" t="n">
        <v>46268</v>
      </c>
      <c r="F384" t="inlineStr">
        <is>
          <t>VÄSTERBOTTENS LÄN</t>
        </is>
      </c>
      <c r="G384" t="inlineStr">
        <is>
          <t>DOROTEA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2683-2023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44942</v>
      </c>
      <c r="E385" s="1" t="n">
        <v>46268</v>
      </c>
      <c r="F385" t="inlineStr">
        <is>
          <t>VÄSTERBOTTENS LÄN</t>
        </is>
      </c>
      <c r="G385" t="inlineStr">
        <is>
          <t>DOROTEA</t>
        </is>
      </c>
      <c r="I385" t="n">
        <v>22.7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58313-2024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45632</v>
      </c>
      <c r="E386" s="1" t="n">
        <v>46268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28180-2026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46268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28176-2026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46268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46268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49.5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33372-2024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45519</v>
      </c>
      <c r="E390" s="1" t="n">
        <v>46268</v>
      </c>
      <c r="F390" t="inlineStr">
        <is>
          <t>VÄSTERBOTTENS LÄN</t>
        </is>
      </c>
      <c r="G390" t="inlineStr">
        <is>
          <t>DOROTEA</t>
        </is>
      </c>
      <c r="I390" t="n">
        <v>8.9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46198</v>
      </c>
      <c r="E391" s="1" t="n">
        <v>46268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28783-2026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46198</v>
      </c>
      <c r="E392" s="1" t="n">
        <v>46268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4.6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46198</v>
      </c>
      <c r="E393" s="1" t="n">
        <v>46268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6.1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14320-2024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45393</v>
      </c>
      <c r="E394" s="1" t="n">
        <v>46268</v>
      </c>
      <c r="F394" t="inlineStr">
        <is>
          <t>VÄSTERBOTTENS LÄN</t>
        </is>
      </c>
      <c r="G394" t="inlineStr">
        <is>
          <t>DOROTEA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59418-2023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45253</v>
      </c>
      <c r="E395" s="1" t="n">
        <v>46268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29757-2026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46268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9.300000000000001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30570-2023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45111</v>
      </c>
      <c r="E397" s="1" t="n">
        <v>46268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42515-2023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46268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27.7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46247</v>
      </c>
      <c r="E399" s="1" t="n">
        <v>46268</v>
      </c>
      <c r="F399" t="inlineStr">
        <is>
          <t>VÄSTERBOTTENS LÄN</t>
        </is>
      </c>
      <c r="G399" t="inlineStr">
        <is>
          <t>DOROTEA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52148-2023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45223</v>
      </c>
      <c r="E400" s="1" t="n">
        <v>46268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46268</v>
      </c>
      <c r="F401" t="inlineStr">
        <is>
          <t>VÄSTERBOTTENS LÄN</t>
        </is>
      </c>
      <c r="G401" t="inlineStr">
        <is>
          <t>DOROTEA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30078-2026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46268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33514-2026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46248</v>
      </c>
      <c r="E403" s="1" t="n">
        <v>46268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30190-2026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46268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4617-2023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44956</v>
      </c>
      <c r="E405" s="1" t="n">
        <v>46268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34149-2026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46253</v>
      </c>
      <c r="E406" s="1" t="n">
        <v>46268</v>
      </c>
      <c r="F406" t="inlineStr">
        <is>
          <t>VÄSTERBOTTENS LÄN</t>
        </is>
      </c>
      <c r="G406" t="inlineStr">
        <is>
          <t>DOROTEA</t>
        </is>
      </c>
      <c r="I406" t="n">
        <v>11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46268</v>
      </c>
      <c r="F407" t="inlineStr">
        <is>
          <t>VÄSTERBOTTENS LÄN</t>
        </is>
      </c>
      <c r="G407" t="inlineStr">
        <is>
          <t>DOROTEA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46268</v>
      </c>
      <c r="F408" t="inlineStr">
        <is>
          <t>VÄSTERBOTTENS LÄN</t>
        </is>
      </c>
      <c r="G408" t="inlineStr">
        <is>
          <t>DOROTEA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56807-2021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44481</v>
      </c>
      <c r="E409" s="1" t="n">
        <v>46268</v>
      </c>
      <c r="F409" t="inlineStr">
        <is>
          <t>VÄSTERBOTTENS LÄN</t>
        </is>
      </c>
      <c r="G409" t="inlineStr">
        <is>
          <t>DOROTEA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34186-2026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46253</v>
      </c>
      <c r="E410" s="1" t="n">
        <v>46268</v>
      </c>
      <c r="F410" t="inlineStr">
        <is>
          <t>VÄSTERBOTTENS LÄN</t>
        </is>
      </c>
      <c r="G410" t="inlineStr">
        <is>
          <t>DOROTEA</t>
        </is>
      </c>
      <c r="I410" t="n">
        <v>13.6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59395-2023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45253</v>
      </c>
      <c r="E411" s="1" t="n">
        <v>46268</v>
      </c>
      <c r="F411" t="inlineStr">
        <is>
          <t>VÄSTERBOTTENS LÄN</t>
        </is>
      </c>
      <c r="G411" t="inlineStr">
        <is>
          <t>DOROTEA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59397-2023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45253</v>
      </c>
      <c r="E412" s="1" t="n">
        <v>46268</v>
      </c>
      <c r="F412" t="inlineStr">
        <is>
          <t>VÄSTERBOTTENS LÄN</t>
        </is>
      </c>
      <c r="G412" t="inlineStr">
        <is>
          <t>DOROTEA</t>
        </is>
      </c>
      <c r="I412" t="n">
        <v>8.5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35990-2023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46268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30645-2026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46211</v>
      </c>
      <c r="E414" s="1" t="n">
        <v>46268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30821-2026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46268</v>
      </c>
      <c r="F415" t="inlineStr">
        <is>
          <t>VÄSTERBOTTENS LÄN</t>
        </is>
      </c>
      <c r="G415" t="inlineStr">
        <is>
          <t>DOROTEA</t>
        </is>
      </c>
      <c r="I415" t="n">
        <v>8.4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34448-2026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46268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46818-2023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45198</v>
      </c>
      <c r="E417" s="1" t="n">
        <v>46268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46212</v>
      </c>
      <c r="E418" s="1" t="n">
        <v>46268</v>
      </c>
      <c r="F418" t="inlineStr">
        <is>
          <t>VÄSTERBOTTENS LÄN</t>
        </is>
      </c>
      <c r="G418" t="inlineStr">
        <is>
          <t>DOROTEA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46268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30740-2026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46211</v>
      </c>
      <c r="E420" s="1" t="n">
        <v>46268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57955-2021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44484</v>
      </c>
      <c r="E421" s="1" t="n">
        <v>46268</v>
      </c>
      <c r="F421" t="inlineStr">
        <is>
          <t>VÄSTERBOTTENS LÄN</t>
        </is>
      </c>
      <c r="G421" t="inlineStr">
        <is>
          <t>DOROTEA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57071-2023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45244</v>
      </c>
      <c r="E422" s="1" t="n">
        <v>46268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31016-2026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46213</v>
      </c>
      <c r="E423" s="1" t="n">
        <v>46268</v>
      </c>
      <c r="F423" t="inlineStr">
        <is>
          <t>VÄSTERBOTTENS LÄN</t>
        </is>
      </c>
      <c r="G423" t="inlineStr">
        <is>
          <t>DOROTEA</t>
        </is>
      </c>
      <c r="I423" t="n">
        <v>7.8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46213</v>
      </c>
      <c r="E424" s="1" t="n">
        <v>46268</v>
      </c>
      <c r="F424" t="inlineStr">
        <is>
          <t>VÄSTERBOTTENS LÄN</t>
        </is>
      </c>
      <c r="G424" t="inlineStr">
        <is>
          <t>DOROTEA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60145-2021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44494</v>
      </c>
      <c r="E425" s="1" t="n">
        <v>46268</v>
      </c>
      <c r="F425" t="inlineStr">
        <is>
          <t>VÄSTERBOTTENS LÄN</t>
        </is>
      </c>
      <c r="G425" t="inlineStr">
        <is>
          <t>DOROTEA</t>
        </is>
      </c>
      <c r="I425" t="n">
        <v>13.3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28549-2023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45103</v>
      </c>
      <c r="E426" s="1" t="n">
        <v>46268</v>
      </c>
      <c r="F426" t="inlineStr">
        <is>
          <t>VÄSTERBOTTENS LÄN</t>
        </is>
      </c>
      <c r="G426" t="inlineStr">
        <is>
          <t>DOROTEA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46218</v>
      </c>
      <c r="E427" s="1" t="n">
        <v>46268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46261</v>
      </c>
      <c r="E428" s="1" t="n">
        <v>46268</v>
      </c>
      <c r="F428" t="inlineStr">
        <is>
          <t>VÄSTERBOTTENS LÄN</t>
        </is>
      </c>
      <c r="G428" t="inlineStr">
        <is>
          <t>DOROTEA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31302-2026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46218</v>
      </c>
      <c r="E429" s="1" t="n">
        <v>46268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31181-2026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46217</v>
      </c>
      <c r="E430" s="1" t="n">
        <v>46268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15.6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35352-2026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46261</v>
      </c>
      <c r="E431" s="1" t="n">
        <v>46268</v>
      </c>
      <c r="F431" t="inlineStr">
        <is>
          <t>VÄSTERBOTTENS LÄN</t>
        </is>
      </c>
      <c r="G431" t="inlineStr">
        <is>
          <t>DOROTEA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46217</v>
      </c>
      <c r="E432" s="1" t="n">
        <v>46268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46218</v>
      </c>
      <c r="E433" s="1" t="n">
        <v>46268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35296-2026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46261</v>
      </c>
      <c r="E434" s="1" t="n">
        <v>46268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46261</v>
      </c>
      <c r="E435" s="1" t="n">
        <v>46268</v>
      </c>
      <c r="F435" t="inlineStr">
        <is>
          <t>VÄSTERBOTTENS LÄN</t>
        </is>
      </c>
      <c r="G435" t="inlineStr">
        <is>
          <t>DOROTEA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35353-2026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46261</v>
      </c>
      <c r="E436" s="1" t="n">
        <v>46268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31439-2026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46220</v>
      </c>
      <c r="E437" s="1" t="n">
        <v>46268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10.1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35500-2026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46262</v>
      </c>
      <c r="E438" s="1" t="n">
        <v>46268</v>
      </c>
      <c r="F438" t="inlineStr">
        <is>
          <t>VÄSTERBOTTENS LÄN</t>
        </is>
      </c>
      <c r="G438" t="inlineStr">
        <is>
          <t>DOROTEA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44848</v>
      </c>
      <c r="E439" s="1" t="n">
        <v>46268</v>
      </c>
      <c r="F439" t="inlineStr">
        <is>
          <t>VÄSTERBOTTENS LÄN</t>
        </is>
      </c>
      <c r="G439" t="inlineStr">
        <is>
          <t>DOROTEA</t>
        </is>
      </c>
      <c r="I439" t="n">
        <v>29.8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13035-2024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45385</v>
      </c>
      <c r="E440" s="1" t="n">
        <v>46268</v>
      </c>
      <c r="F440" t="inlineStr">
        <is>
          <t>VÄSTERBOTTENS LÄN</t>
        </is>
      </c>
      <c r="G440" t="inlineStr">
        <is>
          <t>DOROTEA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46966-2024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45586</v>
      </c>
      <c r="E441" s="1" t="n">
        <v>46268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Sveaskog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23300-2023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45075</v>
      </c>
      <c r="E442" s="1" t="n">
        <v>46268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28717-2022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44748</v>
      </c>
      <c r="E443" s="1" t="n">
        <v>46268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30059-2024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45488</v>
      </c>
      <c r="E444" s="1" t="n">
        <v>46268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43092-2023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46268</v>
      </c>
      <c r="F445" t="inlineStr">
        <is>
          <t>VÄSTERBOTTENS LÄN</t>
        </is>
      </c>
      <c r="G445" t="inlineStr">
        <is>
          <t>DOROTEA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46224</v>
      </c>
      <c r="E446" s="1" t="n">
        <v>46268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46224</v>
      </c>
      <c r="E447" s="1" t="n">
        <v>46268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46224</v>
      </c>
      <c r="E448" s="1" t="n">
        <v>46268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13023-2025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45734</v>
      </c>
      <c r="E449" s="1" t="n">
        <v>46268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45572</v>
      </c>
      <c r="E450" s="1" t="n">
        <v>46268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45478</v>
      </c>
      <c r="E451" s="1" t="n">
        <v>46268</v>
      </c>
      <c r="F451" t="inlineStr">
        <is>
          <t>VÄSTERBOTTENS LÄN</t>
        </is>
      </c>
      <c r="G451" t="inlineStr">
        <is>
          <t>DOROTEA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53382-2024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45614</v>
      </c>
      <c r="E452" s="1" t="n">
        <v>46268</v>
      </c>
      <c r="F452" t="inlineStr">
        <is>
          <t>VÄSTERBOTTENS LÄN</t>
        </is>
      </c>
      <c r="G452" t="inlineStr">
        <is>
          <t>DOROTEA</t>
        </is>
      </c>
      <c r="I452" t="n">
        <v>11.2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42104-2024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45562</v>
      </c>
      <c r="E453" s="1" t="n">
        <v>46268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45789</v>
      </c>
      <c r="E454" s="1" t="n">
        <v>46268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13451-2022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44645</v>
      </c>
      <c r="E455" s="1" t="n">
        <v>46268</v>
      </c>
      <c r="F455" t="inlineStr">
        <is>
          <t>VÄSTERBOTTENS LÄN</t>
        </is>
      </c>
      <c r="G455" t="inlineStr">
        <is>
          <t>DOROTEA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45771</v>
      </c>
      <c r="E456" s="1" t="n">
        <v>46268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34820-2023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45140</v>
      </c>
      <c r="E457" s="1" t="n">
        <v>46268</v>
      </c>
      <c r="F457" t="inlineStr">
        <is>
          <t>VÄSTERBOTTENS LÄN</t>
        </is>
      </c>
      <c r="G457" t="inlineStr">
        <is>
          <t>DOROTEA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29737-2024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45485</v>
      </c>
      <c r="E458" s="1" t="n">
        <v>46268</v>
      </c>
      <c r="F458" t="inlineStr">
        <is>
          <t>VÄSTERBOTTENS LÄN</t>
        </is>
      </c>
      <c r="G458" t="inlineStr">
        <is>
          <t>DOROTEA</t>
        </is>
      </c>
      <c r="I458" t="n">
        <v>10.2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45792</v>
      </c>
      <c r="E459" s="1" t="n">
        <v>46268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39470-2024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45551</v>
      </c>
      <c r="E460" s="1" t="n">
        <v>46268</v>
      </c>
      <c r="F460" t="inlineStr">
        <is>
          <t>VÄSTERBOTTENS LÄN</t>
        </is>
      </c>
      <c r="G460" t="inlineStr">
        <is>
          <t>DOROTEA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33113-2024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45517</v>
      </c>
      <c r="E461" s="1" t="n">
        <v>46268</v>
      </c>
      <c r="F461" t="inlineStr">
        <is>
          <t>VÄSTERBOTTENS LÄN</t>
        </is>
      </c>
      <c r="G461" t="inlineStr">
        <is>
          <t>DOROTEA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53380-2024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45614</v>
      </c>
      <c r="E462" s="1" t="n">
        <v>46268</v>
      </c>
      <c r="F462" t="inlineStr">
        <is>
          <t>VÄSTERBOTTENS LÄN</t>
        </is>
      </c>
      <c r="G462" t="inlineStr">
        <is>
          <t>DOROTEA</t>
        </is>
      </c>
      <c r="I462" t="n">
        <v>12.8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2945-2024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45506</v>
      </c>
      <c r="E463" s="1" t="n">
        <v>46268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1058-2025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45749</v>
      </c>
      <c r="E464" s="1" t="n">
        <v>46268</v>
      </c>
      <c r="F464" t="inlineStr">
        <is>
          <t>VÄSTERBOTTENS LÄN</t>
        </is>
      </c>
      <c r="G464" t="inlineStr">
        <is>
          <t>DOROTEA</t>
        </is>
      </c>
      <c r="I464" t="n">
        <v>10.9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844-2025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45733</v>
      </c>
      <c r="E465" s="1" t="n">
        <v>46268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1293.5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2195-2025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45858</v>
      </c>
      <c r="E466" s="1" t="n">
        <v>46268</v>
      </c>
      <c r="F466" t="inlineStr">
        <is>
          <t>VÄSTERBOTTENS LÄN</t>
        </is>
      </c>
      <c r="G466" t="inlineStr">
        <is>
          <t>DOROTEA</t>
        </is>
      </c>
      <c r="I466" t="n">
        <v>27.4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2283-2025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45876</v>
      </c>
      <c r="E467" s="1" t="n">
        <v>46268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2360-2025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45889</v>
      </c>
      <c r="E468" s="1" t="n">
        <v>46268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1763-2026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46189</v>
      </c>
      <c r="E469" s="1" t="n">
        <v>46268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2026-09-03T02:04:34Z</dcterms:created>
  <dcterms:modified xmlns:dcterms="http://purl.org/dc/terms/" xmlns:xsi="http://www.w3.org/2001/XMLSchema-instance" xsi:type="dcterms:W3CDTF">2026-09-03T02:04:35Z</dcterms:modified>
</cp:coreProperties>
</file>