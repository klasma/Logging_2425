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45565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45565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45565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45565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45565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45565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45565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45565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45565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45565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45565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45565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45565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45565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45565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45565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45565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45565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45565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45565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45565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45565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45565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45565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45565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45565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45565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45565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45565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45565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45565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45565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45565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45565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1978-2020</t>
        </is>
      </c>
      <c r="B36" s="1" t="n">
        <v>43838</v>
      </c>
      <c r="C36" s="1" t="n">
        <v>45565</v>
      </c>
      <c r="D36" t="inlineStr">
        <is>
          <t>VÄSTERBOTTENS LÄN</t>
        </is>
      </c>
      <c r="E36" t="inlineStr">
        <is>
          <t>DOROTEA</t>
        </is>
      </c>
      <c r="G36" t="n">
        <v>3.4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Rosenfink</t>
        </is>
      </c>
      <c r="S36">
        <f>HYPERLINK("https://klasma.github.io/Logging_2425/artfynd/A 1978-2020 artfynd.xlsx", "A 1978-2020")</f>
        <v/>
      </c>
      <c r="T36">
        <f>HYPERLINK("https://klasma.github.io/Logging_2425/kartor/A 1978-2020 karta.png", "A 1978-2020")</f>
        <v/>
      </c>
      <c r="V36">
        <f>HYPERLINK("https://klasma.github.io/Logging_2425/klagomål/A 1978-2020 FSC-klagomål.docx", "A 1978-2020")</f>
        <v/>
      </c>
      <c r="W36">
        <f>HYPERLINK("https://klasma.github.io/Logging_2425/klagomålsmail/A 1978-2020 FSC-klagomål mail.docx", "A 1978-2020")</f>
        <v/>
      </c>
      <c r="X36">
        <f>HYPERLINK("https://klasma.github.io/Logging_2425/tillsyn/A 1978-2020 tillsynsbegäran.docx", "A 1978-2020")</f>
        <v/>
      </c>
      <c r="Y36">
        <f>HYPERLINK("https://klasma.github.io/Logging_2425/tillsynsmail/A 1978-2020 tillsynsbegäran mail.docx", "A 1978-2020")</f>
        <v/>
      </c>
      <c r="Z36">
        <f>HYPERLINK("https://klasma.github.io/Logging_2425/fåglar/A 1978-2020 prioriterade fågelarter.docx", "A 1978-2020")</f>
        <v/>
      </c>
    </row>
    <row r="37" ht="15" customHeight="1">
      <c r="A37" t="inlineStr">
        <is>
          <t>A 49683-2020</t>
        </is>
      </c>
      <c r="B37" s="1" t="n">
        <v>44104</v>
      </c>
      <c r="C37" s="1" t="n">
        <v>45565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1.1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Rynkskinn</t>
        </is>
      </c>
      <c r="S37">
        <f>HYPERLINK("https://klasma.github.io/Logging_2425/artfynd/A 49683-2020 artfynd.xlsx", "A 49683-2020")</f>
        <v/>
      </c>
      <c r="T37">
        <f>HYPERLINK("https://klasma.github.io/Logging_2425/kartor/A 49683-2020 karta.png", "A 49683-2020")</f>
        <v/>
      </c>
      <c r="V37">
        <f>HYPERLINK("https://klasma.github.io/Logging_2425/klagomål/A 49683-2020 FSC-klagomål.docx", "A 49683-2020")</f>
        <v/>
      </c>
      <c r="W37">
        <f>HYPERLINK("https://klasma.github.io/Logging_2425/klagomålsmail/A 49683-2020 FSC-klagomål mail.docx", "A 49683-2020")</f>
        <v/>
      </c>
      <c r="X37">
        <f>HYPERLINK("https://klasma.github.io/Logging_2425/tillsyn/A 49683-2020 tillsynsbegäran.docx", "A 49683-2020")</f>
        <v/>
      </c>
      <c r="Y37">
        <f>HYPERLINK("https://klasma.github.io/Logging_2425/tillsynsmail/A 49683-2020 tillsynsbegäran mail.docx", "A 49683-2020")</f>
        <v/>
      </c>
    </row>
    <row r="38" ht="15" customHeight="1">
      <c r="A38" t="inlineStr">
        <is>
          <t>A 44036-2022</t>
        </is>
      </c>
      <c r="B38" s="1" t="n">
        <v>44838</v>
      </c>
      <c r="C38" s="1" t="n">
        <v>45565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6.3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HYPERLINK("https://klasma.github.io/Logging_2425/artfynd/A 44036-2022 artfynd.xlsx", "A 44036-2022")</f>
        <v/>
      </c>
      <c r="T38">
        <f>HYPERLINK("https://klasma.github.io/Logging_2425/kartor/A 44036-2022 karta.png", "A 44036-2022")</f>
        <v/>
      </c>
      <c r="V38">
        <f>HYPERLINK("https://klasma.github.io/Logging_2425/klagomål/A 44036-2022 FSC-klagomål.docx", "A 44036-2022")</f>
        <v/>
      </c>
      <c r="W38">
        <f>HYPERLINK("https://klasma.github.io/Logging_2425/klagomålsmail/A 44036-2022 FSC-klagomål mail.docx", "A 44036-2022")</f>
        <v/>
      </c>
      <c r="X38">
        <f>HYPERLINK("https://klasma.github.io/Logging_2425/tillsyn/A 44036-2022 tillsynsbegäran.docx", "A 44036-2022")</f>
        <v/>
      </c>
      <c r="Y38">
        <f>HYPERLINK("https://klasma.github.io/Logging_2425/tillsynsmail/A 44036-2022 tillsynsbegäran mail.docx", "A 44036-2022")</f>
        <v/>
      </c>
    </row>
    <row r="39" ht="15" customHeight="1">
      <c r="A39" t="inlineStr">
        <is>
          <t>A 44389-2022</t>
        </is>
      </c>
      <c r="B39" s="1" t="n">
        <v>44838</v>
      </c>
      <c r="C39" s="1" t="n">
        <v>45565</v>
      </c>
      <c r="D39" t="inlineStr">
        <is>
          <t>VÄSTERBOTTENS LÄN</t>
        </is>
      </c>
      <c r="E39" t="inlineStr">
        <is>
          <t>DOROTEA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HYPERLINK("https://klasma.github.io/Logging_2425/artfynd/A 44389-2022 artfynd.xlsx", "A 44389-2022")</f>
        <v/>
      </c>
      <c r="T39">
        <f>HYPERLINK("https://klasma.github.io/Logging_2425/kartor/A 44389-2022 karta.png", "A 44389-2022")</f>
        <v/>
      </c>
      <c r="V39">
        <f>HYPERLINK("https://klasma.github.io/Logging_2425/klagomål/A 44389-2022 FSC-klagomål.docx", "A 44389-2022")</f>
        <v/>
      </c>
      <c r="W39">
        <f>HYPERLINK("https://klasma.github.io/Logging_2425/klagomålsmail/A 44389-2022 FSC-klagomål mail.docx", "A 44389-2022")</f>
        <v/>
      </c>
      <c r="X39">
        <f>HYPERLINK("https://klasma.github.io/Logging_2425/tillsyn/A 44389-2022 tillsynsbegäran.docx", "A 44389-2022")</f>
        <v/>
      </c>
      <c r="Y39">
        <f>HYPERLINK("https://klasma.github.io/Logging_2425/tillsynsmail/A 44389-2022 tillsynsbegäran mail.docx", "A 44389-2022")</f>
        <v/>
      </c>
    </row>
    <row r="40" ht="15" customHeight="1">
      <c r="A40" t="inlineStr">
        <is>
          <t>A 48089-2022</t>
        </is>
      </c>
      <c r="B40" s="1" t="n">
        <v>44855</v>
      </c>
      <c r="C40" s="1" t="n">
        <v>45565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9.199999999999999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Gammelgransskål</t>
        </is>
      </c>
      <c r="S40">
        <f>HYPERLINK("https://klasma.github.io/Logging_2425/artfynd/A 48089-2022 artfynd.xlsx", "A 48089-2022")</f>
        <v/>
      </c>
      <c r="T40">
        <f>HYPERLINK("https://klasma.github.io/Logging_2425/kartor/A 48089-2022 karta.png", "A 48089-2022")</f>
        <v/>
      </c>
      <c r="V40">
        <f>HYPERLINK("https://klasma.github.io/Logging_2425/klagomål/A 48089-2022 FSC-klagomål.docx", "A 48089-2022")</f>
        <v/>
      </c>
      <c r="W40">
        <f>HYPERLINK("https://klasma.github.io/Logging_2425/klagomålsmail/A 48089-2022 FSC-klagomål mail.docx", "A 48089-2022")</f>
        <v/>
      </c>
      <c r="X40">
        <f>HYPERLINK("https://klasma.github.io/Logging_2425/tillsyn/A 48089-2022 tillsynsbegäran.docx", "A 48089-2022")</f>
        <v/>
      </c>
      <c r="Y40">
        <f>HYPERLINK("https://klasma.github.io/Logging_2425/tillsynsmail/A 48089-2022 tillsynsbegäran mail.docx", "A 48089-2022")</f>
        <v/>
      </c>
    </row>
    <row r="41" ht="15" customHeight="1">
      <c r="A41" t="inlineStr">
        <is>
          <t>A 4341-2023</t>
        </is>
      </c>
      <c r="B41" s="1" t="n">
        <v>44953</v>
      </c>
      <c r="C41" s="1" t="n">
        <v>45565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1.7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Luddlav</t>
        </is>
      </c>
      <c r="S41">
        <f>HYPERLINK("https://klasma.github.io/Logging_2425/artfynd/A 4341-2023 artfynd.xlsx", "A 4341-2023")</f>
        <v/>
      </c>
      <c r="T41">
        <f>HYPERLINK("https://klasma.github.io/Logging_2425/kartor/A 4341-2023 karta.png", "A 4341-2023")</f>
        <v/>
      </c>
      <c r="V41">
        <f>HYPERLINK("https://klasma.github.io/Logging_2425/klagomål/A 4341-2023 FSC-klagomål.docx", "A 4341-2023")</f>
        <v/>
      </c>
      <c r="W41">
        <f>HYPERLINK("https://klasma.github.io/Logging_2425/klagomålsmail/A 4341-2023 FSC-klagomål mail.docx", "A 4341-2023")</f>
        <v/>
      </c>
      <c r="X41">
        <f>HYPERLINK("https://klasma.github.io/Logging_2425/tillsyn/A 4341-2023 tillsynsbegäran.docx", "A 4341-2023")</f>
        <v/>
      </c>
      <c r="Y41">
        <f>HYPERLINK("https://klasma.github.io/Logging_2425/tillsynsmail/A 4341-2023 tillsynsbegäran mail.docx", "A 4341-2023")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45565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46815-2023</t>
        </is>
      </c>
      <c r="B43" s="1" t="n">
        <v>45198</v>
      </c>
      <c r="C43" s="1" t="n">
        <v>45565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3.7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Harticka</t>
        </is>
      </c>
      <c r="S43">
        <f>HYPERLINK("https://klasma.github.io/Logging_2425/artfynd/A 46815-2023 artfynd.xlsx", "A 46815-2023")</f>
        <v/>
      </c>
      <c r="T43">
        <f>HYPERLINK("https://klasma.github.io/Logging_2425/kartor/A 46815-2023 karta.png", "A 46815-2023")</f>
        <v/>
      </c>
      <c r="V43">
        <f>HYPERLINK("https://klasma.github.io/Logging_2425/klagomål/A 46815-2023 FSC-klagomål.docx", "A 46815-2023")</f>
        <v/>
      </c>
      <c r="W43">
        <f>HYPERLINK("https://klasma.github.io/Logging_2425/klagomålsmail/A 46815-2023 FSC-klagomål mail.docx", "A 46815-2023")</f>
        <v/>
      </c>
      <c r="X43">
        <f>HYPERLINK("https://klasma.github.io/Logging_2425/tillsyn/A 46815-2023 tillsynsbegäran.docx", "A 46815-2023")</f>
        <v/>
      </c>
      <c r="Y43">
        <f>HYPERLINK("https://klasma.github.io/Logging_2425/tillsynsmail/A 46815-2023 tillsynsbegäran mail.docx", "A 46815-2023")</f>
        <v/>
      </c>
    </row>
    <row r="44" ht="15" customHeight="1">
      <c r="A44" t="inlineStr">
        <is>
          <t>A 18973-2024</t>
        </is>
      </c>
      <c r="B44" s="1" t="n">
        <v>45427</v>
      </c>
      <c r="C44" s="1" t="n">
        <v>45565</v>
      </c>
      <c r="D44" t="inlineStr">
        <is>
          <t>VÄSTERBOTTENS LÄN</t>
        </is>
      </c>
      <c r="E44" t="inlineStr">
        <is>
          <t>DOROTEA</t>
        </is>
      </c>
      <c r="G44" t="n">
        <v>19.7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Brudsporre</t>
        </is>
      </c>
      <c r="S44">
        <f>HYPERLINK("https://klasma.github.io/Logging_2425/artfynd/A 18973-2024 artfynd.xlsx", "A 18973-2024")</f>
        <v/>
      </c>
      <c r="T44">
        <f>HYPERLINK("https://klasma.github.io/Logging_2425/kartor/A 18973-2024 karta.png", "A 18973-2024")</f>
        <v/>
      </c>
      <c r="V44">
        <f>HYPERLINK("https://klasma.github.io/Logging_2425/klagomål/A 18973-2024 FSC-klagomål.docx", "A 18973-2024")</f>
        <v/>
      </c>
      <c r="W44">
        <f>HYPERLINK("https://klasma.github.io/Logging_2425/klagomålsmail/A 18973-2024 FSC-klagomål mail.docx", "A 18973-2024")</f>
        <v/>
      </c>
      <c r="X44">
        <f>HYPERLINK("https://klasma.github.io/Logging_2425/tillsyn/A 18973-2024 tillsynsbegäran.docx", "A 18973-2024")</f>
        <v/>
      </c>
      <c r="Y44">
        <f>HYPERLINK("https://klasma.github.io/Logging_2425/tillsynsmail/A 18973-2024 tillsynsbegäran mail.docx", "A 18973-2024")</f>
        <v/>
      </c>
    </row>
    <row r="45" ht="15" customHeight="1">
      <c r="A45" t="inlineStr">
        <is>
          <t>A 27234-2024</t>
        </is>
      </c>
      <c r="B45" s="1" t="n">
        <v>45471</v>
      </c>
      <c r="C45" s="1" t="n">
        <v>45565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2.2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HYPERLINK("https://klasma.github.io/Logging_2425/artfynd/A 27234-2024 artfynd.xlsx", "A 27234-2024")</f>
        <v/>
      </c>
      <c r="T45">
        <f>HYPERLINK("https://klasma.github.io/Logging_2425/kartor/A 27234-2024 karta.png", "A 27234-2024")</f>
        <v/>
      </c>
      <c r="V45">
        <f>HYPERLINK("https://klasma.github.io/Logging_2425/klagomål/A 27234-2024 FSC-klagomål.docx", "A 27234-2024")</f>
        <v/>
      </c>
      <c r="W45">
        <f>HYPERLINK("https://klasma.github.io/Logging_2425/klagomålsmail/A 27234-2024 FSC-klagomål mail.docx", "A 27234-2024")</f>
        <v/>
      </c>
      <c r="X45">
        <f>HYPERLINK("https://klasma.github.io/Logging_2425/tillsyn/A 27234-2024 tillsynsbegäran.docx", "A 27234-2024")</f>
        <v/>
      </c>
      <c r="Y45">
        <f>HYPERLINK("https://klasma.github.io/Logging_2425/tillsynsmail/A 27234-2024 tillsynsbegäran mail.docx", "A 27234-2024")</f>
        <v/>
      </c>
    </row>
    <row r="46" ht="15" customHeight="1">
      <c r="A46" t="inlineStr">
        <is>
          <t>A 30373-2024</t>
        </is>
      </c>
      <c r="B46" s="1" t="n">
        <v>45491</v>
      </c>
      <c r="C46" s="1" t="n">
        <v>45565</v>
      </c>
      <c r="D46" t="inlineStr">
        <is>
          <t>VÄSTERBOTTENS LÄN</t>
        </is>
      </c>
      <c r="E46" t="inlineStr">
        <is>
          <t>DOROTEA</t>
        </is>
      </c>
      <c r="F46" t="inlineStr">
        <is>
          <t>Sveaskog</t>
        </is>
      </c>
      <c r="G46" t="n">
        <v>13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HYPERLINK("https://klasma.github.io/Logging_2425/artfynd/A 30373-2024 artfynd.xlsx", "A 30373-2024")</f>
        <v/>
      </c>
      <c r="T46">
        <f>HYPERLINK("https://klasma.github.io/Logging_2425/kartor/A 30373-2024 karta.png", "A 30373-2024")</f>
        <v/>
      </c>
      <c r="V46">
        <f>HYPERLINK("https://klasma.github.io/Logging_2425/klagomål/A 30373-2024 FSC-klagomål.docx", "A 30373-2024")</f>
        <v/>
      </c>
      <c r="W46">
        <f>HYPERLINK("https://klasma.github.io/Logging_2425/klagomålsmail/A 30373-2024 FSC-klagomål mail.docx", "A 30373-2024")</f>
        <v/>
      </c>
      <c r="X46">
        <f>HYPERLINK("https://klasma.github.io/Logging_2425/tillsyn/A 30373-2024 tillsynsbegäran.docx", "A 30373-2024")</f>
        <v/>
      </c>
      <c r="Y46">
        <f>HYPERLINK("https://klasma.github.io/Logging_2425/tillsynsmail/A 30373-2024 tillsynsbegäran mail.docx", "A 30373-2024")</f>
        <v/>
      </c>
    </row>
    <row r="47" ht="15" customHeight="1">
      <c r="A47" t="inlineStr">
        <is>
          <t>A 34750-2024</t>
        </is>
      </c>
      <c r="B47" s="1" t="n">
        <v>45526</v>
      </c>
      <c r="C47" s="1" t="n">
        <v>45565</v>
      </c>
      <c r="D47" t="inlineStr">
        <is>
          <t>VÄSTERBOTTENS LÄN</t>
        </is>
      </c>
      <c r="E47" t="inlineStr">
        <is>
          <t>DOROTEA</t>
        </is>
      </c>
      <c r="F47" t="inlineStr">
        <is>
          <t>SCA</t>
        </is>
      </c>
      <c r="G47" t="n">
        <v>4.6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HYPERLINK("https://klasma.github.io/Logging_2425/artfynd/A 34750-2024 artfynd.xlsx", "A 34750-2024")</f>
        <v/>
      </c>
      <c r="T47">
        <f>HYPERLINK("https://klasma.github.io/Logging_2425/kartor/A 34750-2024 karta.png", "A 34750-2024")</f>
        <v/>
      </c>
      <c r="V47">
        <f>HYPERLINK("https://klasma.github.io/Logging_2425/klagomål/A 34750-2024 FSC-klagomål.docx", "A 34750-2024")</f>
        <v/>
      </c>
      <c r="W47">
        <f>HYPERLINK("https://klasma.github.io/Logging_2425/klagomålsmail/A 34750-2024 FSC-klagomål mail.docx", "A 34750-2024")</f>
        <v/>
      </c>
      <c r="X47">
        <f>HYPERLINK("https://klasma.github.io/Logging_2425/tillsyn/A 34750-2024 tillsynsbegäran.docx", "A 34750-2024")</f>
        <v/>
      </c>
      <c r="Y47">
        <f>HYPERLINK("https://klasma.github.io/Logging_2425/tillsynsmail/A 34750-2024 tillsynsbegäran mail.docx", "A 34750-2024")</f>
        <v/>
      </c>
    </row>
    <row r="48" ht="15" customHeight="1">
      <c r="A48" t="inlineStr">
        <is>
          <t>A 36318-2024</t>
        </is>
      </c>
      <c r="B48" s="1" t="n">
        <v>45534</v>
      </c>
      <c r="C48" s="1" t="n">
        <v>45565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2.5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HYPERLINK("https://klasma.github.io/Logging_2425/artfynd/A 36318-2024 artfynd.xlsx", "A 36318-2024")</f>
        <v/>
      </c>
      <c r="T48">
        <f>HYPERLINK("https://klasma.github.io/Logging_2425/kartor/A 36318-2024 karta.png", "A 36318-2024")</f>
        <v/>
      </c>
      <c r="V48">
        <f>HYPERLINK("https://klasma.github.io/Logging_2425/klagomål/A 36318-2024 FSC-klagomål.docx", "A 36318-2024")</f>
        <v/>
      </c>
      <c r="W48">
        <f>HYPERLINK("https://klasma.github.io/Logging_2425/klagomålsmail/A 36318-2024 FSC-klagomål mail.docx", "A 36318-2024")</f>
        <v/>
      </c>
      <c r="X48">
        <f>HYPERLINK("https://klasma.github.io/Logging_2425/tillsyn/A 36318-2024 tillsynsbegäran.docx", "A 36318-2024")</f>
        <v/>
      </c>
      <c r="Y48">
        <f>HYPERLINK("https://klasma.github.io/Logging_2425/tillsynsmail/A 36318-2024 tillsynsbegäran mail.docx", "A 36318-2024")</f>
        <v/>
      </c>
    </row>
    <row r="49" ht="15" customHeight="1">
      <c r="A49" t="inlineStr">
        <is>
          <t>A 18757-2019</t>
        </is>
      </c>
      <c r="B49" s="1" t="n">
        <v>43560</v>
      </c>
      <c r="C49" s="1" t="n">
        <v>45565</v>
      </c>
      <c r="D49" t="inlineStr">
        <is>
          <t>VÄSTERBOTTENS LÄN</t>
        </is>
      </c>
      <c r="E49" t="inlineStr">
        <is>
          <t>DOROTEA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19709-2019</t>
        </is>
      </c>
      <c r="B50" s="1" t="n">
        <v>43566</v>
      </c>
      <c r="C50" s="1" t="n">
        <v>45565</v>
      </c>
      <c r="D50" t="inlineStr">
        <is>
          <t>VÄSTERBOTTENS LÄN</t>
        </is>
      </c>
      <c r="E50" t="inlineStr">
        <is>
          <t>DOROTEA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22272-2019</t>
        </is>
      </c>
      <c r="B51" s="1" t="n">
        <v>43585</v>
      </c>
      <c r="C51" s="1" t="n">
        <v>45565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21.6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22590-2019</t>
        </is>
      </c>
      <c r="B52" s="1" t="n">
        <v>43587</v>
      </c>
      <c r="C52" s="1" t="n">
        <v>45565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23064-2019</t>
        </is>
      </c>
      <c r="B53" s="1" t="n">
        <v>43591</v>
      </c>
      <c r="C53" s="1" t="n">
        <v>45565</v>
      </c>
      <c r="D53" t="inlineStr">
        <is>
          <t>VÄSTERBOTTENS LÄN</t>
        </is>
      </c>
      <c r="E53" t="inlineStr">
        <is>
          <t>DOROTEA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45565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45565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45565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45565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45565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45565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45565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45565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45565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45565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45565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45565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45565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45565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45565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45565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45565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45565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45565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45565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45565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45565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45565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45565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45565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45565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45565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45565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45565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45565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45565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45565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45565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45565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45565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45565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45565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45565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45565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45565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45565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45565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45565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45565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45565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45565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45565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45565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45565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45565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45565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45565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45565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45565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45565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45565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45565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45565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45565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45565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45565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45565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45565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45565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45565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45565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45565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45565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45565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45565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45565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45565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45565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45565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45565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45565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45565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45565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45565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45565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45565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45565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45565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45565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45565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45565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45565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45565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45565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45565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45565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45565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45565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45565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45565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45565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45565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45565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45565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45565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45565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45565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45565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45565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45565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45565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45565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45565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45565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45565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45565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45565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45565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45565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45565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45565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45565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45565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45565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45565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45565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45565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45565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45565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45565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45565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45565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45565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45565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45565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45565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45565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45565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45565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45565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45565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45565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45565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45565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45565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45565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45565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45565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45565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45565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45565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45565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45565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45565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45565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45565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45565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45565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45565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45565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45565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45565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45565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45565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45565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45565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45565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45565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45565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45565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45565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45565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45565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45565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45565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45565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45565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45565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45565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45565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45565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45565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45565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45565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45565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45565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45565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45565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45565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45565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45565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45565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45565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45565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45565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45565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45565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45565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45565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45565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45565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45565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45565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45565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45565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45565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45565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45565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45565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45565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45565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45565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45565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45565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45565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45565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45565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45565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45565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45565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45565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45565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45565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45565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45565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45565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45565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45565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45565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45565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45565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45565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45565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45565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45565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45565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45565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45565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45565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45565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45565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45565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45565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45565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45565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45565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45565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45565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45565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45565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45565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45565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45565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45565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45565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45565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45565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45565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45565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45565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45565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45565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45565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45565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45565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45565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45565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45565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45565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45565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45565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45565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45565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45565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45565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45565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45565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45565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45565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45565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45565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45565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45565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45565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45565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45565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45565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45565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45565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45565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45565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45565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45565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45565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45565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45565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45565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45565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45565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45565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45565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45565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45565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45565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45565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45565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45565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45565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45565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45565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45565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45565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45565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45565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45565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45565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45565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45565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45565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45565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45565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45565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45565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45565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45565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45565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45565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45565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45565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45565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45565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45565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45565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45565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45565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45565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45565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45565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45565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45565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45565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45565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45565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45565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45565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45565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45565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45565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45565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45565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45565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45565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45565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45565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45565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45565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45565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45565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45565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45565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45565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45565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45565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45565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45565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45565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45565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45565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45565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45565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45565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45565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45565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45565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45565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45565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45565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45565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45565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45565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45565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45565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45565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45565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45565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45565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45565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45565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45565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45565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45565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45565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45565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45565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45565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45565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45565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45565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45565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45565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45565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45565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45565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45565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45565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45565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45565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45565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45565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45565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45565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45565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45565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45565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45565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45565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45565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45565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45565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45565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45565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45565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45565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45565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45565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45565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45565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45565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45565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45565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45565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45565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45565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45565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45565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45565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45565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45565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45565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45565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45565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45565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45565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45565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45565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45565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45565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45565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45565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45565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45565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45565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45565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45565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45565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45565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45565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45565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45565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45565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45565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45565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45565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45565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45565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45565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45565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45565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45565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45565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45565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45565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45565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45565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45565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45565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45565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45565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45565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45565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45565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45565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45565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45565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45565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45565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45565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45565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45565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45565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45565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45565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45565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45565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45565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45565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45565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45565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45565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45565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45565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45565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45565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45565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45565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45565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45565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45565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45565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45565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45565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45565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45565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45565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45565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45565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45565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45565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45565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45565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45565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45565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38697-2024</t>
        </is>
      </c>
      <c r="B571" s="1" t="n">
        <v>45547</v>
      </c>
      <c r="C571" s="1" t="n">
        <v>45565</v>
      </c>
      <c r="D571" t="inlineStr">
        <is>
          <t>VÄSTERBOTTENS LÄN</t>
        </is>
      </c>
      <c r="E571" t="inlineStr">
        <is>
          <t>DOROTEA</t>
        </is>
      </c>
      <c r="G571" t="n">
        <v>8.199999999999999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38700-2024</t>
        </is>
      </c>
      <c r="B572" s="1" t="n">
        <v>45547</v>
      </c>
      <c r="C572" s="1" t="n">
        <v>45565</v>
      </c>
      <c r="D572" t="inlineStr">
        <is>
          <t>VÄSTERBOTTENS LÄN</t>
        </is>
      </c>
      <c r="E572" t="inlineStr">
        <is>
          <t>DOROTEA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39471-2024</t>
        </is>
      </c>
      <c r="B573" s="1" t="n">
        <v>45551</v>
      </c>
      <c r="C573" s="1" t="n">
        <v>45565</v>
      </c>
      <c r="D573" t="inlineStr">
        <is>
          <t>VÄSTERBOTTENS LÄN</t>
        </is>
      </c>
      <c r="E573" t="inlineStr">
        <is>
          <t>DOROTEA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39470-2024</t>
        </is>
      </c>
      <c r="B574" s="1" t="n">
        <v>45551</v>
      </c>
      <c r="C574" s="1" t="n">
        <v>45565</v>
      </c>
      <c r="D574" t="inlineStr">
        <is>
          <t>VÄSTERBOTTENS LÄN</t>
        </is>
      </c>
      <c r="E574" t="inlineStr">
        <is>
          <t>DOROTEA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45565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45565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45565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45565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45565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45565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45565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45565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45565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>
      <c r="A584" t="inlineStr">
        <is>
          <t>A 42228-2024</t>
        </is>
      </c>
      <c r="B584" s="1" t="n">
        <v>45562</v>
      </c>
      <c r="C584" s="1" t="n">
        <v>45565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2024-09-30T16:52:45Z</dcterms:created>
  <dcterms:modified xmlns:dcterms="http://purl.org/dc/terms/" xmlns:xsi="http://www.w3.org/2001/XMLSchema-instance" xsi:type="dcterms:W3CDTF">2024-09-30T16:52:45Z</dcterms:modified>
</cp:coreProperties>
</file>