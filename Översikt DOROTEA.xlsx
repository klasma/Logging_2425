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46289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46289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46289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46289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46289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46289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46289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46289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46289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46289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46289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46289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46289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46289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46289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46289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46289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46289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46289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46289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46289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46289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46289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46289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46289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46289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46289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46289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36318-2024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46289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8</v>
      </c>
      <c r="U38" t="n">
        <v>8</v>
      </c>
      <c r="V38" s="2" t="inlineStr">
        <is>
          <t>Garnlav</t>
        </is>
      </c>
      <c r="W38">
        <f>HYPERLINK("https://klasma.github.io/Logging_2425/artfynd/A 36318-2024 artfynd.xlsx", "A 36318-2024")</f>
        <v/>
      </c>
      <c r="X38">
        <f>HYPERLINK("https://klasma.github.io/Logging_2425/kartor/A 36318-2024 karta.png", "A 36318-2024")</f>
        <v/>
      </c>
      <c r="Y38">
        <f>HYPERLINK("https://klasma.github.io/Logging_2425/kartor_geotiff/A 36318-2024 georefererad karta.tif", "A 36318-2024")</f>
        <v/>
      </c>
      <c r="AA38">
        <f>HYPERLINK("https://klasma.github.io/Logging_2425/klagomål/A 36318-2024 FSC-klagomål.docx", "A 36318-2024")</f>
        <v/>
      </c>
      <c r="AB38">
        <f>HYPERLINK("https://klasma.github.io/Logging_2425/klagomålsmail/A 36318-2024 FSC-klagomål mail.docx", "A 36318-2024")</f>
        <v/>
      </c>
      <c r="AC38">
        <f>HYPERLINK("https://klasma.github.io/Logging_2425/tillsyn/A 36318-2024 tillsynsbegäran.docx", "A 36318-2024")</f>
        <v/>
      </c>
      <c r="AD38">
        <f>HYPERLINK("https://klasma.github.io/Logging_2425/tillsynsmail/A 36318-2024 tillsynsbegäran mail.docx", "A 36318-2024")</f>
        <v/>
      </c>
    </row>
    <row r="39" ht="15" customHeight="1">
      <c r="A39" t="inlineStr">
        <is>
          <t>A 48089-2022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44855</v>
      </c>
      <c r="E39" s="1" t="n">
        <v>46289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9.199999999999999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Gammelgransskål</t>
        </is>
      </c>
      <c r="W39">
        <f>HYPERLINK("https://klasma.github.io/Logging_2425/artfynd/A 48089-2022 artfynd.xlsx", "A 48089-2022")</f>
        <v/>
      </c>
      <c r="X39">
        <f>HYPERLINK("https://klasma.github.io/Logging_2425/kartor/A 48089-2022 karta.png", "A 48089-2022")</f>
        <v/>
      </c>
      <c r="Y39">
        <f>HYPERLINK("https://klasma.github.io/Logging_2425/kartor_geotiff/A 48089-2022 georefererad karta.tif", "A 48089-2022")</f>
        <v/>
      </c>
      <c r="AA39">
        <f>HYPERLINK("https://klasma.github.io/Logging_2425/klagomål/A 48089-2022 FSC-klagomål.docx", "A 48089-2022")</f>
        <v/>
      </c>
      <c r="AB39">
        <f>HYPERLINK("https://klasma.github.io/Logging_2425/klagomålsmail/A 48089-2022 FSC-klagomål mail.docx", "A 48089-2022")</f>
        <v/>
      </c>
      <c r="AC39">
        <f>HYPERLINK("https://klasma.github.io/Logging_2425/tillsyn/A 48089-2022 tillsynsbegäran.docx", "A 48089-2022")</f>
        <v/>
      </c>
      <c r="AD39">
        <f>HYPERLINK("https://klasma.github.io/Logging_2425/tillsynsmail/A 48089-2022 tillsynsbegäran mail.docx", "A 48089-2022")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46289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39686-2025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46289</v>
      </c>
      <c r="F41" t="inlineStr">
        <is>
          <t>VÄSTERBOTTENS LÄN</t>
        </is>
      </c>
      <c r="G41" t="inlineStr">
        <is>
          <t>DOROTEA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HYPERLINK("https://klasma.github.io/Logging_2425/artfynd/A 39686-2025 artfynd.xlsx", "A 39686-2025")</f>
        <v/>
      </c>
      <c r="X41">
        <f>HYPERLINK("https://klasma.github.io/Logging_2425/kartor/A 39686-2025 karta.png", "A 39686-2025")</f>
        <v/>
      </c>
      <c r="Y41">
        <f>HYPERLINK("https://klasma.github.io/Logging_2425/kartor_geotiff/A 39686-2025 georefererad karta.tif", "A 39686-2025")</f>
        <v/>
      </c>
      <c r="AA41">
        <f>HYPERLINK("https://klasma.github.io/Logging_2425/klagomål/A 39686-2025 FSC-klagomål.docx", "A 39686-2025")</f>
        <v/>
      </c>
      <c r="AB41">
        <f>HYPERLINK("https://klasma.github.io/Logging_2425/klagomålsmail/A 39686-2025 FSC-klagomål mail.docx", "A 39686-2025")</f>
        <v/>
      </c>
      <c r="AC41">
        <f>HYPERLINK("https://klasma.github.io/Logging_2425/tillsyn/A 39686-2025 tillsynsbegäran.docx", "A 39686-2025")</f>
        <v/>
      </c>
      <c r="AD41">
        <f>HYPERLINK("https://klasma.github.io/Logging_2425/tillsynsmail/A 39686-2025 tillsynsbegäran mail.docx", "A 39686-2025")</f>
        <v/>
      </c>
    </row>
    <row r="42" ht="15" customHeight="1">
      <c r="A42" t="inlineStr">
        <is>
          <t>A 12005-2023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44994</v>
      </c>
      <c r="E42" s="1" t="n">
        <v>46289</v>
      </c>
      <c r="F42" t="inlineStr">
        <is>
          <t>VÄSTERBOTTENS LÄN</t>
        </is>
      </c>
      <c r="G42" t="inlineStr">
        <is>
          <t>DOROTEA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12005-2023 artfynd.xlsx", "A 12005-2023")</f>
        <v/>
      </c>
      <c r="X42">
        <f>HYPERLINK("https://klasma.github.io/Logging_2425/kartor/A 12005-2023 karta.png", "A 12005-2023")</f>
        <v/>
      </c>
      <c r="Y42">
        <f>HYPERLINK("https://klasma.github.io/Logging_2425/kartor_geotiff/A 12005-2023 georefererad karta.tif", "A 12005-2023")</f>
        <v/>
      </c>
      <c r="AA42">
        <f>HYPERLINK("https://klasma.github.io/Logging_2425/klagomål/A 12005-2023 FSC-klagomål.docx", "A 12005-2023")</f>
        <v/>
      </c>
      <c r="AB42">
        <f>HYPERLINK("https://klasma.github.io/Logging_2425/klagomålsmail/A 12005-2023 FSC-klagomål mail.docx", "A 12005-2023")</f>
        <v/>
      </c>
      <c r="AC42">
        <f>HYPERLINK("https://klasma.github.io/Logging_2425/tillsyn/A 12005-2023 tillsynsbegäran.docx", "A 12005-2023")</f>
        <v/>
      </c>
      <c r="AD42">
        <f>HYPERLINK("https://klasma.github.io/Logging_2425/tillsynsmail/A 12005-2023 tillsynsbegäran mail.docx", "A 12005-2023")</f>
        <v/>
      </c>
    </row>
    <row r="43" ht="15" customHeight="1">
      <c r="A43" t="inlineStr">
        <is>
          <t>A 26440-2025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46289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26440-2025 artfynd.xlsx", "A 26440-2025")</f>
        <v/>
      </c>
      <c r="X43">
        <f>HYPERLINK("https://klasma.github.io/Logging_2425/kartor/A 26440-2025 karta.png", "A 26440-2025")</f>
        <v/>
      </c>
      <c r="Y43">
        <f>HYPERLINK("https://klasma.github.io/Logging_2425/kartor_geotiff/A 26440-2025 georefererad karta.tif", "A 26440-2025")</f>
        <v/>
      </c>
      <c r="AA43">
        <f>HYPERLINK("https://klasma.github.io/Logging_2425/klagomål/A 26440-2025 FSC-klagomål.docx", "A 26440-2025")</f>
        <v/>
      </c>
      <c r="AB43">
        <f>HYPERLINK("https://klasma.github.io/Logging_2425/klagomålsmail/A 26440-2025 FSC-klagomål mail.docx", "A 26440-2025")</f>
        <v/>
      </c>
      <c r="AC43">
        <f>HYPERLINK("https://klasma.github.io/Logging_2425/tillsyn/A 26440-2025 tillsynsbegäran.docx", "A 26440-2025")</f>
        <v/>
      </c>
      <c r="AD43">
        <f>HYPERLINK("https://klasma.github.io/Logging_2425/tillsynsmail/A 26440-2025 tillsynsbegäran mail.docx", "A 26440-2025")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46289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46289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53309-2022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44878</v>
      </c>
      <c r="E46" s="1" t="n">
        <v>46289</v>
      </c>
      <c r="F46" t="inlineStr">
        <is>
          <t>VÄSTERBOTTENS LÄN</t>
        </is>
      </c>
      <c r="G46" t="inlineStr">
        <is>
          <t>DOROTEA</t>
        </is>
      </c>
      <c r="I46" t="n">
        <v>6.6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Göktyta</t>
        </is>
      </c>
      <c r="W46">
        <f>HYPERLINK("https://klasma.github.io/Logging_2425/artfynd/A 53309-2022 artfynd.xlsx", "A 53309-2022")</f>
        <v/>
      </c>
      <c r="X46">
        <f>HYPERLINK("https://klasma.github.io/Logging_2425/kartor/A 53309-2022 karta.png", "A 53309-2022")</f>
        <v/>
      </c>
      <c r="Y46">
        <f>HYPERLINK("https://klasma.github.io/Logging_2425/kartor_geotiff/A 53309-2022 georefererad karta.tif", "A 53309-2022")</f>
        <v/>
      </c>
      <c r="AA46">
        <f>HYPERLINK("https://klasma.github.io/Logging_2425/klagomål/A 53309-2022 FSC-klagomål.docx", "A 53309-2022")</f>
        <v/>
      </c>
      <c r="AB46">
        <f>HYPERLINK("https://klasma.github.io/Logging_2425/klagomålsmail/A 53309-2022 FSC-klagomål mail.docx", "A 53309-2022")</f>
        <v/>
      </c>
      <c r="AC46">
        <f>HYPERLINK("https://klasma.github.io/Logging_2425/tillsyn/A 53309-2022 tillsynsbegäran.docx", "A 53309-2022")</f>
        <v/>
      </c>
      <c r="AD46">
        <f>HYPERLINK("https://klasma.github.io/Logging_2425/tillsynsmail/A 53309-2022 tillsynsbegäran mail.docx", "A 53309-2022")</f>
        <v/>
      </c>
      <c r="AE46">
        <f>HYPERLINK("https://klasma.github.io/Logging_2425/fåglar/A 53309-2022 prioriterade fågelarter.docx", "A 53309-2022")</f>
        <v/>
      </c>
    </row>
    <row r="47" ht="15" customHeight="1">
      <c r="A47" t="inlineStr">
        <is>
          <t>A 20600-2023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45057</v>
      </c>
      <c r="E47" s="1" t="n">
        <v>46289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HYPERLINK("https://klasma.github.io/Logging_2425/artfynd/A 20600-2023 artfynd.xlsx", "A 20600-2023")</f>
        <v/>
      </c>
      <c r="X47">
        <f>HYPERLINK("https://klasma.github.io/Logging_2425/kartor/A 20600-2023 karta.png", "A 20600-2023")</f>
        <v/>
      </c>
      <c r="Y47">
        <f>HYPERLINK("https://klasma.github.io/Logging_2425/kartor_geotiff/A 20600-2023 georefererad karta.tif", "A 20600-2023")</f>
        <v/>
      </c>
      <c r="AA47">
        <f>HYPERLINK("https://klasma.github.io/Logging_2425/klagomål/A 20600-2023 FSC-klagomål.docx", "A 20600-2023")</f>
        <v/>
      </c>
      <c r="AB47">
        <f>HYPERLINK("https://klasma.github.io/Logging_2425/klagomålsmail/A 20600-2023 FSC-klagomål mail.docx", "A 20600-2023")</f>
        <v/>
      </c>
      <c r="AC47">
        <f>HYPERLINK("https://klasma.github.io/Logging_2425/tillsyn/A 20600-2023 tillsynsbegäran.docx", "A 20600-2023")</f>
        <v/>
      </c>
      <c r="AD47">
        <f>HYPERLINK("https://klasma.github.io/Logging_2425/tillsynsmail/A 20600-2023 tillsynsbegäran mail.docx", "A 20600-2023")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46289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46289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46289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46289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46289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46289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46289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32331-2026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46289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Skrovellav</t>
        </is>
      </c>
      <c r="W55">
        <f>HYPERLINK("https://klasma.github.io/Logging_2425/artfynd/A 32331-2026 artfynd.xlsx", "A 32331-2026")</f>
        <v/>
      </c>
      <c r="X55">
        <f>HYPERLINK("https://klasma.github.io/Logging_2425/kartor/A 32331-2026 karta.png", "A 32331-2026")</f>
        <v/>
      </c>
      <c r="Y55">
        <f>HYPERLINK("https://klasma.github.io/Logging_2425/kartor_geotiff/A 32331-2026 georefererad karta.tif", "A 32331-2026")</f>
        <v/>
      </c>
      <c r="AA55">
        <f>HYPERLINK("https://klasma.github.io/Logging_2425/klagomål/A 32331-2026 FSC-klagomål.docx", "A 32331-2026")</f>
        <v/>
      </c>
      <c r="AB55">
        <f>HYPERLINK("https://klasma.github.io/Logging_2425/klagomålsmail/A 32331-2026 FSC-klagomål mail.docx", "A 32331-2026")</f>
        <v/>
      </c>
      <c r="AC55">
        <f>HYPERLINK("https://klasma.github.io/Logging_2425/tillsyn/A 32331-2026 tillsynsbegäran.docx", "A 32331-2026")</f>
        <v/>
      </c>
      <c r="AD55">
        <f>HYPERLINK("https://klasma.github.io/Logging_2425/tillsynsmail/A 32331-2026 tillsynsbegäran mail.docx", "A 32331-2026")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46289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46289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46289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46289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46289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46289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46289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46289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46289</v>
      </c>
      <c r="F69" t="inlineStr">
        <is>
          <t>VÄSTERBOTTENS LÄN</t>
        </is>
      </c>
      <c r="G69" t="inlineStr">
        <is>
          <t>DOROTEA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45632</v>
      </c>
      <c r="E70" s="1" t="n">
        <v>46289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42104-2024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45562</v>
      </c>
      <c r="E71" s="1" t="n">
        <v>46289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36137-2023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45149</v>
      </c>
      <c r="E72" s="1" t="n">
        <v>46289</v>
      </c>
      <c r="F72" t="inlineStr">
        <is>
          <t>VÄSTERBOTTENS LÄN</t>
        </is>
      </c>
      <c r="G72" t="inlineStr">
        <is>
          <t>DOROTEA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40434-2023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45169</v>
      </c>
      <c r="E73" s="1" t="n">
        <v>46289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52362-2021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44465</v>
      </c>
      <c r="E74" s="1" t="n">
        <v>46289</v>
      </c>
      <c r="F74" t="inlineStr">
        <is>
          <t>VÄSTERBOTTENS LÄN</t>
        </is>
      </c>
      <c r="G74" t="inlineStr">
        <is>
          <t>DOROTEA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46289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46289</v>
      </c>
      <c r="F76" t="inlineStr">
        <is>
          <t>VÄSTERBOTTENS LÄN</t>
        </is>
      </c>
      <c r="G76" t="inlineStr">
        <is>
          <t>DOROTEA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60145-2021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46289</v>
      </c>
      <c r="F77" t="inlineStr">
        <is>
          <t>VÄSTERBOTTENS LÄN</t>
        </is>
      </c>
      <c r="G77" t="inlineStr">
        <is>
          <t>DOROTEA</t>
        </is>
      </c>
      <c r="I77" t="n">
        <v>13.3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27199-2024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45471</v>
      </c>
      <c r="E78" s="1" t="n">
        <v>46289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45636</v>
      </c>
      <c r="E79" s="1" t="n">
        <v>46289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46289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45475</v>
      </c>
      <c r="E81" s="1" t="n">
        <v>46289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46289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46289</v>
      </c>
      <c r="F83" t="inlineStr">
        <is>
          <t>VÄSTERBOTTENS LÄN</t>
        </is>
      </c>
      <c r="G83" t="inlineStr">
        <is>
          <t>DOROTEA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45228</v>
      </c>
      <c r="E84" s="1" t="n">
        <v>46289</v>
      </c>
      <c r="F84" t="inlineStr">
        <is>
          <t>VÄSTERBOTTENS LÄN</t>
        </is>
      </c>
      <c r="G84" t="inlineStr">
        <is>
          <t>DOROTEA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45228</v>
      </c>
      <c r="E85" s="1" t="n">
        <v>46289</v>
      </c>
      <c r="F85" t="inlineStr">
        <is>
          <t>VÄSTERBOTTENS LÄN</t>
        </is>
      </c>
      <c r="G85" t="inlineStr">
        <is>
          <t>DOROTEA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46289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46289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45013</v>
      </c>
      <c r="E88" s="1" t="n">
        <v>46289</v>
      </c>
      <c r="F88" t="inlineStr">
        <is>
          <t>VÄSTERBOTTENS LÄN</t>
        </is>
      </c>
      <c r="G88" t="inlineStr">
        <is>
          <t>DOROTEA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46289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46289</v>
      </c>
      <c r="F90" t="inlineStr">
        <is>
          <t>VÄSTERBOTTENS LÄN</t>
        </is>
      </c>
      <c r="G90" t="inlineStr">
        <is>
          <t>DOROTEA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46289</v>
      </c>
      <c r="F91" t="inlineStr">
        <is>
          <t>VÄSTERBOTTENS LÄN</t>
        </is>
      </c>
      <c r="G91" t="inlineStr">
        <is>
          <t>DOROTEA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46289</v>
      </c>
      <c r="F92" t="inlineStr">
        <is>
          <t>VÄSTERBOTTENS LÄN</t>
        </is>
      </c>
      <c r="G92" t="inlineStr">
        <is>
          <t>DOROTEA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44645</v>
      </c>
      <c r="E93" s="1" t="n">
        <v>46289</v>
      </c>
      <c r="F93" t="inlineStr">
        <is>
          <t>VÄSTERBOTTENS LÄN</t>
        </is>
      </c>
      <c r="G93" t="inlineStr">
        <is>
          <t>DOROTEA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46289</v>
      </c>
      <c r="F94" t="inlineStr">
        <is>
          <t>VÄSTERBOTTENS LÄN</t>
        </is>
      </c>
      <c r="G94" t="inlineStr">
        <is>
          <t>DOROTEA</t>
        </is>
      </c>
      <c r="I94" t="n">
        <v>10.6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48006-2023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45198</v>
      </c>
      <c r="E95" s="1" t="n">
        <v>46289</v>
      </c>
      <c r="F95" t="inlineStr">
        <is>
          <t>VÄSTERBOTTENS LÄN</t>
        </is>
      </c>
      <c r="G95" t="inlineStr">
        <is>
          <t>DOROTEA</t>
        </is>
      </c>
      <c r="H95" t="inlineStr">
        <is>
          <t>Övriga statliga verk och myndigheter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46289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46289</v>
      </c>
      <c r="F97" t="inlineStr">
        <is>
          <t>VÄSTERBOTTENS LÄN</t>
        </is>
      </c>
      <c r="G97" t="inlineStr">
        <is>
          <t>DOROTEA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46289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46289</v>
      </c>
      <c r="F99" t="inlineStr">
        <is>
          <t>VÄSTERBOTTENS LÄN</t>
        </is>
      </c>
      <c r="G99" t="inlineStr">
        <is>
          <t>DOROTEA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46289</v>
      </c>
      <c r="F100" t="inlineStr">
        <is>
          <t>VÄSTERBOTTENS LÄN</t>
        </is>
      </c>
      <c r="G100" t="inlineStr">
        <is>
          <t>DOROTEA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46289</v>
      </c>
      <c r="F101" t="inlineStr">
        <is>
          <t>VÄSTERBOTTENS LÄN</t>
        </is>
      </c>
      <c r="G101" t="inlineStr">
        <is>
          <t>DOROTEA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45517</v>
      </c>
      <c r="E102" s="1" t="n">
        <v>46289</v>
      </c>
      <c r="F102" t="inlineStr">
        <is>
          <t>VÄSTERBOTTENS LÄN</t>
        </is>
      </c>
      <c r="G102" t="inlineStr">
        <is>
          <t>DOROTEA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44910</v>
      </c>
      <c r="E103" s="1" t="n">
        <v>46289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46289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53380-2024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46289</v>
      </c>
      <c r="F105" t="inlineStr">
        <is>
          <t>VÄSTERBOTTENS LÄN</t>
        </is>
      </c>
      <c r="G105" t="inlineStr">
        <is>
          <t>DOROTEA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45224</v>
      </c>
      <c r="E106" s="1" t="n">
        <v>46289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46289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44568</v>
      </c>
      <c r="E108" s="1" t="n">
        <v>46289</v>
      </c>
      <c r="F108" t="inlineStr">
        <is>
          <t>VÄSTERBOTTENS LÄN</t>
        </is>
      </c>
      <c r="G108" t="inlineStr">
        <is>
          <t>DOROTEA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46289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46289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46289</v>
      </c>
      <c r="F111" t="inlineStr">
        <is>
          <t>VÄSTERBOTTENS LÄN</t>
        </is>
      </c>
      <c r="G111" t="inlineStr">
        <is>
          <t>DOROTEA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46289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55919-2023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45239</v>
      </c>
      <c r="E113" s="1" t="n">
        <v>46289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46289</v>
      </c>
      <c r="F114" t="inlineStr">
        <is>
          <t>VÄSTERBOTTENS LÄN</t>
        </is>
      </c>
      <c r="G114" t="inlineStr">
        <is>
          <t>DOROTEA</t>
        </is>
      </c>
      <c r="I114" t="n">
        <v>14.8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46289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45893</v>
      </c>
      <c r="E116" s="1" t="n">
        <v>46289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46289</v>
      </c>
      <c r="F117" t="inlineStr">
        <is>
          <t>VÄSTERBOTTENS LÄN</t>
        </is>
      </c>
      <c r="G117" t="inlineStr">
        <is>
          <t>DOROTEA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45551</v>
      </c>
      <c r="E118" s="1" t="n">
        <v>46289</v>
      </c>
      <c r="F118" t="inlineStr">
        <is>
          <t>VÄSTERBOTTENS LÄN</t>
        </is>
      </c>
      <c r="G118" t="inlineStr">
        <is>
          <t>DOROTEA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46289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44956</v>
      </c>
      <c r="E120" s="1" t="n">
        <v>46289</v>
      </c>
      <c r="F120" t="inlineStr">
        <is>
          <t>VÄSTERBOTTENS LÄN</t>
        </is>
      </c>
      <c r="G120" t="inlineStr">
        <is>
          <t>DOROTEA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46289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46289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44582</v>
      </c>
      <c r="E123" s="1" t="n">
        <v>46289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46289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46289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45244</v>
      </c>
      <c r="E126" s="1" t="n">
        <v>46289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46289</v>
      </c>
      <c r="F127" t="inlineStr">
        <is>
          <t>VÄSTERBOTTENS LÄN</t>
        </is>
      </c>
      <c r="G127" t="inlineStr">
        <is>
          <t>DOROTEA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46289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45253</v>
      </c>
      <c r="E129" s="1" t="n">
        <v>46289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44860</v>
      </c>
      <c r="E130" s="1" t="n">
        <v>46289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Sveaskog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46289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46289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46289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46289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46289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46289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40435-2023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45169</v>
      </c>
      <c r="E137" s="1" t="n">
        <v>46289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46289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45916</v>
      </c>
      <c r="E139" s="1" t="n">
        <v>46289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46289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45915</v>
      </c>
      <c r="E141" s="1" t="n">
        <v>46289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46289</v>
      </c>
      <c r="F142" t="inlineStr">
        <is>
          <t>VÄSTERBOTTENS LÄN</t>
        </is>
      </c>
      <c r="G142" t="inlineStr">
        <is>
          <t>DOROTEA</t>
        </is>
      </c>
      <c r="H142" t="inlineStr">
        <is>
          <t>Övriga statliga verk och myndigheter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46289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46289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44484</v>
      </c>
      <c r="E145" s="1" t="n">
        <v>46289</v>
      </c>
      <c r="F145" t="inlineStr">
        <is>
          <t>VÄSTERBOTTENS LÄN</t>
        </is>
      </c>
      <c r="G145" t="inlineStr">
        <is>
          <t>DOROTEA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46289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46289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45036</v>
      </c>
      <c r="E148" s="1" t="n">
        <v>46289</v>
      </c>
      <c r="F148" t="inlineStr">
        <is>
          <t>VÄSTERBOTTENS LÄN</t>
        </is>
      </c>
      <c r="G148" t="inlineStr">
        <is>
          <t>DOROTEA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46289</v>
      </c>
      <c r="F149" t="inlineStr">
        <is>
          <t>VÄSTERBOTTENS LÄN</t>
        </is>
      </c>
      <c r="G149" t="inlineStr">
        <is>
          <t>DOROTEA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46289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46289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46289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46289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45556</v>
      </c>
      <c r="E154" s="1" t="n">
        <v>46289</v>
      </c>
      <c r="F154" t="inlineStr">
        <is>
          <t>VÄSTERBOTTENS LÄN</t>
        </is>
      </c>
      <c r="G154" t="inlineStr">
        <is>
          <t>DOROTEA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45807</v>
      </c>
      <c r="E155" s="1" t="n">
        <v>46289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46289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46289</v>
      </c>
      <c r="F157" t="inlineStr">
        <is>
          <t>VÄSTERBOTTENS LÄN</t>
        </is>
      </c>
      <c r="G157" t="inlineStr">
        <is>
          <t>DOROTEA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46289</v>
      </c>
      <c r="F158" t="inlineStr">
        <is>
          <t>VÄSTERBOTTENS LÄN</t>
        </is>
      </c>
      <c r="G158" t="inlineStr">
        <is>
          <t>DOROTEA</t>
        </is>
      </c>
      <c r="I158" t="n">
        <v>15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46966-2024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45586</v>
      </c>
      <c r="E159" s="1" t="n">
        <v>46289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46289</v>
      </c>
      <c r="F160" t="inlineStr">
        <is>
          <t>VÄSTERBOTTENS LÄN</t>
        </is>
      </c>
      <c r="G160" t="inlineStr">
        <is>
          <t>DOROTEA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46289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74013-2021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44557</v>
      </c>
      <c r="E162" s="1" t="n">
        <v>46289</v>
      </c>
      <c r="F162" t="inlineStr">
        <is>
          <t>VÄSTERBOTTENS LÄN</t>
        </is>
      </c>
      <c r="G162" t="inlineStr">
        <is>
          <t>DOROTEA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46289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46289</v>
      </c>
      <c r="F164" t="inlineStr">
        <is>
          <t>VÄSTERBOTTENS LÄN</t>
        </is>
      </c>
      <c r="G164" t="inlineStr">
        <is>
          <t>DOROTEA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46289</v>
      </c>
      <c r="F165" t="inlineStr">
        <is>
          <t>VÄSTERBOTTENS LÄN</t>
        </is>
      </c>
      <c r="G165" t="inlineStr">
        <is>
          <t>DOROTEA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46289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46289</v>
      </c>
      <c r="F167" t="inlineStr">
        <is>
          <t>VÄSTERBOTTENS LÄN</t>
        </is>
      </c>
      <c r="G167" t="inlineStr">
        <is>
          <t>DOROTEA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45491</v>
      </c>
      <c r="E168" s="1" t="n">
        <v>46289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Sveaskog</t>
        </is>
      </c>
      <c r="I168" t="n">
        <v>13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46289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46289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46289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9.800000000000001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46289</v>
      </c>
      <c r="F172" t="inlineStr">
        <is>
          <t>VÄSTERBOTTENS LÄN</t>
        </is>
      </c>
      <c r="G172" t="inlineStr">
        <is>
          <t>DOROTEA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46289</v>
      </c>
      <c r="F173" t="inlineStr">
        <is>
          <t>VÄSTERBOTTENS LÄN</t>
        </is>
      </c>
      <c r="G173" t="inlineStr">
        <is>
          <t>DOROTEA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45075</v>
      </c>
      <c r="E174" s="1" t="n">
        <v>46289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45036</v>
      </c>
      <c r="E175" s="1" t="n">
        <v>46289</v>
      </c>
      <c r="F175" t="inlineStr">
        <is>
          <t>VÄSTERBOTTENS LÄN</t>
        </is>
      </c>
      <c r="G175" t="inlineStr">
        <is>
          <t>DOROTEA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45565</v>
      </c>
      <c r="E176" s="1" t="n">
        <v>46289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46289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45552</v>
      </c>
      <c r="E178" s="1" t="n">
        <v>46289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46289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46289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46289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46289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46289</v>
      </c>
      <c r="F183" t="inlineStr">
        <is>
          <t>VÄSTERBOTTENS LÄN</t>
        </is>
      </c>
      <c r="G183" t="inlineStr">
        <is>
          <t>DOROTEA</t>
        </is>
      </c>
      <c r="I183" t="n">
        <v>26.5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46289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46289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46289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46289</v>
      </c>
      <c r="F187" t="inlineStr">
        <is>
          <t>VÄSTERBOTTENS LÄN</t>
        </is>
      </c>
      <c r="G187" t="inlineStr">
        <is>
          <t>DOROTEA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46289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46289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Kommuner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46289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46289</v>
      </c>
      <c r="F191" t="inlineStr">
        <is>
          <t>VÄSTERBOTTENS LÄN</t>
        </is>
      </c>
      <c r="G191" t="inlineStr">
        <is>
          <t>DOROTEA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46289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46289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46289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25028-2024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45461</v>
      </c>
      <c r="E195" s="1" t="n">
        <v>46289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46289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46289</v>
      </c>
      <c r="F197" t="inlineStr">
        <is>
          <t>VÄSTERBOTTENS LÄN</t>
        </is>
      </c>
      <c r="G197" t="inlineStr">
        <is>
          <t>DOROTEA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4617-2023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44956</v>
      </c>
      <c r="E198" s="1" t="n">
        <v>46289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46289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46289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46289</v>
      </c>
      <c r="F201" t="inlineStr">
        <is>
          <t>VÄSTERBOTTENS LÄN</t>
        </is>
      </c>
      <c r="G201" t="inlineStr">
        <is>
          <t>DOROTEA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46289</v>
      </c>
      <c r="F202" t="inlineStr">
        <is>
          <t>VÄSTERBOTTENS LÄN</t>
        </is>
      </c>
      <c r="G202" t="inlineStr">
        <is>
          <t>DOROTEA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45977</v>
      </c>
      <c r="E203" s="1" t="n">
        <v>46289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46289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46289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46289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46289</v>
      </c>
      <c r="F207" t="inlineStr">
        <is>
          <t>VÄSTERBOTTENS LÄN</t>
        </is>
      </c>
      <c r="G207" t="inlineStr">
        <is>
          <t>DOROTEA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46289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18.2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46289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46289</v>
      </c>
      <c r="F210" t="inlineStr">
        <is>
          <t>VÄSTERBOTTENS LÄN</t>
        </is>
      </c>
      <c r="G210" t="inlineStr">
        <is>
          <t>DOROTEA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46289</v>
      </c>
      <c r="F211" t="inlineStr">
        <is>
          <t>VÄSTERBOTTENS LÄN</t>
        </is>
      </c>
      <c r="G211" t="inlineStr">
        <is>
          <t>DOROTEA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46289</v>
      </c>
      <c r="F212" t="inlineStr">
        <is>
          <t>VÄSTERBOTTENS LÄN</t>
        </is>
      </c>
      <c r="G212" t="inlineStr">
        <is>
          <t>DOROTEA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45223</v>
      </c>
      <c r="E213" s="1" t="n">
        <v>46289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46289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46289</v>
      </c>
      <c r="F215" t="inlineStr">
        <is>
          <t>VÄSTERBOTTENS LÄN</t>
        </is>
      </c>
      <c r="G215" t="inlineStr">
        <is>
          <t>DOROTEA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46289</v>
      </c>
      <c r="F216" t="inlineStr">
        <is>
          <t>VÄSTERBOTTENS LÄN</t>
        </is>
      </c>
      <c r="G216" t="inlineStr">
        <is>
          <t>DOROTEA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46289</v>
      </c>
      <c r="F217" t="inlineStr">
        <is>
          <t>VÄSTERBOTTENS LÄN</t>
        </is>
      </c>
      <c r="G217" t="inlineStr">
        <is>
          <t>DOROTEA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46289</v>
      </c>
      <c r="F218" t="inlineStr">
        <is>
          <t>VÄSTERBOTTENS LÄN</t>
        </is>
      </c>
      <c r="G218" t="inlineStr">
        <is>
          <t>DOROTEA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46289</v>
      </c>
      <c r="F219" t="inlineStr">
        <is>
          <t>VÄSTERBOTTENS LÄN</t>
        </is>
      </c>
      <c r="G219" t="inlineStr">
        <is>
          <t>DOROTEA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46289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45125</v>
      </c>
      <c r="E221" s="1" t="n">
        <v>46289</v>
      </c>
      <c r="F221" t="inlineStr">
        <is>
          <t>VÄSTERBOTTENS LÄN</t>
        </is>
      </c>
      <c r="G221" t="inlineStr">
        <is>
          <t>DOROTEA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35937-2025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45862</v>
      </c>
      <c r="E222" s="1" t="n">
        <v>46289</v>
      </c>
      <c r="F222" t="inlineStr">
        <is>
          <t>VÄSTERBOTTENS LÄN</t>
        </is>
      </c>
      <c r="G222" t="inlineStr">
        <is>
          <t>DOROTEA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45520</v>
      </c>
      <c r="E223" s="1" t="n">
        <v>46289</v>
      </c>
      <c r="F223" t="inlineStr">
        <is>
          <t>VÄSTERBOTTENS LÄN</t>
        </is>
      </c>
      <c r="G223" t="inlineStr">
        <is>
          <t>DOROTEA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45996</v>
      </c>
      <c r="E224" s="1" t="n">
        <v>46289</v>
      </c>
      <c r="F224" t="inlineStr">
        <is>
          <t>VÄSTERBOTTENS LÄN</t>
        </is>
      </c>
      <c r="G224" t="inlineStr">
        <is>
          <t>DOROTEA</t>
        </is>
      </c>
      <c r="I224" t="n">
        <v>23.9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46289</v>
      </c>
      <c r="F225" t="inlineStr">
        <is>
          <t>VÄSTERBOTTENS LÄN</t>
        </is>
      </c>
      <c r="G225" t="inlineStr">
        <is>
          <t>DOROTEA</t>
        </is>
      </c>
      <c r="I225" t="n">
        <v>18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46289</v>
      </c>
      <c r="F226" t="inlineStr">
        <is>
          <t>VÄSTERBOTTENS LÄN</t>
        </is>
      </c>
      <c r="G226" t="inlineStr">
        <is>
          <t>DOROTEA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46289</v>
      </c>
      <c r="F227" t="inlineStr">
        <is>
          <t>VÄSTERBOTTENS LÄN</t>
        </is>
      </c>
      <c r="G227" t="inlineStr">
        <is>
          <t>DOROTEA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46289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62193-2025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46003</v>
      </c>
      <c r="E229" s="1" t="n">
        <v>46289</v>
      </c>
      <c r="F229" t="inlineStr">
        <is>
          <t>VÄSTERBOTTENS LÄN</t>
        </is>
      </c>
      <c r="G229" t="inlineStr">
        <is>
          <t>DOROTEA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46289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46289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46289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46289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46289</v>
      </c>
      <c r="F234" t="inlineStr">
        <is>
          <t>VÄSTERBOTTENS LÄN</t>
        </is>
      </c>
      <c r="G234" t="inlineStr">
        <is>
          <t>DOROTEA</t>
        </is>
      </c>
      <c r="I234" t="n">
        <v>16.7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46289</v>
      </c>
      <c r="F235" t="inlineStr">
        <is>
          <t>VÄSTERBOTTENS LÄN</t>
        </is>
      </c>
      <c r="G235" t="inlineStr">
        <is>
          <t>DOROTEA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46289</v>
      </c>
      <c r="F236" t="inlineStr">
        <is>
          <t>VÄSTERBOTTENS LÄN</t>
        </is>
      </c>
      <c r="G236" t="inlineStr">
        <is>
          <t>DOROTEA</t>
        </is>
      </c>
      <c r="I236" t="n">
        <v>13.2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46289</v>
      </c>
      <c r="F237" t="inlineStr">
        <is>
          <t>VÄSTERBOTTENS LÄN</t>
        </is>
      </c>
      <c r="G237" t="inlineStr">
        <is>
          <t>DOROTEA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46289</v>
      </c>
      <c r="F238" t="inlineStr">
        <is>
          <t>VÄSTERBOTTENS LÄN</t>
        </is>
      </c>
      <c r="G238" t="inlineStr">
        <is>
          <t>DOROTEA</t>
        </is>
      </c>
      <c r="I238" t="n">
        <v>12.3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46289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28717-2022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44748</v>
      </c>
      <c r="E240" s="1" t="n">
        <v>46289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46009</v>
      </c>
      <c r="E241" s="1" t="n">
        <v>46289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9.4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46289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46289</v>
      </c>
      <c r="F243" t="inlineStr">
        <is>
          <t>VÄSTERBOTTENS LÄN</t>
        </is>
      </c>
      <c r="G243" t="inlineStr">
        <is>
          <t>DOROTEA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46289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47494-2023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45202</v>
      </c>
      <c r="E245" s="1" t="n">
        <v>46289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46289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46289</v>
      </c>
      <c r="F247" t="inlineStr">
        <is>
          <t>VÄSTERBOTTENS LÄN</t>
        </is>
      </c>
      <c r="G247" t="inlineStr">
        <is>
          <t>DOROTEA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46289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46289</v>
      </c>
      <c r="F249" t="inlineStr">
        <is>
          <t>VÄSTERBOTTENS LÄN</t>
        </is>
      </c>
      <c r="G249" t="inlineStr">
        <is>
          <t>DOROTEA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46289</v>
      </c>
      <c r="F250" t="inlineStr">
        <is>
          <t>VÄSTERBOTTENS LÄN</t>
        </is>
      </c>
      <c r="G250" t="inlineStr">
        <is>
          <t>DOROTEA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46289</v>
      </c>
      <c r="F251" t="inlineStr">
        <is>
          <t>VÄSTERBOTTENS LÄN</t>
        </is>
      </c>
      <c r="G251" t="inlineStr">
        <is>
          <t>DOROTEA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12773-2026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46289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46017</v>
      </c>
      <c r="E253" s="1" t="n">
        <v>46289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46289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46289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46289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46054</v>
      </c>
      <c r="E257" s="1" t="n">
        <v>46289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46289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56807-2021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44481</v>
      </c>
      <c r="E259" s="1" t="n">
        <v>46289</v>
      </c>
      <c r="F259" t="inlineStr">
        <is>
          <t>VÄSTERBOTTENS LÄN</t>
        </is>
      </c>
      <c r="G259" t="inlineStr">
        <is>
          <t>DOROTEA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46289</v>
      </c>
      <c r="F260" t="inlineStr">
        <is>
          <t>VÄSTERBOTTENS LÄN</t>
        </is>
      </c>
      <c r="G260" t="inlineStr">
        <is>
          <t>DOROTEA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46289</v>
      </c>
      <c r="F261" t="inlineStr">
        <is>
          <t>VÄSTERBOTTENS LÄN</t>
        </is>
      </c>
      <c r="G261" t="inlineStr">
        <is>
          <t>DOROTEA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46289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46289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14163-2024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45392</v>
      </c>
      <c r="E264" s="1" t="n">
        <v>46289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46289</v>
      </c>
      <c r="F265" t="inlineStr">
        <is>
          <t>VÄSTERBOTTENS LÄN</t>
        </is>
      </c>
      <c r="G265" t="inlineStr">
        <is>
          <t>DOROTEA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46289</v>
      </c>
      <c r="F266" t="inlineStr">
        <is>
          <t>VÄSTERBOTTENS LÄN</t>
        </is>
      </c>
      <c r="G266" t="inlineStr">
        <is>
          <t>DOROTEA</t>
        </is>
      </c>
      <c r="I266" t="n">
        <v>20.1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44848</v>
      </c>
      <c r="E267" s="1" t="n">
        <v>46289</v>
      </c>
      <c r="F267" t="inlineStr">
        <is>
          <t>VÄSTERBOTTENS LÄN</t>
        </is>
      </c>
      <c r="G267" t="inlineStr">
        <is>
          <t>DOROTEA</t>
        </is>
      </c>
      <c r="I267" t="n">
        <v>29.8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46287</v>
      </c>
      <c r="E268" s="1" t="n">
        <v>46289</v>
      </c>
      <c r="F268" t="inlineStr">
        <is>
          <t>VÄSTERBOTTENS LÄN</t>
        </is>
      </c>
      <c r="G268" t="inlineStr">
        <is>
          <t>DOROTEA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45565</v>
      </c>
      <c r="E269" s="1" t="n">
        <v>46289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46289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46086</v>
      </c>
      <c r="E271" s="1" t="n">
        <v>46289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46965-2024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45586</v>
      </c>
      <c r="E272" s="1" t="n">
        <v>46289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46289</v>
      </c>
      <c r="F273" t="inlineStr">
        <is>
          <t>VÄSTERBOTTENS LÄN</t>
        </is>
      </c>
      <c r="G273" t="inlineStr">
        <is>
          <t>DOROTEA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46289</v>
      </c>
      <c r="F274" t="inlineStr">
        <is>
          <t>VÄSTERBOTTENS LÄN</t>
        </is>
      </c>
      <c r="G274" t="inlineStr">
        <is>
          <t>DOROTEA</t>
        </is>
      </c>
      <c r="I274" t="n">
        <v>18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46289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45755</v>
      </c>
      <c r="E276" s="1" t="n">
        <v>46289</v>
      </c>
      <c r="F276" t="inlineStr">
        <is>
          <t>VÄSTERBOTTENS LÄN</t>
        </is>
      </c>
      <c r="G276" t="inlineStr">
        <is>
          <t>DOROTEA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45852</v>
      </c>
      <c r="E277" s="1" t="n">
        <v>46289</v>
      </c>
      <c r="F277" t="inlineStr">
        <is>
          <t>VÄSTERBOTTENS LÄN</t>
        </is>
      </c>
      <c r="G277" t="inlineStr">
        <is>
          <t>DOROTEA</t>
        </is>
      </c>
      <c r="H277" t="inlineStr">
        <is>
          <t>Allmännings- och besparingsskogar</t>
        </is>
      </c>
      <c r="I277" t="n">
        <v>22.1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45852</v>
      </c>
      <c r="E278" s="1" t="n">
        <v>46289</v>
      </c>
      <c r="F278" t="inlineStr">
        <is>
          <t>VÄSTERBOTTENS LÄN</t>
        </is>
      </c>
      <c r="G278" t="inlineStr">
        <is>
          <t>DOROTEA</t>
        </is>
      </c>
      <c r="H278" t="inlineStr">
        <is>
          <t>Allmännings- och besparingsskogar</t>
        </is>
      </c>
      <c r="I278" t="n">
        <v>20.3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46289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45847</v>
      </c>
      <c r="E280" s="1" t="n">
        <v>46289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46289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45852</v>
      </c>
      <c r="E282" s="1" t="n">
        <v>46289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46289</v>
      </c>
      <c r="F283" t="inlineStr">
        <is>
          <t>VÄSTERBOTTENS LÄN</t>
        </is>
      </c>
      <c r="G283" t="inlineStr">
        <is>
          <t>DOROTEA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42228-2024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46289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46289</v>
      </c>
      <c r="F285" t="inlineStr">
        <is>
          <t>VÄSTERBOTTENS LÄN</t>
        </is>
      </c>
      <c r="G285" t="inlineStr">
        <is>
          <t>DOROTEA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46289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46289</v>
      </c>
      <c r="F287" t="inlineStr">
        <is>
          <t>VÄSTERBOTTENS LÄN</t>
        </is>
      </c>
      <c r="G287" t="inlineStr">
        <is>
          <t>DOROTEA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27477-2023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45097</v>
      </c>
      <c r="E288" s="1" t="n">
        <v>46289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46289</v>
      </c>
      <c r="F289" t="inlineStr">
        <is>
          <t>VÄSTERBOTTENS LÄN</t>
        </is>
      </c>
      <c r="G289" t="inlineStr">
        <is>
          <t>DOROTEA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45855</v>
      </c>
      <c r="E290" s="1" t="n">
        <v>46289</v>
      </c>
      <c r="F290" t="inlineStr">
        <is>
          <t>VÄSTERBOTTENS LÄN</t>
        </is>
      </c>
      <c r="G290" t="inlineStr">
        <is>
          <t>DOROTEA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46289</v>
      </c>
      <c r="F291" t="inlineStr">
        <is>
          <t>VÄSTERBOTTENS LÄN</t>
        </is>
      </c>
      <c r="G291" t="inlineStr">
        <is>
          <t>DOROTEA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46289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46289</v>
      </c>
      <c r="F293" t="inlineStr">
        <is>
          <t>VÄSTERBOTTENS LÄN</t>
        </is>
      </c>
      <c r="G293" t="inlineStr">
        <is>
          <t>DOROTEA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46289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46289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33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46289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45866</v>
      </c>
      <c r="E297" s="1" t="n">
        <v>46289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45866</v>
      </c>
      <c r="E298" s="1" t="n">
        <v>46289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46113</v>
      </c>
      <c r="E299" s="1" t="n">
        <v>46289</v>
      </c>
      <c r="F299" t="inlineStr">
        <is>
          <t>VÄSTERBOTTENS LÄN</t>
        </is>
      </c>
      <c r="G299" t="inlineStr">
        <is>
          <t>DOROTEA</t>
        </is>
      </c>
      <c r="H299" t="inlineStr">
        <is>
          <t>Kommuner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46114</v>
      </c>
      <c r="E300" s="1" t="n">
        <v>46289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46289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46289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46289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45036</v>
      </c>
      <c r="E304" s="1" t="n">
        <v>46289</v>
      </c>
      <c r="F304" t="inlineStr">
        <is>
          <t>VÄSTERBOTTENS LÄN</t>
        </is>
      </c>
      <c r="G304" t="inlineStr">
        <is>
          <t>DOROTEA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45448</v>
      </c>
      <c r="E305" s="1" t="n">
        <v>46289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46289</v>
      </c>
      <c r="F306" t="inlineStr">
        <is>
          <t>VÄSTERBOTTENS LÄN</t>
        </is>
      </c>
      <c r="G306" t="inlineStr">
        <is>
          <t>DOROTEA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46289</v>
      </c>
      <c r="F307" t="inlineStr">
        <is>
          <t>VÄSTERBOTTENS LÄN</t>
        </is>
      </c>
      <c r="G307" t="inlineStr">
        <is>
          <t>DOROTEA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46125</v>
      </c>
      <c r="E308" s="1" t="n">
        <v>46289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46123</v>
      </c>
      <c r="E309" s="1" t="n">
        <v>46289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46125</v>
      </c>
      <c r="E310" s="1" t="n">
        <v>46289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18.3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46289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19657-2025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45770</v>
      </c>
      <c r="E312" s="1" t="n">
        <v>46289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46126</v>
      </c>
      <c r="E313" s="1" t="n">
        <v>46289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46289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8246-2024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45351</v>
      </c>
      <c r="E315" s="1" t="n">
        <v>46289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46289</v>
      </c>
      <c r="F316" t="inlineStr">
        <is>
          <t>VÄSTERBOTTENS LÄN</t>
        </is>
      </c>
      <c r="G316" t="inlineStr">
        <is>
          <t>DOROTEA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19445-2026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46289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46289</v>
      </c>
      <c r="F318" t="inlineStr">
        <is>
          <t>VÄSTERBOTTENS LÄN</t>
        </is>
      </c>
      <c r="G318" t="inlineStr">
        <is>
          <t>DOROTEA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45253</v>
      </c>
      <c r="E319" s="1" t="n">
        <v>46289</v>
      </c>
      <c r="F319" t="inlineStr">
        <is>
          <t>VÄSTERBOTTENS LÄN</t>
        </is>
      </c>
      <c r="G319" t="inlineStr">
        <is>
          <t>DOROTEA</t>
        </is>
      </c>
      <c r="I319" t="n">
        <v>8.5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46289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46289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45055</v>
      </c>
      <c r="E322" s="1" t="n">
        <v>46289</v>
      </c>
      <c r="F322" t="inlineStr">
        <is>
          <t>VÄSTERBOTTENS LÄN</t>
        </is>
      </c>
      <c r="G322" t="inlineStr">
        <is>
          <t>DOROTEA</t>
        </is>
      </c>
      <c r="H322" t="inlineStr">
        <is>
          <t>Övriga statliga verk och myndigheter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45876</v>
      </c>
      <c r="E323" s="1" t="n">
        <v>46289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67686-2021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44524</v>
      </c>
      <c r="E324" s="1" t="n">
        <v>46289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46289</v>
      </c>
      <c r="F325" t="inlineStr">
        <is>
          <t>VÄSTERBOTTENS LÄN</t>
        </is>
      </c>
      <c r="G325" t="inlineStr">
        <is>
          <t>DOROTEA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46289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46289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32821-2024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45516</v>
      </c>
      <c r="E328" s="1" t="n">
        <v>46289</v>
      </c>
      <c r="F328" t="inlineStr">
        <is>
          <t>VÄSTERBOTTENS LÄN</t>
        </is>
      </c>
      <c r="G328" t="inlineStr">
        <is>
          <t>DOROTEA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46289</v>
      </c>
      <c r="F329" t="inlineStr">
        <is>
          <t>VÄSTERBOTTENS LÄN</t>
        </is>
      </c>
      <c r="G329" t="inlineStr">
        <is>
          <t>DOROTEA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46289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45125</v>
      </c>
      <c r="E331" s="1" t="n">
        <v>46289</v>
      </c>
      <c r="F331" t="inlineStr">
        <is>
          <t>VÄSTERBOTTENS LÄN</t>
        </is>
      </c>
      <c r="G331" t="inlineStr">
        <is>
          <t>DOROTEA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45142</v>
      </c>
      <c r="E332" s="1" t="n">
        <v>46289</v>
      </c>
      <c r="F332" t="inlineStr">
        <is>
          <t>VÄSTERBOTTENS LÄN</t>
        </is>
      </c>
      <c r="G332" t="inlineStr">
        <is>
          <t>DOROTEA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45712</v>
      </c>
      <c r="E333" s="1" t="n">
        <v>46289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46289</v>
      </c>
      <c r="F334" t="inlineStr">
        <is>
          <t>VÄSTERBOTTENS LÄN</t>
        </is>
      </c>
      <c r="G334" t="inlineStr">
        <is>
          <t>DOROTEA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46289</v>
      </c>
      <c r="F335" t="inlineStr">
        <is>
          <t>VÄSTERBOTTENS LÄN</t>
        </is>
      </c>
      <c r="G335" t="inlineStr">
        <is>
          <t>DOROTEA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46289</v>
      </c>
      <c r="F336" t="inlineStr">
        <is>
          <t>VÄSTERBOTTENS LÄN</t>
        </is>
      </c>
      <c r="G336" t="inlineStr">
        <is>
          <t>DOROTEA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46289</v>
      </c>
      <c r="F337" t="inlineStr">
        <is>
          <t>VÄSTERBOTTENS LÄN</t>
        </is>
      </c>
      <c r="G337" t="inlineStr">
        <is>
          <t>DOROTEA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46289</v>
      </c>
      <c r="F338" t="inlineStr">
        <is>
          <t>VÄSTERBOTTENS LÄN</t>
        </is>
      </c>
      <c r="G338" t="inlineStr">
        <is>
          <t>DOROTEA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46289</v>
      </c>
      <c r="F339" t="inlineStr">
        <is>
          <t>VÄSTERBOTTENS LÄN</t>
        </is>
      </c>
      <c r="G339" t="inlineStr">
        <is>
          <t>DOROTEA</t>
        </is>
      </c>
      <c r="I339" t="n">
        <v>14.7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45217</v>
      </c>
      <c r="E340" s="1" t="n">
        <v>46289</v>
      </c>
      <c r="F340" t="inlineStr">
        <is>
          <t>VÄSTERBOTTENS LÄN</t>
        </is>
      </c>
      <c r="G340" t="inlineStr">
        <is>
          <t>DOROTEA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46289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45855</v>
      </c>
      <c r="E342" s="1" t="n">
        <v>46289</v>
      </c>
      <c r="F342" t="inlineStr">
        <is>
          <t>VÄSTERBOTTENS LÄN</t>
        </is>
      </c>
      <c r="G342" t="inlineStr">
        <is>
          <t>DOROTEA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45866</v>
      </c>
      <c r="E343" s="1" t="n">
        <v>46289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44876</v>
      </c>
      <c r="E344" s="1" t="n">
        <v>46289</v>
      </c>
      <c r="F344" t="inlineStr">
        <is>
          <t>VÄSTERBOTTENS LÄN</t>
        </is>
      </c>
      <c r="G344" t="inlineStr">
        <is>
          <t>DOROTEA</t>
        </is>
      </c>
      <c r="I344" t="n">
        <v>12.3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45295</v>
      </c>
      <c r="E345" s="1" t="n">
        <v>46289</v>
      </c>
      <c r="F345" t="inlineStr">
        <is>
          <t>VÄSTERBOTTENS LÄN</t>
        </is>
      </c>
      <c r="G345" t="inlineStr">
        <is>
          <t>DOROTEA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45735</v>
      </c>
      <c r="E346" s="1" t="n">
        <v>46289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63294-2025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46289</v>
      </c>
      <c r="F347" t="inlineStr">
        <is>
          <t>VÄSTERBOTTENS LÄN</t>
        </is>
      </c>
      <c r="G347" t="inlineStr">
        <is>
          <t>DOROTEA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57170-2025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46289</v>
      </c>
      <c r="F348" t="inlineStr">
        <is>
          <t>VÄSTERBOTTENS LÄN</t>
        </is>
      </c>
      <c r="G348" t="inlineStr">
        <is>
          <t>DOROTEA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46289</v>
      </c>
      <c r="F349" t="inlineStr">
        <is>
          <t>VÄSTERBOTTENS LÄN</t>
        </is>
      </c>
      <c r="G349" t="inlineStr">
        <is>
          <t>DOROTEA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46136</v>
      </c>
      <c r="E350" s="1" t="n">
        <v>46289</v>
      </c>
      <c r="F350" t="inlineStr">
        <is>
          <t>VÄSTERBOTTENS LÄN</t>
        </is>
      </c>
      <c r="G350" t="inlineStr">
        <is>
          <t>DOROTEA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63575-2025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46289</v>
      </c>
      <c r="F351" t="inlineStr">
        <is>
          <t>VÄSTERBOTTENS LÄN</t>
        </is>
      </c>
      <c r="G351" t="inlineStr">
        <is>
          <t>DOROTEA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46289</v>
      </c>
      <c r="F352" t="inlineStr">
        <is>
          <t>VÄSTERBOTTENS LÄN</t>
        </is>
      </c>
      <c r="G352" t="inlineStr">
        <is>
          <t>DOROTEA</t>
        </is>
      </c>
      <c r="I352" t="n">
        <v>31.7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44888</v>
      </c>
      <c r="E353" s="1" t="n">
        <v>46289</v>
      </c>
      <c r="F353" t="inlineStr">
        <is>
          <t>VÄSTERBOTTENS LÄN</t>
        </is>
      </c>
      <c r="G353" t="inlineStr">
        <is>
          <t>DOROTEA</t>
        </is>
      </c>
      <c r="I353" t="n">
        <v>15.8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46289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46289</v>
      </c>
      <c r="F355" t="inlineStr">
        <is>
          <t>VÄSTERBOTTENS LÄN</t>
        </is>
      </c>
      <c r="G355" t="inlineStr">
        <is>
          <t>DOROTEA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46289</v>
      </c>
      <c r="F356" t="inlineStr">
        <is>
          <t>VÄSTERBOTTENS LÄN</t>
        </is>
      </c>
      <c r="G356" t="inlineStr">
        <is>
          <t>DOROTEA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45446</v>
      </c>
      <c r="E357" s="1" t="n">
        <v>46289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46289</v>
      </c>
      <c r="F358" t="inlineStr">
        <is>
          <t>VÄSTERBOTTENS LÄN</t>
        </is>
      </c>
      <c r="G358" t="inlineStr">
        <is>
          <t>DOROTEA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45642</v>
      </c>
      <c r="E359" s="1" t="n">
        <v>46289</v>
      </c>
      <c r="F359" t="inlineStr">
        <is>
          <t>VÄSTERBOTTENS LÄN</t>
        </is>
      </c>
      <c r="G359" t="inlineStr">
        <is>
          <t>DOROTEA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45713</v>
      </c>
      <c r="E360" s="1" t="n">
        <v>46289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45705</v>
      </c>
      <c r="E361" s="1" t="n">
        <v>46289</v>
      </c>
      <c r="F361" t="inlineStr">
        <is>
          <t>VÄSTERBOTTENS LÄN</t>
        </is>
      </c>
      <c r="G361" t="inlineStr">
        <is>
          <t>DOROTEA</t>
        </is>
      </c>
      <c r="I361" t="n">
        <v>13.3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60015-2023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45257</v>
      </c>
      <c r="E362" s="1" t="n">
        <v>46289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46289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45351</v>
      </c>
      <c r="E364" s="1" t="n">
        <v>46289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46136</v>
      </c>
      <c r="E365" s="1" t="n">
        <v>46289</v>
      </c>
      <c r="F365" t="inlineStr">
        <is>
          <t>VÄSTERBOTTENS LÄN</t>
        </is>
      </c>
      <c r="G365" t="inlineStr">
        <is>
          <t>DOROTEA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46289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20286-2026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46136</v>
      </c>
      <c r="E367" s="1" t="n">
        <v>46289</v>
      </c>
      <c r="F367" t="inlineStr">
        <is>
          <t>VÄSTERBOTTENS LÄN</t>
        </is>
      </c>
      <c r="G367" t="inlineStr">
        <is>
          <t>DOROTEA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46289</v>
      </c>
      <c r="F368" t="inlineStr">
        <is>
          <t>VÄSTERBOTTENS LÄN</t>
        </is>
      </c>
      <c r="G368" t="inlineStr">
        <is>
          <t>DOROTEA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46289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46289</v>
      </c>
      <c r="F370" t="inlineStr">
        <is>
          <t>VÄSTERBOTTENS LÄN</t>
        </is>
      </c>
      <c r="G370" t="inlineStr">
        <is>
          <t>DOROTEA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45720</v>
      </c>
      <c r="E371" s="1" t="n">
        <v>46289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46141</v>
      </c>
      <c r="E372" s="1" t="n">
        <v>46289</v>
      </c>
      <c r="F372" t="inlineStr">
        <is>
          <t>VÄSTERBOTTENS LÄN</t>
        </is>
      </c>
      <c r="G372" t="inlineStr">
        <is>
          <t>DOROTEA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46289</v>
      </c>
      <c r="F373" t="inlineStr">
        <is>
          <t>VÄSTERBOTTENS LÄN</t>
        </is>
      </c>
      <c r="G373" t="inlineStr">
        <is>
          <t>DOROTEA</t>
        </is>
      </c>
      <c r="I373" t="n">
        <v>21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46289</v>
      </c>
      <c r="F374" t="inlineStr">
        <is>
          <t>VÄSTERBOTTENS LÄN</t>
        </is>
      </c>
      <c r="G374" t="inlineStr">
        <is>
          <t>DOROTEA</t>
        </is>
      </c>
      <c r="I374" t="n">
        <v>28.8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46289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46289</v>
      </c>
      <c r="F376" t="inlineStr">
        <is>
          <t>VÄSTERBOTTENS LÄN</t>
        </is>
      </c>
      <c r="G376" t="inlineStr">
        <is>
          <t>DOROTEA</t>
        </is>
      </c>
      <c r="I376" t="n">
        <v>17.8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46289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46289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27305-2024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45471</v>
      </c>
      <c r="E379" s="1" t="n">
        <v>46289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46289</v>
      </c>
      <c r="F380" t="inlineStr">
        <is>
          <t>VÄSTERBOTTENS LÄN</t>
        </is>
      </c>
      <c r="G380" t="inlineStr">
        <is>
          <t>DOROTEA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21338-2026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46147</v>
      </c>
      <c r="E381" s="1" t="n">
        <v>46289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46289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46149</v>
      </c>
      <c r="E383" s="1" t="n">
        <v>46289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46150</v>
      </c>
      <c r="E384" s="1" t="n">
        <v>46289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46289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27762-2026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46289</v>
      </c>
      <c r="F386" t="inlineStr">
        <is>
          <t>VÄSTERBOTTENS LÄN</t>
        </is>
      </c>
      <c r="G386" t="inlineStr">
        <is>
          <t>DOROTEA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46289</v>
      </c>
      <c r="F387" t="inlineStr">
        <is>
          <t>VÄSTERBOTTENS LÄN</t>
        </is>
      </c>
      <c r="G387" t="inlineStr">
        <is>
          <t>DOROTEA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46289</v>
      </c>
      <c r="F388" t="inlineStr">
        <is>
          <t>VÄSTERBOTTENS LÄN</t>
        </is>
      </c>
      <c r="G388" t="inlineStr">
        <is>
          <t>DOROTEA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43944-2024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45572</v>
      </c>
      <c r="E389" s="1" t="n">
        <v>46289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45478</v>
      </c>
      <c r="E390" s="1" t="n">
        <v>46289</v>
      </c>
      <c r="F390" t="inlineStr">
        <is>
          <t>VÄSTERBOTTENS LÄN</t>
        </is>
      </c>
      <c r="G390" t="inlineStr">
        <is>
          <t>DOROTEA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46289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45614</v>
      </c>
      <c r="E392" s="1" t="n">
        <v>46289</v>
      </c>
      <c r="F392" t="inlineStr">
        <is>
          <t>VÄSTERBOTTENS LÄN</t>
        </is>
      </c>
      <c r="G392" t="inlineStr">
        <is>
          <t>DOROTEA</t>
        </is>
      </c>
      <c r="I392" t="n">
        <v>11.2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44888</v>
      </c>
      <c r="E393" s="1" t="n">
        <v>46289</v>
      </c>
      <c r="F393" t="inlineStr">
        <is>
          <t>VÄSTERBOTTENS LÄN</t>
        </is>
      </c>
      <c r="G393" t="inlineStr">
        <is>
          <t>DOROTEA</t>
        </is>
      </c>
      <c r="I393" t="n">
        <v>7.6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46289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46289</v>
      </c>
      <c r="F395" t="inlineStr">
        <is>
          <t>VÄSTERBOTTENS LÄN</t>
        </is>
      </c>
      <c r="G395" t="inlineStr">
        <is>
          <t>DOROTEA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45747</v>
      </c>
      <c r="E396" s="1" t="n">
        <v>46289</v>
      </c>
      <c r="F396" t="inlineStr">
        <is>
          <t>VÄSTERBOTTENS LÄN</t>
        </is>
      </c>
      <c r="G396" t="inlineStr">
        <is>
          <t>DOROTEA</t>
        </is>
      </c>
      <c r="I396" t="n">
        <v>10.3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46155</v>
      </c>
      <c r="E397" s="1" t="n">
        <v>46289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15735-2026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46107</v>
      </c>
      <c r="E398" s="1" t="n">
        <v>46289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46289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46289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38096-2025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45882</v>
      </c>
      <c r="E401" s="1" t="n">
        <v>46289</v>
      </c>
      <c r="F401" t="inlineStr">
        <is>
          <t>VÄSTERBOTTENS LÄN</t>
        </is>
      </c>
      <c r="G401" t="inlineStr">
        <is>
          <t>DOROTEA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45505</v>
      </c>
      <c r="E402" s="1" t="n">
        <v>46289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46289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46289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30461-2024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45491</v>
      </c>
      <c r="E405" s="1" t="n">
        <v>46289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54031-2025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45962</v>
      </c>
      <c r="E406" s="1" t="n">
        <v>46289</v>
      </c>
      <c r="F406" t="inlineStr">
        <is>
          <t>VÄSTERBOTTENS LÄN</t>
        </is>
      </c>
      <c r="G406" t="inlineStr">
        <is>
          <t>DOROTEA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46289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46289</v>
      </c>
      <c r="F408" t="inlineStr">
        <is>
          <t>VÄSTERBOTTENS LÄN</t>
        </is>
      </c>
      <c r="G408" t="inlineStr">
        <is>
          <t>DOROTEA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50582-2024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45600</v>
      </c>
      <c r="E409" s="1" t="n">
        <v>46289</v>
      </c>
      <c r="F409" t="inlineStr">
        <is>
          <t>VÄSTERBOTTENS LÄN</t>
        </is>
      </c>
      <c r="G409" t="inlineStr">
        <is>
          <t>DOROTEA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46289</v>
      </c>
      <c r="F410" t="inlineStr">
        <is>
          <t>VÄSTERBOTTENS LÄN</t>
        </is>
      </c>
      <c r="G410" t="inlineStr">
        <is>
          <t>DOROTEA</t>
        </is>
      </c>
      <c r="I410" t="n">
        <v>7.9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44979</v>
      </c>
      <c r="E411" s="1" t="n">
        <v>46289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46176</v>
      </c>
      <c r="E412" s="1" t="n">
        <v>46289</v>
      </c>
      <c r="F412" t="inlineStr">
        <is>
          <t>VÄSTERBOTTENS LÄN</t>
        </is>
      </c>
      <c r="G412" t="inlineStr">
        <is>
          <t>DOROTEA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46289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46289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46289</v>
      </c>
      <c r="F415" t="inlineStr">
        <is>
          <t>VÄSTERBOTTENS LÄN</t>
        </is>
      </c>
      <c r="G415" t="inlineStr">
        <is>
          <t>DOROTEA</t>
        </is>
      </c>
      <c r="I415" t="n">
        <v>26.2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46289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46289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46289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46289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46185</v>
      </c>
      <c r="E420" s="1" t="n">
        <v>46289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46191</v>
      </c>
      <c r="E421" s="1" t="n">
        <v>46289</v>
      </c>
      <c r="F421" t="inlineStr">
        <is>
          <t>VÄSTERBOTTENS LÄN</t>
        </is>
      </c>
      <c r="G421" t="inlineStr">
        <is>
          <t>DOROTEA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46289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46289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46289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49.5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46289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46289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46289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46289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9.300000000000001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33514-2026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46248</v>
      </c>
      <c r="E429" s="1" t="n">
        <v>46289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46289</v>
      </c>
      <c r="F430" t="inlineStr">
        <is>
          <t>VÄSTERBOTTENS LÄN</t>
        </is>
      </c>
      <c r="G430" t="inlineStr">
        <is>
          <t>DOROTEA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46289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46209</v>
      </c>
      <c r="E432" s="1" t="n">
        <v>46289</v>
      </c>
      <c r="F432" t="inlineStr">
        <is>
          <t>VÄSTERBOTTENS LÄN</t>
        </is>
      </c>
      <c r="G432" t="inlineStr">
        <is>
          <t>DOROTEA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46289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46253</v>
      </c>
      <c r="E434" s="1" t="n">
        <v>46289</v>
      </c>
      <c r="F434" t="inlineStr">
        <is>
          <t>VÄSTERBOTTENS LÄN</t>
        </is>
      </c>
      <c r="G434" t="inlineStr">
        <is>
          <t>DOROTEA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46211</v>
      </c>
      <c r="E435" s="1" t="n">
        <v>46289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46211</v>
      </c>
      <c r="E436" s="1" t="n">
        <v>46289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46289</v>
      </c>
      <c r="F437" t="inlineStr">
        <is>
          <t>VÄSTERBOTTENS LÄN</t>
        </is>
      </c>
      <c r="G437" t="inlineStr">
        <is>
          <t>DOROTEA</t>
        </is>
      </c>
      <c r="I437" t="n">
        <v>13.6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46289</v>
      </c>
      <c r="F438" t="inlineStr">
        <is>
          <t>VÄSTERBOTTENS LÄN</t>
        </is>
      </c>
      <c r="G438" t="inlineStr">
        <is>
          <t>DOROTEA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46289</v>
      </c>
      <c r="F439" t="inlineStr">
        <is>
          <t>VÄSTERBOTTENS LÄN</t>
        </is>
      </c>
      <c r="G439" t="inlineStr">
        <is>
          <t>DOROTEA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46212</v>
      </c>
      <c r="E440" s="1" t="n">
        <v>46289</v>
      </c>
      <c r="F440" t="inlineStr">
        <is>
          <t>VÄSTERBOTTENS LÄN</t>
        </is>
      </c>
      <c r="G440" t="inlineStr">
        <is>
          <t>DOROTEA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46289</v>
      </c>
      <c r="F441" t="inlineStr">
        <is>
          <t>VÄSTERBOTTENS LÄN</t>
        </is>
      </c>
      <c r="G441" t="inlineStr">
        <is>
          <t>DOROTEA</t>
        </is>
      </c>
      <c r="I441" t="n">
        <v>8.4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46212</v>
      </c>
      <c r="E442" s="1" t="n">
        <v>46289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46213</v>
      </c>
      <c r="E443" s="1" t="n">
        <v>46289</v>
      </c>
      <c r="F443" t="inlineStr">
        <is>
          <t>VÄSTERBOTTENS LÄN</t>
        </is>
      </c>
      <c r="G443" t="inlineStr">
        <is>
          <t>DOROTEA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46289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46213</v>
      </c>
      <c r="E445" s="1" t="n">
        <v>46289</v>
      </c>
      <c r="F445" t="inlineStr">
        <is>
          <t>VÄSTERBOTTENS LÄN</t>
        </is>
      </c>
      <c r="G445" t="inlineStr">
        <is>
          <t>DOROTEA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46217</v>
      </c>
      <c r="E446" s="1" t="n">
        <v>46289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46289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31259-2026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46218</v>
      </c>
      <c r="E448" s="1" t="n">
        <v>46289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46218</v>
      </c>
      <c r="E449" s="1" t="n">
        <v>46289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46289</v>
      </c>
      <c r="F450" t="inlineStr">
        <is>
          <t>VÄSTERBOTTENS LÄN</t>
        </is>
      </c>
      <c r="G450" t="inlineStr">
        <is>
          <t>DOROTEA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46289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46289</v>
      </c>
      <c r="F452" t="inlineStr">
        <is>
          <t>VÄSTERBOTTENS LÄN</t>
        </is>
      </c>
      <c r="G452" t="inlineStr">
        <is>
          <t>DOROTEA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46289</v>
      </c>
      <c r="F453" t="inlineStr">
        <is>
          <t>VÄSTERBOTTENS LÄN</t>
        </is>
      </c>
      <c r="G453" t="inlineStr">
        <is>
          <t>DOROTEA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35296-2026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46289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46262</v>
      </c>
      <c r="E455" s="1" t="n">
        <v>46289</v>
      </c>
      <c r="F455" t="inlineStr">
        <is>
          <t>VÄSTERBOTTENS LÄN</t>
        </is>
      </c>
      <c r="G455" t="inlineStr">
        <is>
          <t>DOROTEA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46289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46289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46224</v>
      </c>
      <c r="E458" s="1" t="n">
        <v>46289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46289</v>
      </c>
      <c r="F459" t="inlineStr">
        <is>
          <t>VÄSTERBOTTENS LÄN</t>
        </is>
      </c>
      <c r="G459" t="inlineStr">
        <is>
          <t>DOROTEA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46224</v>
      </c>
      <c r="E460" s="1" t="n">
        <v>46289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46224</v>
      </c>
      <c r="E461" s="1" t="n">
        <v>46289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46289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46281</v>
      </c>
      <c r="E463" s="1" t="n">
        <v>46289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46282</v>
      </c>
      <c r="E464" s="1" t="n">
        <v>46289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46289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46289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46289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46289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46289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46289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46289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46289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2026-09-24T01:58:52Z</dcterms:created>
  <dcterms:modified xmlns:dcterms="http://purl.org/dc/terms/" xmlns:xsi="http://www.w3.org/2001/XMLSchema-instance" xsi:type="dcterms:W3CDTF">2026-09-24T01:58:53Z</dcterms:modified>
</cp:coreProperties>
</file>