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46294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46294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46294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46294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46294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46294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46294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46294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46294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46294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46294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46294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46294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46294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46294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46294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46294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46294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46294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49045-2025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46294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4.5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Tretåig hackspett</t>
        </is>
      </c>
      <c r="W26">
        <f>HYPERLINK("https://klasma.github.io/Logging_2425/artfynd/A 49045-2025 artfynd.xlsx", "A 49045-2025")</f>
        <v/>
      </c>
      <c r="X26">
        <f>HYPERLINK("https://klasma.github.io/Logging_2425/kartor/A 49045-2025 karta.png", "A 49045-2025")</f>
        <v/>
      </c>
      <c r="Y26">
        <f>HYPERLINK("https://klasma.github.io/Logging_2425/kartor_geotiff/A 49045-2025 georefererad karta.tif", "A 49045-2025")</f>
        <v/>
      </c>
      <c r="AA26">
        <f>HYPERLINK("https://klasma.github.io/Logging_2425/klagomål/A 49045-2025 FSC-klagomål.docx", "A 49045-2025")</f>
        <v/>
      </c>
      <c r="AB26">
        <f>HYPERLINK("https://klasma.github.io/Logging_2425/klagomålsmail/A 49045-2025 FSC-klagomål mail.docx", "A 49045-2025")</f>
        <v/>
      </c>
      <c r="AC26">
        <f>HYPERLINK("https://klasma.github.io/Logging_2425/tillsyn/A 49045-2025 tillsynsbegäran.docx", "A 49045-2025")</f>
        <v/>
      </c>
      <c r="AD26">
        <f>HYPERLINK("https://klasma.github.io/Logging_2425/tillsynsmail/A 49045-2025 tillsynsbegäran mail.docx", "A 49045-2025")</f>
        <v/>
      </c>
      <c r="AE26">
        <f>HYPERLINK("https://klasma.github.io/Logging_2425/fåglar/A 49045-2025 prioriterade fågelarter.docx", "A 49045-2025")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46294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46294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46294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46294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46294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46294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53309-2022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44878</v>
      </c>
      <c r="E36" s="1" t="n">
        <v>46294</v>
      </c>
      <c r="F36" t="inlineStr">
        <is>
          <t>VÄSTERBOTTENS LÄN</t>
        </is>
      </c>
      <c r="G36" t="inlineStr">
        <is>
          <t>DOROTEA</t>
        </is>
      </c>
      <c r="I36" t="n">
        <v>6.6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HYPERLINK("https://klasma.github.io/Logging_2425/artfynd/A 53309-2022 artfynd.xlsx", "A 53309-2022")</f>
        <v/>
      </c>
      <c r="X36">
        <f>HYPERLINK("https://klasma.github.io/Logging_2425/kartor/A 53309-2022 karta.png", "A 53309-2022")</f>
        <v/>
      </c>
      <c r="Y36">
        <f>HYPERLINK("https://klasma.github.io/Logging_2425/kartor_geotiff/A 53309-2022 georefererad karta.tif", "A 53309-2022")</f>
        <v/>
      </c>
      <c r="AA36">
        <f>HYPERLINK("https://klasma.github.io/Logging_2425/klagomål/A 53309-2022 FSC-klagomål.docx", "A 53309-2022")</f>
        <v/>
      </c>
      <c r="AB36">
        <f>HYPERLINK("https://klasma.github.io/Logging_2425/klagomålsmail/A 53309-2022 FSC-klagomål mail.docx", "A 53309-2022")</f>
        <v/>
      </c>
      <c r="AC36">
        <f>HYPERLINK("https://klasma.github.io/Logging_2425/tillsyn/A 53309-2022 tillsynsbegäran.docx", "A 53309-2022")</f>
        <v/>
      </c>
      <c r="AD36">
        <f>HYPERLINK("https://klasma.github.io/Logging_2425/tillsynsmail/A 53309-2022 tillsynsbegäran mail.docx", "A 53309-2022")</f>
        <v/>
      </c>
      <c r="AE36">
        <f>HYPERLINK("https://klasma.github.io/Logging_2425/fåglar/A 53309-2022 prioriterade fågelarter.docx", "A 53309-2022")</f>
        <v/>
      </c>
    </row>
    <row r="37" ht="15" customHeight="1">
      <c r="A37" t="inlineStr">
        <is>
          <t>A 39686-2025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45890</v>
      </c>
      <c r="E37" s="1" t="n">
        <v>46294</v>
      </c>
      <c r="F37" t="inlineStr">
        <is>
          <t>VÄSTERBOTTENS LÄN</t>
        </is>
      </c>
      <c r="G37" t="inlineStr">
        <is>
          <t>DOROTEA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HYPERLINK("https://klasma.github.io/Logging_2425/artfynd/A 39686-2025 artfynd.xlsx", "A 39686-2025")</f>
        <v/>
      </c>
      <c r="X37">
        <f>HYPERLINK("https://klasma.github.io/Logging_2425/kartor/A 39686-2025 karta.png", "A 39686-2025")</f>
        <v/>
      </c>
      <c r="Y37">
        <f>HYPERLINK("https://klasma.github.io/Logging_2425/kartor_geotiff/A 39686-2025 georefererad karta.tif", "A 39686-2025")</f>
        <v/>
      </c>
      <c r="AA37">
        <f>HYPERLINK("https://klasma.github.io/Logging_2425/klagomål/A 39686-2025 FSC-klagomål.docx", "A 39686-2025")</f>
        <v/>
      </c>
      <c r="AB37">
        <f>HYPERLINK("https://klasma.github.io/Logging_2425/klagomålsmail/A 39686-2025 FSC-klagomål mail.docx", "A 39686-2025")</f>
        <v/>
      </c>
      <c r="AC37">
        <f>HYPERLINK("https://klasma.github.io/Logging_2425/tillsyn/A 39686-2025 tillsynsbegäran.docx", "A 39686-2025")</f>
        <v/>
      </c>
      <c r="AD37">
        <f>HYPERLINK("https://klasma.github.io/Logging_2425/tillsynsmail/A 39686-2025 tillsynsbegäran mail.docx", "A 39686-2025")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46294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46294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46294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46294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46294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46294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46294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46294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46294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46294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46294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46294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46294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46294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46294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46294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46294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46294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46294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46294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46294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46294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46294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46294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46294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45556</v>
      </c>
      <c r="E70" s="1" t="n">
        <v>46294</v>
      </c>
      <c r="F70" t="inlineStr">
        <is>
          <t>VÄSTERBOTTENS LÄN</t>
        </is>
      </c>
      <c r="G70" t="inlineStr">
        <is>
          <t>DOROTEA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46294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46294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60015-2023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45257</v>
      </c>
      <c r="E73" s="1" t="n">
        <v>46294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46294</v>
      </c>
      <c r="F74" t="inlineStr">
        <is>
          <t>VÄSTERBOTTENS LÄN</t>
        </is>
      </c>
      <c r="G74" t="inlineStr">
        <is>
          <t>DOROTEA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45036</v>
      </c>
      <c r="E75" s="1" t="n">
        <v>46294</v>
      </c>
      <c r="F75" t="inlineStr">
        <is>
          <t>VÄSTERBOTTENS LÄN</t>
        </is>
      </c>
      <c r="G75" t="inlineStr">
        <is>
          <t>DOROTEA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46003</v>
      </c>
      <c r="E76" s="1" t="n">
        <v>46294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62193-2025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46003</v>
      </c>
      <c r="E77" s="1" t="n">
        <v>46294</v>
      </c>
      <c r="F77" t="inlineStr">
        <is>
          <t>VÄSTERBOTTENS LÄN</t>
        </is>
      </c>
      <c r="G77" t="inlineStr">
        <is>
          <t>DOROTEA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46294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46294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46294</v>
      </c>
      <c r="F80" t="inlineStr">
        <is>
          <t>VÄSTERBOTTENS LÄN</t>
        </is>
      </c>
      <c r="G80" t="inlineStr">
        <is>
          <t>DOROTEA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46294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46294</v>
      </c>
      <c r="F82" t="inlineStr">
        <is>
          <t>VÄSTERBOTTENS LÄN</t>
        </is>
      </c>
      <c r="G82" t="inlineStr">
        <is>
          <t>DOROTEA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46294</v>
      </c>
      <c r="F83" t="inlineStr">
        <is>
          <t>VÄSTERBOTTENS LÄN</t>
        </is>
      </c>
      <c r="G83" t="inlineStr">
        <is>
          <t>DOROTEA</t>
        </is>
      </c>
      <c r="I83" t="n">
        <v>16.7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27477-2023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45097</v>
      </c>
      <c r="E84" s="1" t="n">
        <v>46294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46294</v>
      </c>
      <c r="F85" t="inlineStr">
        <is>
          <t>VÄSTERBOTTENS LÄN</t>
        </is>
      </c>
      <c r="G85" t="inlineStr">
        <is>
          <t>DOROTEA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45755</v>
      </c>
      <c r="E86" s="1" t="n">
        <v>46294</v>
      </c>
      <c r="F86" t="inlineStr">
        <is>
          <t>VÄSTERBOTTENS LÄN</t>
        </is>
      </c>
      <c r="G86" t="inlineStr">
        <is>
          <t>DOROTEA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46294</v>
      </c>
      <c r="F87" t="inlineStr">
        <is>
          <t>VÄSTERBOTTENS LÄN</t>
        </is>
      </c>
      <c r="G87" t="inlineStr">
        <is>
          <t>DOROTEA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45140</v>
      </c>
      <c r="E88" s="1" t="n">
        <v>46294</v>
      </c>
      <c r="F88" t="inlineStr">
        <is>
          <t>VÄSTERBOTTENS LÄN</t>
        </is>
      </c>
      <c r="G88" t="inlineStr">
        <is>
          <t>DOROTEA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45485</v>
      </c>
      <c r="E89" s="1" t="n">
        <v>46294</v>
      </c>
      <c r="F89" t="inlineStr">
        <is>
          <t>VÄSTERBOTTENS LÄN</t>
        </is>
      </c>
      <c r="G89" t="inlineStr">
        <is>
          <t>DOROTEA</t>
        </is>
      </c>
      <c r="I89" t="n">
        <v>10.2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46294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46294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46294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8.199999999999999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45551</v>
      </c>
      <c r="E93" s="1" t="n">
        <v>46294</v>
      </c>
      <c r="F93" t="inlineStr">
        <is>
          <t>VÄSTERBOTTENS LÄN</t>
        </is>
      </c>
      <c r="G93" t="inlineStr">
        <is>
          <t>DOROTEA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45517</v>
      </c>
      <c r="E94" s="1" t="n">
        <v>46294</v>
      </c>
      <c r="F94" t="inlineStr">
        <is>
          <t>VÄSTERBOTTENS LÄN</t>
        </is>
      </c>
      <c r="G94" t="inlineStr">
        <is>
          <t>DOROTEA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46294</v>
      </c>
      <c r="F95" t="inlineStr">
        <is>
          <t>VÄSTERBOTTENS LÄN</t>
        </is>
      </c>
      <c r="G95" t="inlineStr">
        <is>
          <t>DOROTEA</t>
        </is>
      </c>
      <c r="I95" t="n">
        <v>12.8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45446</v>
      </c>
      <c r="E96" s="1" t="n">
        <v>46294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45125</v>
      </c>
      <c r="E97" s="1" t="n">
        <v>46294</v>
      </c>
      <c r="F97" t="inlineStr">
        <is>
          <t>VÄSTERBOTTENS LÄN</t>
        </is>
      </c>
      <c r="G97" t="inlineStr">
        <is>
          <t>DOROTEA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46294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46294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46294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Sveaskog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46294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46294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46294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46294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46294</v>
      </c>
      <c r="F105" t="inlineStr">
        <is>
          <t>VÄSTERBOTTENS LÄN</t>
        </is>
      </c>
      <c r="G105" t="inlineStr">
        <is>
          <t>DOROTEA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46294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46294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46294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46294</v>
      </c>
      <c r="F109" t="inlineStr">
        <is>
          <t>VÄSTERBOTTENS LÄN</t>
        </is>
      </c>
      <c r="G109" t="inlineStr">
        <is>
          <t>DOROTEA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46294</v>
      </c>
      <c r="F110" t="inlineStr">
        <is>
          <t>VÄSTERBOTTENS LÄN</t>
        </is>
      </c>
      <c r="G110" t="inlineStr">
        <is>
          <t>DOROTEA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46294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46294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46294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46294</v>
      </c>
      <c r="F114" t="inlineStr">
        <is>
          <t>VÄSTERBOTTENS LÄN</t>
        </is>
      </c>
      <c r="G114" t="inlineStr">
        <is>
          <t>DOROTEA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46294</v>
      </c>
      <c r="F115" t="inlineStr">
        <is>
          <t>VÄSTERBOTTENS LÄN</t>
        </is>
      </c>
      <c r="G115" t="inlineStr">
        <is>
          <t>DOROTEA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46294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46294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46294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46294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46294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46294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46294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44282-2025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45916</v>
      </c>
      <c r="E123" s="1" t="n">
        <v>46294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46294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statliga verk och myndigheter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46294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45140</v>
      </c>
      <c r="E126" s="1" t="n">
        <v>46294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46294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46294</v>
      </c>
      <c r="F128" t="inlineStr">
        <is>
          <t>VÄSTERBOTTENS LÄN</t>
        </is>
      </c>
      <c r="G128" t="inlineStr">
        <is>
          <t>DOROTEA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46294</v>
      </c>
      <c r="F129" t="inlineStr">
        <is>
          <t>VÄSTERBOTTENS LÄN</t>
        </is>
      </c>
      <c r="G129" t="inlineStr">
        <is>
          <t>DOROTEA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46294</v>
      </c>
      <c r="F130" t="inlineStr">
        <is>
          <t>VÄSTERBOTTENS LÄN</t>
        </is>
      </c>
      <c r="G130" t="inlineStr">
        <is>
          <t>DOROTEA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46294</v>
      </c>
      <c r="F131" t="inlineStr">
        <is>
          <t>VÄSTERBOTTENS LÄN</t>
        </is>
      </c>
      <c r="G131" t="inlineStr">
        <is>
          <t>DOROTEA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46294</v>
      </c>
      <c r="F132" t="inlineStr">
        <is>
          <t>VÄSTERBOTTENS LÄN</t>
        </is>
      </c>
      <c r="G132" t="inlineStr">
        <is>
          <t>DOROTEA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46294</v>
      </c>
      <c r="F133" t="inlineStr">
        <is>
          <t>VÄSTERBOTTENS LÄN</t>
        </is>
      </c>
      <c r="G133" t="inlineStr">
        <is>
          <t>DOROTEA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46294</v>
      </c>
      <c r="F134" t="inlineStr">
        <is>
          <t>VÄSTERBOTTENS LÄN</t>
        </is>
      </c>
      <c r="G134" t="inlineStr">
        <is>
          <t>DOROTEA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46017</v>
      </c>
      <c r="E135" s="1" t="n">
        <v>46294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8.699999999999999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46294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46294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46294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45547</v>
      </c>
      <c r="E139" s="1" t="n">
        <v>46294</v>
      </c>
      <c r="F139" t="inlineStr">
        <is>
          <t>VÄSTERBOTTENS LÄN</t>
        </is>
      </c>
      <c r="G139" t="inlineStr">
        <is>
          <t>DOROTEA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46294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46294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25028-2024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45461</v>
      </c>
      <c r="E142" s="1" t="n">
        <v>46294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45036</v>
      </c>
      <c r="E143" s="1" t="n">
        <v>46294</v>
      </c>
      <c r="F143" t="inlineStr">
        <is>
          <t>VÄSTERBOTTENS LÄN</t>
        </is>
      </c>
      <c r="G143" t="inlineStr">
        <is>
          <t>DOROTEA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45847</v>
      </c>
      <c r="E144" s="1" t="n">
        <v>46294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46294</v>
      </c>
      <c r="F145" t="inlineStr">
        <is>
          <t>VÄSTERBOTTENS LÄN</t>
        </is>
      </c>
      <c r="G145" t="inlineStr">
        <is>
          <t>DOROTEA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46294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45574</v>
      </c>
      <c r="E147" s="1" t="n">
        <v>46294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45848</v>
      </c>
      <c r="E148" s="1" t="n">
        <v>46294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46294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46294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45463</v>
      </c>
      <c r="E151" s="1" t="n">
        <v>46294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45852</v>
      </c>
      <c r="E152" s="1" t="n">
        <v>46294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46294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46294</v>
      </c>
      <c r="F154" t="inlineStr">
        <is>
          <t>VÄSTERBOTTENS LÄN</t>
        </is>
      </c>
      <c r="G154" t="inlineStr">
        <is>
          <t>DOROTEA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45855</v>
      </c>
      <c r="E155" s="1" t="n">
        <v>46294</v>
      </c>
      <c r="F155" t="inlineStr">
        <is>
          <t>VÄSTERBOTTENS LÄN</t>
        </is>
      </c>
      <c r="G155" t="inlineStr">
        <is>
          <t>DOROTEA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46294</v>
      </c>
      <c r="F156" t="inlineStr">
        <is>
          <t>VÄSTERBOTTENS LÄN</t>
        </is>
      </c>
      <c r="G156" t="inlineStr">
        <is>
          <t>DOROTEA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46294</v>
      </c>
      <c r="F157" t="inlineStr">
        <is>
          <t>VÄSTERBOTTENS LÄN</t>
        </is>
      </c>
      <c r="G157" t="inlineStr">
        <is>
          <t>DOROTEA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48006-2023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45198</v>
      </c>
      <c r="E158" s="1" t="n">
        <v>46294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Övriga statliga verk och myndigheter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45866</v>
      </c>
      <c r="E159" s="1" t="n">
        <v>46294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46294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45866</v>
      </c>
      <c r="E161" s="1" t="n">
        <v>46294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46294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46294</v>
      </c>
      <c r="F163" t="inlineStr">
        <is>
          <t>VÄSTERBOTTENS LÄN</t>
        </is>
      </c>
      <c r="G163" t="inlineStr">
        <is>
          <t>DOROTEA</t>
        </is>
      </c>
      <c r="I163" t="n">
        <v>18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45228</v>
      </c>
      <c r="E164" s="1" t="n">
        <v>46294</v>
      </c>
      <c r="F164" t="inlineStr">
        <is>
          <t>VÄSTERBOTTENS LÄN</t>
        </is>
      </c>
      <c r="G164" t="inlineStr">
        <is>
          <t>DOROTEA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45228</v>
      </c>
      <c r="E165" s="1" t="n">
        <v>46294</v>
      </c>
      <c r="F165" t="inlineStr">
        <is>
          <t>VÄSTERBOTTENS LÄN</t>
        </is>
      </c>
      <c r="G165" t="inlineStr">
        <is>
          <t>DOROTEA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46294</v>
      </c>
      <c r="F166" t="inlineStr">
        <is>
          <t>VÄSTERBOTTENS LÄN</t>
        </is>
      </c>
      <c r="G166" t="inlineStr">
        <is>
          <t>DOROTEA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45874</v>
      </c>
      <c r="E167" s="1" t="n">
        <v>46294</v>
      </c>
      <c r="F167" t="inlineStr">
        <is>
          <t>VÄSTERBOTTENS LÄN</t>
        </is>
      </c>
      <c r="G167" t="inlineStr">
        <is>
          <t>DOROTEA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46294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46294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46294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45877</v>
      </c>
      <c r="E171" s="1" t="n">
        <v>46294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45876</v>
      </c>
      <c r="E172" s="1" t="n">
        <v>46294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46294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45966</v>
      </c>
      <c r="E174" s="1" t="n">
        <v>46294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46294</v>
      </c>
      <c r="F175" t="inlineStr">
        <is>
          <t>VÄSTERBOTTENS LÄN</t>
        </is>
      </c>
      <c r="G175" t="inlineStr">
        <is>
          <t>DOROTEA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46294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46294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46294</v>
      </c>
      <c r="F178" t="inlineStr">
        <is>
          <t>VÄSTERBOTTENS LÄN</t>
        </is>
      </c>
      <c r="G178" t="inlineStr">
        <is>
          <t>DOROTEA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46294</v>
      </c>
      <c r="F179" t="inlineStr">
        <is>
          <t>VÄSTERBOTTENS LÄN</t>
        </is>
      </c>
      <c r="G179" t="inlineStr">
        <is>
          <t>DOROTEA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46294</v>
      </c>
      <c r="F180" t="inlineStr">
        <is>
          <t>VÄSTERBOTTENS LÄN</t>
        </is>
      </c>
      <c r="G180" t="inlineStr">
        <is>
          <t>DOROTEA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45883</v>
      </c>
      <c r="E181" s="1" t="n">
        <v>46294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46294</v>
      </c>
      <c r="F182" t="inlineStr">
        <is>
          <t>VÄSTERBOTTENS LÄN</t>
        </is>
      </c>
      <c r="G182" t="inlineStr">
        <is>
          <t>DOROTEA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45712</v>
      </c>
      <c r="E183" s="1" t="n">
        <v>46294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46294</v>
      </c>
      <c r="F184" t="inlineStr">
        <is>
          <t>VÄSTERBOTTENS LÄN</t>
        </is>
      </c>
      <c r="G184" t="inlineStr">
        <is>
          <t>DOROTEA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46294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46294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46294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45977</v>
      </c>
      <c r="E188" s="1" t="n">
        <v>46294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46043</v>
      </c>
      <c r="E189" s="1" t="n">
        <v>46294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46294</v>
      </c>
      <c r="F190" t="inlineStr">
        <is>
          <t>VÄSTERBOTTENS LÄN</t>
        </is>
      </c>
      <c r="G190" t="inlineStr">
        <is>
          <t>DOROTEA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46294</v>
      </c>
      <c r="F191" t="inlineStr">
        <is>
          <t>VÄSTERBOTTENS LÄN</t>
        </is>
      </c>
      <c r="G191" t="inlineStr">
        <is>
          <t>DOROTEA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46294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46965-2024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45586</v>
      </c>
      <c r="E193" s="1" t="n">
        <v>46294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46294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46294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46294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46294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46294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46294</v>
      </c>
      <c r="F199" t="inlineStr">
        <is>
          <t>VÄSTERBOTTENS LÄN</t>
        </is>
      </c>
      <c r="G199" t="inlineStr">
        <is>
          <t>DOROTEA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46294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45013</v>
      </c>
      <c r="E201" s="1" t="n">
        <v>46294</v>
      </c>
      <c r="F201" t="inlineStr">
        <is>
          <t>VÄSTERBOTTENS LÄN</t>
        </is>
      </c>
      <c r="G201" t="inlineStr">
        <is>
          <t>DOROTEA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45982</v>
      </c>
      <c r="E202" s="1" t="n">
        <v>46294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45982</v>
      </c>
      <c r="E203" s="1" t="n">
        <v>46294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18.2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46294</v>
      </c>
      <c r="F204" t="inlineStr">
        <is>
          <t>VÄSTERBOTTENS LÄN</t>
        </is>
      </c>
      <c r="G204" t="inlineStr">
        <is>
          <t>DOROTEA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46294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46294</v>
      </c>
      <c r="F206" t="inlineStr">
        <is>
          <t>VÄSTERBOTTENS LÄN</t>
        </is>
      </c>
      <c r="G206" t="inlineStr">
        <is>
          <t>DOROTEA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46294</v>
      </c>
      <c r="F207" t="inlineStr">
        <is>
          <t>VÄSTERBOTTENS LÄN</t>
        </is>
      </c>
      <c r="G207" t="inlineStr">
        <is>
          <t>DOROTEA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46294</v>
      </c>
      <c r="F208" t="inlineStr">
        <is>
          <t>VÄSTERBOTTENS LÄN</t>
        </is>
      </c>
      <c r="G208" t="inlineStr">
        <is>
          <t>DOROTEA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46294</v>
      </c>
      <c r="F209" t="inlineStr">
        <is>
          <t>VÄSTERBOTTENS LÄN</t>
        </is>
      </c>
      <c r="G209" t="inlineStr">
        <is>
          <t>DOROTEA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46294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46294</v>
      </c>
      <c r="F211" t="inlineStr">
        <is>
          <t>VÄSTERBOTTENS LÄN</t>
        </is>
      </c>
      <c r="G211" t="inlineStr">
        <is>
          <t>DOROTEA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46294</v>
      </c>
      <c r="F212" t="inlineStr">
        <is>
          <t>VÄSTERBOTTENS LÄN</t>
        </is>
      </c>
      <c r="G212" t="inlineStr">
        <is>
          <t>DOROTEA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46294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46294</v>
      </c>
      <c r="F214" t="inlineStr">
        <is>
          <t>VÄSTERBOTTENS LÄN</t>
        </is>
      </c>
      <c r="G214" t="inlineStr">
        <is>
          <t>DOROTEA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46294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27305-2024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45471</v>
      </c>
      <c r="E216" s="1" t="n">
        <v>46294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35937-2025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45862</v>
      </c>
      <c r="E217" s="1" t="n">
        <v>46294</v>
      </c>
      <c r="F217" t="inlineStr">
        <is>
          <t>VÄSTERBOTTENS LÄN</t>
        </is>
      </c>
      <c r="G217" t="inlineStr">
        <is>
          <t>DOROTEA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46294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45996</v>
      </c>
      <c r="E219" s="1" t="n">
        <v>46294</v>
      </c>
      <c r="F219" t="inlineStr">
        <is>
          <t>VÄSTERBOTTENS LÄN</t>
        </is>
      </c>
      <c r="G219" t="inlineStr">
        <is>
          <t>DOROTEA</t>
        </is>
      </c>
      <c r="I219" t="n">
        <v>23.9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46054</v>
      </c>
      <c r="E220" s="1" t="n">
        <v>46294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45331</v>
      </c>
      <c r="E221" s="1" t="n">
        <v>46294</v>
      </c>
      <c r="F221" t="inlineStr">
        <is>
          <t>VÄSTERBOTTENS LÄN</t>
        </is>
      </c>
      <c r="G221" t="inlineStr">
        <is>
          <t>DOROTEA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44889</v>
      </c>
      <c r="E222" s="1" t="n">
        <v>46294</v>
      </c>
      <c r="F222" t="inlineStr">
        <is>
          <t>VÄSTERBOTTENS LÄN</t>
        </is>
      </c>
      <c r="G222" t="inlineStr">
        <is>
          <t>DOROTEA</t>
        </is>
      </c>
      <c r="I222" t="n">
        <v>15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46294</v>
      </c>
      <c r="F223" t="inlineStr">
        <is>
          <t>VÄSTERBOTTENS LÄN</t>
        </is>
      </c>
      <c r="G223" t="inlineStr">
        <is>
          <t>DOROTEA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46294</v>
      </c>
      <c r="F224" t="inlineStr">
        <is>
          <t>VÄSTERBOTTENS LÄN</t>
        </is>
      </c>
      <c r="G224" t="inlineStr">
        <is>
          <t>DOROTEA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46294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45140</v>
      </c>
      <c r="E226" s="1" t="n">
        <v>46294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46294</v>
      </c>
      <c r="F227" t="inlineStr">
        <is>
          <t>VÄSTERBOTTENS LÄN</t>
        </is>
      </c>
      <c r="G227" t="inlineStr">
        <is>
          <t>DOROTEA</t>
        </is>
      </c>
      <c r="I227" t="n">
        <v>20.1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45142</v>
      </c>
      <c r="E228" s="1" t="n">
        <v>46294</v>
      </c>
      <c r="F228" t="inlineStr">
        <is>
          <t>VÄSTERBOTTENS LÄN</t>
        </is>
      </c>
      <c r="G228" t="inlineStr">
        <is>
          <t>DOROTEA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46294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46294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45483</v>
      </c>
      <c r="E231" s="1" t="n">
        <v>46294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46294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46294</v>
      </c>
      <c r="F233" t="inlineStr">
        <is>
          <t>VÄSTERBOTTENS LÄN</t>
        </is>
      </c>
      <c r="G233" t="inlineStr">
        <is>
          <t>DOROTEA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46294</v>
      </c>
      <c r="F234" t="inlineStr">
        <is>
          <t>VÄSTERBOTTENS LÄN</t>
        </is>
      </c>
      <c r="G234" t="inlineStr">
        <is>
          <t>DOROTEA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45852</v>
      </c>
      <c r="E235" s="1" t="n">
        <v>46294</v>
      </c>
      <c r="F235" t="inlineStr">
        <is>
          <t>VÄSTERBOTTENS LÄN</t>
        </is>
      </c>
      <c r="G235" t="inlineStr">
        <is>
          <t>DOROTEA</t>
        </is>
      </c>
      <c r="H235" t="inlineStr">
        <is>
          <t>Allmännings- och besparingsskogar</t>
        </is>
      </c>
      <c r="I235" t="n">
        <v>22.1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46294</v>
      </c>
      <c r="F236" t="inlineStr">
        <is>
          <t>VÄSTERBOTTENS LÄN</t>
        </is>
      </c>
      <c r="G236" t="inlineStr">
        <is>
          <t>DOROTEA</t>
        </is>
      </c>
      <c r="H236" t="inlineStr">
        <is>
          <t>Allmännings- och besparingsskogar</t>
        </is>
      </c>
      <c r="I236" t="n">
        <v>20.3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46294</v>
      </c>
      <c r="F237" t="inlineStr">
        <is>
          <t>VÄSTERBOTTENS LÄN</t>
        </is>
      </c>
      <c r="G237" t="inlineStr">
        <is>
          <t>DOROTEA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45770</v>
      </c>
      <c r="E238" s="1" t="n">
        <v>46294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46294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46294</v>
      </c>
      <c r="F240" t="inlineStr">
        <is>
          <t>VÄSTERBOTTENS LÄN</t>
        </is>
      </c>
      <c r="G240" t="inlineStr">
        <is>
          <t>DOROTEA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46294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46294</v>
      </c>
      <c r="F242" t="inlineStr">
        <is>
          <t>VÄSTERBOTTENS LÄN</t>
        </is>
      </c>
      <c r="G242" t="inlineStr">
        <is>
          <t>DOROTEA</t>
        </is>
      </c>
      <c r="H242" t="inlineStr">
        <is>
          <t>Kommuner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59394-2023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46294</v>
      </c>
      <c r="F243" t="inlineStr">
        <is>
          <t>VÄSTERBOTTENS LÄN</t>
        </is>
      </c>
      <c r="G243" t="inlineStr">
        <is>
          <t>DOROTEA</t>
        </is>
      </c>
      <c r="I243" t="n">
        <v>28.8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46294</v>
      </c>
      <c r="F244" t="inlineStr">
        <is>
          <t>VÄSTERBOTTENS LÄN</t>
        </is>
      </c>
      <c r="G244" t="inlineStr">
        <is>
          <t>DOROTEA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46294</v>
      </c>
      <c r="F245" t="inlineStr">
        <is>
          <t>VÄSTERBOTTENS LÄN</t>
        </is>
      </c>
      <c r="G245" t="inlineStr">
        <is>
          <t>DOROTEA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44971</v>
      </c>
      <c r="E246" s="1" t="n">
        <v>46294</v>
      </c>
      <c r="F246" t="inlineStr">
        <is>
          <t>VÄSTERBOTTENS LÄN</t>
        </is>
      </c>
      <c r="G246" t="inlineStr">
        <is>
          <t>DOROTEA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46294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46294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46294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46294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33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46294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46294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44925</v>
      </c>
      <c r="E253" s="1" t="n">
        <v>46294</v>
      </c>
      <c r="F253" t="inlineStr">
        <is>
          <t>VÄSTERBOTTENS LÄN</t>
        </is>
      </c>
      <c r="G253" t="inlineStr">
        <is>
          <t>DOROTEA</t>
        </is>
      </c>
      <c r="I253" t="n">
        <v>22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46294</v>
      </c>
      <c r="F254" t="inlineStr">
        <is>
          <t>VÄSTERBOTTENS LÄN</t>
        </is>
      </c>
      <c r="G254" t="inlineStr">
        <is>
          <t>DOROTEA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46294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17623-2026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46294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46294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46294</v>
      </c>
      <c r="F258" t="inlineStr">
        <is>
          <t>VÄSTERBOTTENS LÄN</t>
        </is>
      </c>
      <c r="G258" t="inlineStr">
        <is>
          <t>DOROTEA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46294</v>
      </c>
      <c r="F259" t="inlineStr">
        <is>
          <t>VÄSTERBOTTENS LÄN</t>
        </is>
      </c>
      <c r="G259" t="inlineStr">
        <is>
          <t>DOROTEA</t>
        </is>
      </c>
      <c r="I259" t="n">
        <v>26.5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46123</v>
      </c>
      <c r="E260" s="1" t="n">
        <v>46294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46294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18.3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46126</v>
      </c>
      <c r="E262" s="1" t="n">
        <v>46294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46294</v>
      </c>
      <c r="F263" t="inlineStr">
        <is>
          <t>VÄSTERBOTTENS LÄN</t>
        </is>
      </c>
      <c r="G263" t="inlineStr">
        <is>
          <t>DOROTEA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46294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46294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45224</v>
      </c>
      <c r="E266" s="1" t="n">
        <v>46294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45713</v>
      </c>
      <c r="E267" s="1" t="n">
        <v>46294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45217</v>
      </c>
      <c r="E268" s="1" t="n">
        <v>46294</v>
      </c>
      <c r="F268" t="inlineStr">
        <is>
          <t>VÄSTERBOTTENS LÄN</t>
        </is>
      </c>
      <c r="G268" t="inlineStr">
        <is>
          <t>DOROTEA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46294</v>
      </c>
      <c r="F269" t="inlineStr">
        <is>
          <t>VÄSTERBOTTENS LÄN</t>
        </is>
      </c>
      <c r="G269" t="inlineStr">
        <is>
          <t>DOROTEA</t>
        </is>
      </c>
      <c r="I269" t="n">
        <v>14.8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46294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46294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46294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19446-2026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46294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46294</v>
      </c>
      <c r="F274" t="inlineStr">
        <is>
          <t>VÄSTERBOTTENS LÄN</t>
        </is>
      </c>
      <c r="G274" t="inlineStr">
        <is>
          <t>DOROTEA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46294</v>
      </c>
      <c r="F275" t="inlineStr">
        <is>
          <t>VÄSTERBOTTENS LÄN</t>
        </is>
      </c>
      <c r="G275" t="inlineStr">
        <is>
          <t>DOROTEA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46294</v>
      </c>
      <c r="F276" t="inlineStr">
        <is>
          <t>VÄSTERBOTTENS LÄN</t>
        </is>
      </c>
      <c r="G276" t="inlineStr">
        <is>
          <t>DOROTEA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55889-2022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44888</v>
      </c>
      <c r="E277" s="1" t="n">
        <v>46294</v>
      </c>
      <c r="F277" t="inlineStr">
        <is>
          <t>VÄSTERBOTTENS LÄN</t>
        </is>
      </c>
      <c r="G277" t="inlineStr">
        <is>
          <t>DOROTEA</t>
        </is>
      </c>
      <c r="I277" t="n">
        <v>15.8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46294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46294</v>
      </c>
      <c r="F279" t="inlineStr">
        <is>
          <t>VÄSTERBOTTENS LÄN</t>
        </is>
      </c>
      <c r="G279" t="inlineStr">
        <is>
          <t>DOROTEA</t>
        </is>
      </c>
      <c r="I279" t="n">
        <v>13.3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46294</v>
      </c>
      <c r="F280" t="inlineStr">
        <is>
          <t>VÄSTERBOTTENS LÄN</t>
        </is>
      </c>
      <c r="G280" t="inlineStr">
        <is>
          <t>DOROTEA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46294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46294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45351</v>
      </c>
      <c r="E283" s="1" t="n">
        <v>46294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46294</v>
      </c>
      <c r="F284" t="inlineStr">
        <is>
          <t>VÄSTERBOTTENS LÄN</t>
        </is>
      </c>
      <c r="G284" t="inlineStr">
        <is>
          <t>DOROTEA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46294</v>
      </c>
      <c r="F285" t="inlineStr">
        <is>
          <t>VÄSTERBOTTENS LÄN</t>
        </is>
      </c>
      <c r="G285" t="inlineStr">
        <is>
          <t>DOROTEA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46294</v>
      </c>
      <c r="F286" t="inlineStr">
        <is>
          <t>VÄSTERBOTTENS LÄN</t>
        </is>
      </c>
      <c r="G286" t="inlineStr">
        <is>
          <t>DOROTEA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46294</v>
      </c>
      <c r="F287" t="inlineStr">
        <is>
          <t>VÄSTERBOTTENS LÄN</t>
        </is>
      </c>
      <c r="G287" t="inlineStr">
        <is>
          <t>DOROTEA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46294</v>
      </c>
      <c r="F288" t="inlineStr">
        <is>
          <t>VÄSTERBOTTENS LÄN</t>
        </is>
      </c>
      <c r="G288" t="inlineStr">
        <is>
          <t>DOROTEA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46294</v>
      </c>
      <c r="F289" t="inlineStr">
        <is>
          <t>VÄSTERBOTTENS LÄN</t>
        </is>
      </c>
      <c r="G289" t="inlineStr">
        <is>
          <t>DOROTEA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45855</v>
      </c>
      <c r="E290" s="1" t="n">
        <v>46294</v>
      </c>
      <c r="F290" t="inlineStr">
        <is>
          <t>VÄSTERBOTTENS LÄN</t>
        </is>
      </c>
      <c r="G290" t="inlineStr">
        <is>
          <t>DOROTEA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46294</v>
      </c>
      <c r="F291" t="inlineStr">
        <is>
          <t>VÄSTERBOTTENS LÄN</t>
        </is>
      </c>
      <c r="G291" t="inlineStr">
        <is>
          <t>DOROTEA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45611</v>
      </c>
      <c r="E292" s="1" t="n">
        <v>46294</v>
      </c>
      <c r="F292" t="inlineStr">
        <is>
          <t>VÄSTERBOTTENS LÄN</t>
        </is>
      </c>
      <c r="G292" t="inlineStr">
        <is>
          <t>DOROTEA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46294</v>
      </c>
      <c r="F293" t="inlineStr">
        <is>
          <t>VÄSTERBOTTENS LÄN</t>
        </is>
      </c>
      <c r="G293" t="inlineStr">
        <is>
          <t>DOROTEA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45295</v>
      </c>
      <c r="E294" s="1" t="n">
        <v>46294</v>
      </c>
      <c r="F294" t="inlineStr">
        <is>
          <t>VÄSTERBOTTENS LÄN</t>
        </is>
      </c>
      <c r="G294" t="inlineStr">
        <is>
          <t>DOROTEA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46294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45876</v>
      </c>
      <c r="E296" s="1" t="n">
        <v>46294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32821-2024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45516</v>
      </c>
      <c r="E297" s="1" t="n">
        <v>46294</v>
      </c>
      <c r="F297" t="inlineStr">
        <is>
          <t>VÄSTERBOTTENS LÄN</t>
        </is>
      </c>
      <c r="G297" t="inlineStr">
        <is>
          <t>DOROTEA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46294</v>
      </c>
      <c r="F298" t="inlineStr">
        <is>
          <t>VÄSTERBOTTENS LÄN</t>
        </is>
      </c>
      <c r="G298" t="inlineStr">
        <is>
          <t>DOROTEA</t>
        </is>
      </c>
      <c r="I298" t="n">
        <v>18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46294</v>
      </c>
      <c r="F299" t="inlineStr">
        <is>
          <t>VÄSTERBOTTENS LÄN</t>
        </is>
      </c>
      <c r="G299" t="inlineStr">
        <is>
          <t>DOROTEA</t>
        </is>
      </c>
      <c r="I299" t="n">
        <v>17.8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46294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46294</v>
      </c>
      <c r="F301" t="inlineStr">
        <is>
          <t>VÄSTERBOTTENS LÄN</t>
        </is>
      </c>
      <c r="G301" t="inlineStr">
        <is>
          <t>DOROTEA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22946-2024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46294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46294</v>
      </c>
      <c r="F303" t="inlineStr">
        <is>
          <t>VÄSTERBOTTENS LÄN</t>
        </is>
      </c>
      <c r="G303" t="inlineStr">
        <is>
          <t>DOROTEA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46294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46294</v>
      </c>
      <c r="F305" t="inlineStr">
        <is>
          <t>VÄSTERBOTTENS LÄN</t>
        </is>
      </c>
      <c r="G305" t="inlineStr">
        <is>
          <t>DOROTEA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46294</v>
      </c>
      <c r="F306" t="inlineStr">
        <is>
          <t>VÄSTERBOTTENS LÄN</t>
        </is>
      </c>
      <c r="G306" t="inlineStr">
        <is>
          <t>DOROTEA</t>
        </is>
      </c>
      <c r="I306" t="n">
        <v>31.7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46294</v>
      </c>
      <c r="F307" t="inlineStr">
        <is>
          <t>VÄSTERBOTTENS LÄN</t>
        </is>
      </c>
      <c r="G307" t="inlineStr">
        <is>
          <t>DOROTEA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45399</v>
      </c>
      <c r="E308" s="1" t="n">
        <v>46294</v>
      </c>
      <c r="F308" t="inlineStr">
        <is>
          <t>VÄSTERBOTTENS LÄN</t>
        </is>
      </c>
      <c r="G308" t="inlineStr">
        <is>
          <t>DOROTEA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46294</v>
      </c>
      <c r="F309" t="inlineStr">
        <is>
          <t>VÄSTERBOTTENS LÄN</t>
        </is>
      </c>
      <c r="G309" t="inlineStr">
        <is>
          <t>DOROTEA</t>
        </is>
      </c>
      <c r="I309" t="n">
        <v>21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46294</v>
      </c>
      <c r="F310" t="inlineStr">
        <is>
          <t>VÄSTERBOTTENS LÄN</t>
        </is>
      </c>
      <c r="G310" t="inlineStr">
        <is>
          <t>DOROTEA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45866</v>
      </c>
      <c r="E311" s="1" t="n">
        <v>46294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57236-2022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46294</v>
      </c>
      <c r="F312" t="inlineStr">
        <is>
          <t>VÄSTERBOTTENS LÄN</t>
        </is>
      </c>
      <c r="G312" t="inlineStr">
        <is>
          <t>DOROTEA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67686-2021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46294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46294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46147</v>
      </c>
      <c r="E315" s="1" t="n">
        <v>46294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46294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46147</v>
      </c>
      <c r="E317" s="1" t="n">
        <v>46294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46294</v>
      </c>
      <c r="F318" t="inlineStr">
        <is>
          <t>VÄSTERBOTTENS LÄN</t>
        </is>
      </c>
      <c r="G318" t="inlineStr">
        <is>
          <t>DOROTEA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46189</v>
      </c>
      <c r="E319" s="1" t="n">
        <v>46294</v>
      </c>
      <c r="F319" t="inlineStr">
        <is>
          <t>VÄSTERBOTTENS LÄN</t>
        </is>
      </c>
      <c r="G319" t="inlineStr">
        <is>
          <t>DOROTEA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46294</v>
      </c>
      <c r="F320" t="inlineStr">
        <is>
          <t>VÄSTERBOTTENS LÄN</t>
        </is>
      </c>
      <c r="G320" t="inlineStr">
        <is>
          <t>DOROTEA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46149</v>
      </c>
      <c r="E321" s="1" t="n">
        <v>46294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46294</v>
      </c>
      <c r="F322" t="inlineStr">
        <is>
          <t>VÄSTERBOTTENS LÄN</t>
        </is>
      </c>
      <c r="G322" t="inlineStr">
        <is>
          <t>DOROTEA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46294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45552</v>
      </c>
      <c r="E324" s="1" t="n">
        <v>46294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46294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46294</v>
      </c>
      <c r="F326" t="inlineStr">
        <is>
          <t>VÄSTERBOTTENS LÄN</t>
        </is>
      </c>
      <c r="G326" t="inlineStr">
        <is>
          <t>DOROTEA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46294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46294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46294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30456-2022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44761</v>
      </c>
      <c r="E331" s="1" t="n">
        <v>46294</v>
      </c>
      <c r="F331" t="inlineStr">
        <is>
          <t>VÄSTERBOTTENS LÄN</t>
        </is>
      </c>
      <c r="G331" t="inlineStr">
        <is>
          <t>DOROTEA</t>
        </is>
      </c>
      <c r="I331" t="n">
        <v>10.6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44888</v>
      </c>
      <c r="E332" s="1" t="n">
        <v>46294</v>
      </c>
      <c r="F332" t="inlineStr">
        <is>
          <t>VÄSTERBOTTENS LÄN</t>
        </is>
      </c>
      <c r="G332" t="inlineStr">
        <is>
          <t>DOROTEA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46294</v>
      </c>
      <c r="F333" t="inlineStr">
        <is>
          <t>VÄSTERBOTTENS LÄN</t>
        </is>
      </c>
      <c r="G333" t="inlineStr">
        <is>
          <t>DOROTEA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46294</v>
      </c>
      <c r="F334" t="inlineStr">
        <is>
          <t>VÄSTERBOTTENS LÄN</t>
        </is>
      </c>
      <c r="G334" t="inlineStr">
        <is>
          <t>DOROTEA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46294</v>
      </c>
      <c r="F335" t="inlineStr">
        <is>
          <t>VÄSTERBOTTENS LÄN</t>
        </is>
      </c>
      <c r="G335" t="inlineStr">
        <is>
          <t>DOROTEA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46294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46294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45505</v>
      </c>
      <c r="E338" s="1" t="n">
        <v>46294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46294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30461-2024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45491</v>
      </c>
      <c r="E340" s="1" t="n">
        <v>46294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45962</v>
      </c>
      <c r="E341" s="1" t="n">
        <v>46294</v>
      </c>
      <c r="F341" t="inlineStr">
        <is>
          <t>VÄSTERBOTTENS LÄN</t>
        </is>
      </c>
      <c r="G341" t="inlineStr">
        <is>
          <t>DOROTEA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46294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14163-2024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45392</v>
      </c>
      <c r="E343" s="1" t="n">
        <v>46294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46294</v>
      </c>
      <c r="F344" t="inlineStr">
        <is>
          <t>VÄSTERBOTTENS LÄN</t>
        </is>
      </c>
      <c r="G344" t="inlineStr">
        <is>
          <t>DOROTEA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44719</v>
      </c>
      <c r="E345" s="1" t="n">
        <v>46294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40435-2023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45169</v>
      </c>
      <c r="E346" s="1" t="n">
        <v>46294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46294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46294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50582-2024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45600</v>
      </c>
      <c r="E349" s="1" t="n">
        <v>46294</v>
      </c>
      <c r="F349" t="inlineStr">
        <is>
          <t>VÄSTERBOTTENS LÄN</t>
        </is>
      </c>
      <c r="G349" t="inlineStr">
        <is>
          <t>DOROTEA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40434-2023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45169</v>
      </c>
      <c r="E350" s="1" t="n">
        <v>46294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4958-2023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44956</v>
      </c>
      <c r="E351" s="1" t="n">
        <v>46294</v>
      </c>
      <c r="F351" t="inlineStr">
        <is>
          <t>VÄSTERBOTTENS LÄN</t>
        </is>
      </c>
      <c r="G351" t="inlineStr">
        <is>
          <t>DOROTEA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44824</v>
      </c>
      <c r="E352" s="1" t="n">
        <v>46294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60304-2022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44910</v>
      </c>
      <c r="E353" s="1" t="n">
        <v>46294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27199-2024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45471</v>
      </c>
      <c r="E354" s="1" t="n">
        <v>46294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45551</v>
      </c>
      <c r="E355" s="1" t="n">
        <v>46294</v>
      </c>
      <c r="F355" t="inlineStr">
        <is>
          <t>VÄSTERBOTTENS LÄN</t>
        </is>
      </c>
      <c r="G355" t="inlineStr">
        <is>
          <t>DOROTEA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45055</v>
      </c>
      <c r="E356" s="1" t="n">
        <v>46294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Övriga statliga verk och myndigheter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45169</v>
      </c>
      <c r="E357" s="1" t="n">
        <v>46294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46294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46294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46294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46294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46294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44958</v>
      </c>
      <c r="E363" s="1" t="n">
        <v>46294</v>
      </c>
      <c r="F363" t="inlineStr">
        <is>
          <t>VÄSTERBOTTENS LÄN</t>
        </is>
      </c>
      <c r="G363" t="inlineStr">
        <is>
          <t>DOROTEA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74013-2021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44557</v>
      </c>
      <c r="E364" s="1" t="n">
        <v>46294</v>
      </c>
      <c r="F364" t="inlineStr">
        <is>
          <t>VÄSTERBOTTENS LÄN</t>
        </is>
      </c>
      <c r="G364" t="inlineStr">
        <is>
          <t>DOROTEA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46294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46294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46294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46294</v>
      </c>
      <c r="F368" t="inlineStr">
        <is>
          <t>VÄSTERBOTTENS LÄN</t>
        </is>
      </c>
      <c r="G368" t="inlineStr">
        <is>
          <t>DOROTEA</t>
        </is>
      </c>
      <c r="I368" t="n">
        <v>26.2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55919-2023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45239</v>
      </c>
      <c r="E369" s="1" t="n">
        <v>46294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46294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42228-2024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45562</v>
      </c>
      <c r="E371" s="1" t="n">
        <v>46294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46294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46294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45223</v>
      </c>
      <c r="E374" s="1" t="n">
        <v>46294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47494-2023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45202</v>
      </c>
      <c r="E375" s="1" t="n">
        <v>46294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46294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46294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46294</v>
      </c>
      <c r="F378" t="inlineStr">
        <is>
          <t>VÄSTERBOTTENS LÄN</t>
        </is>
      </c>
      <c r="G378" t="inlineStr">
        <is>
          <t>DOROTEA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46294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27738-2026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46191</v>
      </c>
      <c r="E380" s="1" t="n">
        <v>46294</v>
      </c>
      <c r="F380" t="inlineStr">
        <is>
          <t>VÄSTERBOTTENS LÄN</t>
        </is>
      </c>
      <c r="G380" t="inlineStr">
        <is>
          <t>DOROTEA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57070-2023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45244</v>
      </c>
      <c r="E381" s="1" t="n">
        <v>46294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46294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45448</v>
      </c>
      <c r="E383" s="1" t="n">
        <v>46294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46294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46294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46196</v>
      </c>
      <c r="E386" s="1" t="n">
        <v>46294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46294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46294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46294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46294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45566</v>
      </c>
      <c r="E391" s="1" t="n">
        <v>46294</v>
      </c>
      <c r="F391" t="inlineStr">
        <is>
          <t>VÄSTERBOTTENS LÄN</t>
        </is>
      </c>
      <c r="G391" t="inlineStr">
        <is>
          <t>DOROTEA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46294</v>
      </c>
      <c r="F392" t="inlineStr">
        <is>
          <t>VÄSTERBOTTENS LÄN</t>
        </is>
      </c>
      <c r="G392" t="inlineStr">
        <is>
          <t>DOROTEA</t>
        </is>
      </c>
      <c r="I392" t="n">
        <v>22.7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46294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46294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45519</v>
      </c>
      <c r="E395" s="1" t="n">
        <v>46294</v>
      </c>
      <c r="F395" t="inlineStr">
        <is>
          <t>VÄSTERBOTTENS LÄN</t>
        </is>
      </c>
      <c r="G395" t="inlineStr">
        <is>
          <t>DOROTEA</t>
        </is>
      </c>
      <c r="I395" t="n">
        <v>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46294</v>
      </c>
      <c r="F396" t="inlineStr">
        <is>
          <t>VÄSTERBOTTENS LÄN</t>
        </is>
      </c>
      <c r="G396" t="inlineStr">
        <is>
          <t>DOROTEA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46294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46294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46294</v>
      </c>
      <c r="F399" t="inlineStr">
        <is>
          <t>VÄSTERBOTTENS LÄN</t>
        </is>
      </c>
      <c r="G399" t="inlineStr">
        <is>
          <t>DOROTEA</t>
        </is>
      </c>
      <c r="I399" t="n">
        <v>11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46294</v>
      </c>
      <c r="F400" t="inlineStr">
        <is>
          <t>VÄSTERBOTTENS LÄN</t>
        </is>
      </c>
      <c r="G400" t="inlineStr">
        <is>
          <t>DOROTEA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46294</v>
      </c>
      <c r="F401" t="inlineStr">
        <is>
          <t>VÄSTERBOTTENS LÄN</t>
        </is>
      </c>
      <c r="G401" t="inlineStr">
        <is>
          <t>DOROTEA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45393</v>
      </c>
      <c r="E402" s="1" t="n">
        <v>46294</v>
      </c>
      <c r="F402" t="inlineStr">
        <is>
          <t>VÄSTERBOTTENS LÄN</t>
        </is>
      </c>
      <c r="G402" t="inlineStr">
        <is>
          <t>DOROTEA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59418-2023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45253</v>
      </c>
      <c r="E403" s="1" t="n">
        <v>46294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46294</v>
      </c>
      <c r="F404" t="inlineStr">
        <is>
          <t>VÄSTERBOTTENS LÄN</t>
        </is>
      </c>
      <c r="G404" t="inlineStr">
        <is>
          <t>DOROTEA</t>
        </is>
      </c>
      <c r="I404" t="n">
        <v>13.6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30645-2026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46211</v>
      </c>
      <c r="E405" s="1" t="n">
        <v>46294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46212</v>
      </c>
      <c r="E406" s="1" t="n">
        <v>46294</v>
      </c>
      <c r="F406" t="inlineStr">
        <is>
          <t>VÄSTERBOTTENS LÄN</t>
        </is>
      </c>
      <c r="G406" t="inlineStr">
        <is>
          <t>DOROTEA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45111</v>
      </c>
      <c r="E407" s="1" t="n">
        <v>46294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46294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46294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46212</v>
      </c>
      <c r="E410" s="1" t="n">
        <v>46294</v>
      </c>
      <c r="F410" t="inlineStr">
        <is>
          <t>VÄSTERBOTTENS LÄN</t>
        </is>
      </c>
      <c r="G410" t="inlineStr">
        <is>
          <t>DOROTEA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46294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46211</v>
      </c>
      <c r="E412" s="1" t="n">
        <v>46294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45223</v>
      </c>
      <c r="E413" s="1" t="n">
        <v>46294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4617-2023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44956</v>
      </c>
      <c r="E414" s="1" t="n">
        <v>46294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46213</v>
      </c>
      <c r="E415" s="1" t="n">
        <v>46294</v>
      </c>
      <c r="F415" t="inlineStr">
        <is>
          <t>VÄSTERBOTTENS LÄN</t>
        </is>
      </c>
      <c r="G415" t="inlineStr">
        <is>
          <t>DOROTEA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46294</v>
      </c>
      <c r="F416" t="inlineStr">
        <is>
          <t>VÄSTERBOTTENS LÄN</t>
        </is>
      </c>
      <c r="G416" t="inlineStr">
        <is>
          <t>DOROTEA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44481</v>
      </c>
      <c r="E417" s="1" t="n">
        <v>46294</v>
      </c>
      <c r="F417" t="inlineStr">
        <is>
          <t>VÄSTERBOTTENS LÄN</t>
        </is>
      </c>
      <c r="G417" t="inlineStr">
        <is>
          <t>DOROTEA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46218</v>
      </c>
      <c r="E418" s="1" t="n">
        <v>46294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46294</v>
      </c>
      <c r="F419" t="inlineStr">
        <is>
          <t>VÄSTERBOTTENS LÄN</t>
        </is>
      </c>
      <c r="G419" t="inlineStr">
        <is>
          <t>DOROTEA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46218</v>
      </c>
      <c r="E420" s="1" t="n">
        <v>46294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46217</v>
      </c>
      <c r="E421" s="1" t="n">
        <v>46294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46294</v>
      </c>
      <c r="F422" t="inlineStr">
        <is>
          <t>VÄSTERBOTTENS LÄN</t>
        </is>
      </c>
      <c r="G422" t="inlineStr">
        <is>
          <t>DOROTEA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45253</v>
      </c>
      <c r="E423" s="1" t="n">
        <v>46294</v>
      </c>
      <c r="F423" t="inlineStr">
        <is>
          <t>VÄSTERBOTTENS LÄN</t>
        </is>
      </c>
      <c r="G423" t="inlineStr">
        <is>
          <t>DOROTEA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46261</v>
      </c>
      <c r="E424" s="1" t="n">
        <v>46294</v>
      </c>
      <c r="F424" t="inlineStr">
        <is>
          <t>VÄSTERBOTTENS LÄN</t>
        </is>
      </c>
      <c r="G424" t="inlineStr">
        <is>
          <t>DOROTEA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46294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46217</v>
      </c>
      <c r="E426" s="1" t="n">
        <v>46294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46294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46294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46261</v>
      </c>
      <c r="E429" s="1" t="n">
        <v>46294</v>
      </c>
      <c r="F429" t="inlineStr">
        <is>
          <t>VÄSTERBOTTENS LÄN</t>
        </is>
      </c>
      <c r="G429" t="inlineStr">
        <is>
          <t>DOROTEA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46261</v>
      </c>
      <c r="E430" s="1" t="n">
        <v>46294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45198</v>
      </c>
      <c r="E431" s="1" t="n">
        <v>46294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31439-2026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46220</v>
      </c>
      <c r="E432" s="1" t="n">
        <v>46294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46262</v>
      </c>
      <c r="E433" s="1" t="n">
        <v>46294</v>
      </c>
      <c r="F433" t="inlineStr">
        <is>
          <t>VÄSTERBOTTENS LÄN</t>
        </is>
      </c>
      <c r="G433" t="inlineStr">
        <is>
          <t>DOROTEA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44484</v>
      </c>
      <c r="E434" s="1" t="n">
        <v>46294</v>
      </c>
      <c r="F434" t="inlineStr">
        <is>
          <t>VÄSTERBOTTENS LÄN</t>
        </is>
      </c>
      <c r="G434" t="inlineStr">
        <is>
          <t>DOROTEA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46294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46224</v>
      </c>
      <c r="E436" s="1" t="n">
        <v>46294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46294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60145-2021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44494</v>
      </c>
      <c r="E438" s="1" t="n">
        <v>46294</v>
      </c>
      <c r="F438" t="inlineStr">
        <is>
          <t>VÄSTERBOTTENS LÄN</t>
        </is>
      </c>
      <c r="G438" t="inlineStr">
        <is>
          <t>DOROTEA</t>
        </is>
      </c>
      <c r="I438" t="n">
        <v>13.3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46224</v>
      </c>
      <c r="E439" s="1" t="n">
        <v>46294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46294</v>
      </c>
      <c r="F440" t="inlineStr">
        <is>
          <t>VÄSTERBOTTENS LÄN</t>
        </is>
      </c>
      <c r="G440" t="inlineStr">
        <is>
          <t>DOROTEA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36255-2026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46294</v>
      </c>
      <c r="F441" t="inlineStr">
        <is>
          <t>VÄSTERBOTTENS LÄN</t>
        </is>
      </c>
      <c r="G441" t="inlineStr">
        <is>
          <t>DOROTEA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46294</v>
      </c>
      <c r="F442" t="inlineStr">
        <is>
          <t>VÄSTERBOTTENS LÄN</t>
        </is>
      </c>
      <c r="G442" t="inlineStr">
        <is>
          <t>DOROTEA</t>
        </is>
      </c>
      <c r="I442" t="n">
        <v>29.8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46294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46966-2024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45586</v>
      </c>
      <c r="E444" s="1" t="n">
        <v>46294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Sveaskog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46294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44748</v>
      </c>
      <c r="E446" s="1" t="n">
        <v>46294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30059-2024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45488</v>
      </c>
      <c r="E447" s="1" t="n">
        <v>46294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46294</v>
      </c>
      <c r="F448" t="inlineStr">
        <is>
          <t>VÄSTERBOTTENS LÄN</t>
        </is>
      </c>
      <c r="G448" t="inlineStr">
        <is>
          <t>DOROTEA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46294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46294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46281</v>
      </c>
      <c r="E451" s="1" t="n">
        <v>46294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46294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46294</v>
      </c>
      <c r="F453" t="inlineStr">
        <is>
          <t>VÄSTERBOTTENS LÄN</t>
        </is>
      </c>
      <c r="G453" t="inlineStr">
        <is>
          <t>DOROTEA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45614</v>
      </c>
      <c r="E454" s="1" t="n">
        <v>46294</v>
      </c>
      <c r="F454" t="inlineStr">
        <is>
          <t>VÄSTERBOTTENS LÄN</t>
        </is>
      </c>
      <c r="G454" t="inlineStr">
        <is>
          <t>DOROTEA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46294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46294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46287</v>
      </c>
      <c r="E457" s="1" t="n">
        <v>46294</v>
      </c>
      <c r="F457" t="inlineStr">
        <is>
          <t>VÄSTERBOTTENS LÄN</t>
        </is>
      </c>
      <c r="G457" t="inlineStr">
        <is>
          <t>DOROTEA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46294</v>
      </c>
      <c r="F458" t="inlineStr">
        <is>
          <t>VÄSTERBOTTENS LÄN</t>
        </is>
      </c>
      <c r="G458" t="inlineStr">
        <is>
          <t>DOROTEA</t>
        </is>
      </c>
      <c r="H458" t="inlineStr">
        <is>
          <t>Allmännings- och besparingsskogar</t>
        </is>
      </c>
      <c r="I458" t="n">
        <v>16.4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46294</v>
      </c>
      <c r="F459" t="inlineStr">
        <is>
          <t>VÄSTERBOTTENS LÄN</t>
        </is>
      </c>
      <c r="G459" t="inlineStr">
        <is>
          <t>DOROTEA</t>
        </is>
      </c>
      <c r="H459" t="inlineStr">
        <is>
          <t>Allmännings- och besparingsskogar</t>
        </is>
      </c>
      <c r="I459" t="n">
        <v>12.6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46248</v>
      </c>
      <c r="E460" s="1" t="n">
        <v>46294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46293</v>
      </c>
      <c r="E461" s="1" t="n">
        <v>46294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46247</v>
      </c>
      <c r="E462" s="1" t="n">
        <v>46294</v>
      </c>
      <c r="F462" t="inlineStr">
        <is>
          <t>VÄSTERBOTTENS LÄN</t>
        </is>
      </c>
      <c r="G462" t="inlineStr">
        <is>
          <t>DOROTEA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46294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46294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46294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46294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46294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46294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2407-2026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46279</v>
      </c>
      <c r="E469" s="1" t="n">
        <v>46294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46294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2026-09-29T01:57:59Z</dcterms:created>
  <dcterms:modified xmlns:dcterms="http://purl.org/dc/terms/" xmlns:xsi="http://www.w3.org/2001/XMLSchema-instance" xsi:type="dcterms:W3CDTF">2026-09-29T01:57:59Z</dcterms:modified>
</cp:coreProperties>
</file>