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46261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46261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46261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46261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46261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46261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46261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46261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46261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46261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46261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46261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46261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46261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46261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46261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4554-2026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46047</v>
      </c>
      <c r="E27" s="1" t="n">
        <v>46261</v>
      </c>
      <c r="F27" t="inlineStr">
        <is>
          <t>VÄSTERBOTTENS LÄN</t>
        </is>
      </c>
      <c r="G27" t="inlineStr">
        <is>
          <t>DOROTEA</t>
        </is>
      </c>
      <c r="I27" t="n">
        <v>6.1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Violettkantad guldvinge
Kricka</t>
        </is>
      </c>
      <c r="W27">
        <f>HYPERLINK("https://klasma.github.io/Logging_2425/artfynd/A 4554-2026 artfynd.xlsx", "A 4554-2026")</f>
        <v/>
      </c>
      <c r="X27">
        <f>HYPERLINK("https://klasma.github.io/Logging_2425/kartor/A 4554-2026 karta.png", "A 4554-2026")</f>
        <v/>
      </c>
      <c r="Y27">
        <f>HYPERLINK("https://klasma.github.io/Logging_2425/kartor_geotiff/A 4554-2026 georefererad karta.tif", "A 4554-2026")</f>
        <v/>
      </c>
      <c r="AA27">
        <f>HYPERLINK("https://klasma.github.io/Logging_2425/klagomål/A 4554-2026 FSC-klagomål.docx", "A 4554-2026")</f>
        <v/>
      </c>
      <c r="AB27">
        <f>HYPERLINK("https://klasma.github.io/Logging_2425/klagomålsmail/A 4554-2026 FSC-klagomål mail.docx", "A 4554-2026")</f>
        <v/>
      </c>
      <c r="AC27">
        <f>HYPERLINK("https://klasma.github.io/Logging_2425/tillsyn/A 4554-2026 tillsynsbegäran.docx", "A 4554-2026")</f>
        <v/>
      </c>
      <c r="AD27">
        <f>HYPERLINK("https://klasma.github.io/Logging_2425/tillsynsmail/A 4554-2026 tillsynsbegäran mail.docx", "A 4554-2026")</f>
        <v/>
      </c>
      <c r="AE27">
        <f>HYPERLINK("https://klasma.github.io/Logging_2425/fåglar/A 4554-2026 prioriterade fågelarter.docx", "A 4554-2026")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46261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40013-2024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45553</v>
      </c>
      <c r="E30" s="1" t="n">
        <v>46261</v>
      </c>
      <c r="F30" t="inlineStr">
        <is>
          <t>VÄSTERBOTTENS LÄN</t>
        </is>
      </c>
      <c r="G30" t="inlineStr">
        <is>
          <t>DOROTEA</t>
        </is>
      </c>
      <c r="H30" t="inlineStr">
        <is>
          <t>Övriga statliga verk och myndigheter</t>
        </is>
      </c>
      <c r="I30" t="n">
        <v>1.5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Tretåig hackspett
Tjäder</t>
        </is>
      </c>
      <c r="W30">
        <f>HYPERLINK("https://klasma.github.io/Logging_2425/artfynd/A 40013-2024 artfynd.xlsx", "A 40013-2024")</f>
        <v/>
      </c>
      <c r="X30">
        <f>HYPERLINK("https://klasma.github.io/Logging_2425/kartor/A 40013-2024 karta.png", "A 40013-2024")</f>
        <v/>
      </c>
      <c r="Y30">
        <f>HYPERLINK("https://klasma.github.io/Logging_2425/kartor_geotiff/A 40013-2024 georefererad karta.tif", "A 40013-2024")</f>
        <v/>
      </c>
      <c r="AA30">
        <f>HYPERLINK("https://klasma.github.io/Logging_2425/klagomål/A 40013-2024 FSC-klagomål.docx", "A 40013-2024")</f>
        <v/>
      </c>
      <c r="AB30">
        <f>HYPERLINK("https://klasma.github.io/Logging_2425/klagomålsmail/A 40013-2024 FSC-klagomål mail.docx", "A 40013-2024")</f>
        <v/>
      </c>
      <c r="AC30">
        <f>HYPERLINK("https://klasma.github.io/Logging_2425/tillsyn/A 40013-2024 tillsynsbegäran.docx", "A 40013-2024")</f>
        <v/>
      </c>
      <c r="AD30">
        <f>HYPERLINK("https://klasma.github.io/Logging_2425/tillsynsmail/A 40013-2024 tillsynsbegäran mail.docx", "A 40013-2024")</f>
        <v/>
      </c>
      <c r="AE30">
        <f>HYPERLINK("https://klasma.github.io/Logging_2425/fåglar/A 40013-2024 prioriterade fågelarter.docx", "A 40013-2024")</f>
        <v/>
      </c>
    </row>
    <row r="31" ht="15" customHeight="1">
      <c r="A31" t="inlineStr">
        <is>
          <t>A 58736-2022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44902</v>
      </c>
      <c r="E31" s="1" t="n">
        <v>46261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Skrovellav</t>
        </is>
      </c>
      <c r="W31">
        <f>HYPERLINK("https://klasma.github.io/Logging_2425/artfynd/A 58736-2022 artfynd.xlsx", "A 58736-2022")</f>
        <v/>
      </c>
      <c r="X31">
        <f>HYPERLINK("https://klasma.github.io/Logging_2425/kartor/A 58736-2022 karta.png", "A 58736-2022")</f>
        <v/>
      </c>
      <c r="Y31">
        <f>HYPERLINK("https://klasma.github.io/Logging_2425/kartor_geotiff/A 58736-2022 georefererad karta.tif", "A 58736-2022")</f>
        <v/>
      </c>
      <c r="AA31">
        <f>HYPERLINK("https://klasma.github.io/Logging_2425/klagomål/A 58736-2022 FSC-klagomål.docx", "A 58736-2022")</f>
        <v/>
      </c>
      <c r="AB31">
        <f>HYPERLINK("https://klasma.github.io/Logging_2425/klagomålsmail/A 58736-2022 FSC-klagomål mail.docx", "A 58736-2022")</f>
        <v/>
      </c>
      <c r="AC31">
        <f>HYPERLINK("https://klasma.github.io/Logging_2425/tillsyn/A 58736-2022 tillsynsbegäran.docx", "A 58736-2022")</f>
        <v/>
      </c>
      <c r="AD31">
        <f>HYPERLINK("https://klasma.github.io/Logging_2425/tillsynsmail/A 58736-2022 tillsynsbegäran mail.docx", "A 58736-2022")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46261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46261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S 832-2022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44603</v>
      </c>
      <c r="E34" s="1" t="n">
        <v>46261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459.7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Rödbrun blekspik
Stuplav</t>
        </is>
      </c>
      <c r="W34">
        <f>HYPERLINK("https://klasma.github.io/Logging_2425/artfynd/S 832-2022 artfynd.xlsx", "S 832-2022")</f>
        <v/>
      </c>
      <c r="X34">
        <f>HYPERLINK("https://klasma.github.io/Logging_2425/kartor/S 832-2022 karta.png", "S 832-2022")</f>
        <v/>
      </c>
      <c r="Y34">
        <f>HYPERLINK("https://klasma.github.io/Logging_2425/kartor_geotiff/S 832-2022 georefererad karta.tif", "S 832-2022")</f>
        <v/>
      </c>
      <c r="AA34">
        <f>HYPERLINK("https://klasma.github.io/Logging_2425/klagomål/S 832-2022 FSC-klagomål.docx", "S 832-2022")</f>
        <v/>
      </c>
      <c r="AB34">
        <f>HYPERLINK("https://klasma.github.io/Logging_2425/klagomålsmail/S 832-2022 FSC-klagomål mail.docx", "S 832-2022")</f>
        <v/>
      </c>
      <c r="AC34">
        <f>HYPERLINK("https://klasma.github.io/Logging_2425/tillsyn/S 832-2022 tillsynsbegäran.docx", "S 832-2022")</f>
        <v/>
      </c>
      <c r="AD34">
        <f>HYPERLINK("https://klasma.github.io/Logging_2425/tillsynsmail/S 832-2022 tillsynsbegäran mail.docx", "S 832-2022")</f>
        <v/>
      </c>
    </row>
    <row r="35" ht="15" customHeight="1">
      <c r="A35" t="inlineStr">
        <is>
          <t>S 2106-2026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46240</v>
      </c>
      <c r="E35" s="1" t="n">
        <v>46261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3.2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Stor aspticka</t>
        </is>
      </c>
      <c r="W35">
        <f>HYPERLINK("https://klasma.github.io/Logging_2425/artfynd/S 2106-2026 artfynd.xlsx", "S 2106-2026")</f>
        <v/>
      </c>
      <c r="X35">
        <f>HYPERLINK("https://klasma.github.io/Logging_2425/kartor/S 2106-2026 karta.png", "S 2106-2026")</f>
        <v/>
      </c>
      <c r="Y35">
        <f>HYPERLINK("https://klasma.github.io/Logging_2425/kartor_geotiff/S 2106-2026 georefererad karta.tif", "S 2106-2026")</f>
        <v/>
      </c>
      <c r="AA35">
        <f>HYPERLINK("https://klasma.github.io/Logging_2425/klagomål/S 2106-2026 FSC-klagomål.docx", "S 2106-2026")</f>
        <v/>
      </c>
      <c r="AB35">
        <f>HYPERLINK("https://klasma.github.io/Logging_2425/klagomålsmail/S 2106-2026 FSC-klagomål mail.docx", "S 2106-2026")</f>
        <v/>
      </c>
      <c r="AC35">
        <f>HYPERLINK("https://klasma.github.io/Logging_2425/tillsyn/S 2106-2026 tillsynsbegäran.docx", "S 2106-2026")</f>
        <v/>
      </c>
      <c r="AD35">
        <f>HYPERLINK("https://klasma.github.io/Logging_2425/tillsynsmail/S 2106-2026 tillsynsbegäran mail.docx", "S 2106-2026")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46261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26440-2025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46261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HYPERLINK("https://klasma.github.io/Logging_2425/artfynd/A 26440-2025 artfynd.xlsx", "A 26440-2025")</f>
        <v/>
      </c>
      <c r="X37">
        <f>HYPERLINK("https://klasma.github.io/Logging_2425/kartor/A 26440-2025 karta.png", "A 26440-2025")</f>
        <v/>
      </c>
      <c r="Y37">
        <f>HYPERLINK("https://klasma.github.io/Logging_2425/kartor_geotiff/A 26440-2025 georefererad karta.tif", "A 26440-2025")</f>
        <v/>
      </c>
      <c r="AA37">
        <f>HYPERLINK("https://klasma.github.io/Logging_2425/klagomål/A 26440-2025 FSC-klagomål.docx", "A 26440-2025")</f>
        <v/>
      </c>
      <c r="AB37">
        <f>HYPERLINK("https://klasma.github.io/Logging_2425/klagomålsmail/A 26440-2025 FSC-klagomål mail.docx", "A 26440-2025")</f>
        <v/>
      </c>
      <c r="AC37">
        <f>HYPERLINK("https://klasma.github.io/Logging_2425/tillsyn/A 26440-2025 tillsynsbegäran.docx", "A 26440-2025")</f>
        <v/>
      </c>
      <c r="AD37">
        <f>HYPERLINK("https://klasma.github.io/Logging_2425/tillsynsmail/A 26440-2025 tillsynsbegäran mail.docx", "A 26440-2025")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46261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46261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21926-2026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46261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2.7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Stuplav</t>
        </is>
      </c>
      <c r="W41">
        <f>HYPERLINK("https://klasma.github.io/Logging_2425/artfynd/A 21926-2026 artfynd.xlsx", "A 21926-2026")</f>
        <v/>
      </c>
      <c r="X41">
        <f>HYPERLINK("https://klasma.github.io/Logging_2425/kartor/A 21926-2026 karta.png", "A 21926-2026")</f>
        <v/>
      </c>
      <c r="Y41">
        <f>HYPERLINK("https://klasma.github.io/Logging_2425/kartor_geotiff/A 21926-2026 georefererad karta.tif", "A 21926-2026")</f>
        <v/>
      </c>
      <c r="AA41">
        <f>HYPERLINK("https://klasma.github.io/Logging_2425/klagomål/A 21926-2026 FSC-klagomål.docx", "A 21926-2026")</f>
        <v/>
      </c>
      <c r="AB41">
        <f>HYPERLINK("https://klasma.github.io/Logging_2425/klagomålsmail/A 21926-2026 FSC-klagomål mail.docx", "A 21926-2026")</f>
        <v/>
      </c>
      <c r="AC41">
        <f>HYPERLINK("https://klasma.github.io/Logging_2425/tillsyn/A 21926-2026 tillsynsbegäran.docx", "A 21926-2026")</f>
        <v/>
      </c>
      <c r="AD41">
        <f>HYPERLINK("https://klasma.github.io/Logging_2425/tillsynsmail/A 21926-2026 tillsynsbegäran mail.docx", "A 21926-2026")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46261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25980-2026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46261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40.2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25980-2026 artfynd.xlsx", "A 25980-2026")</f>
        <v/>
      </c>
      <c r="X43">
        <f>HYPERLINK("https://klasma.github.io/Logging_2425/kartor/A 25980-2026 karta.png", "A 25980-2026")</f>
        <v/>
      </c>
      <c r="Y43">
        <f>HYPERLINK("https://klasma.github.io/Logging_2425/kartor_geotiff/A 25980-2026 georefererad karta.tif", "A 25980-2026")</f>
        <v/>
      </c>
      <c r="AA43">
        <f>HYPERLINK("https://klasma.github.io/Logging_2425/klagomål/A 25980-2026 FSC-klagomål.docx", "A 25980-2026")</f>
        <v/>
      </c>
      <c r="AB43">
        <f>HYPERLINK("https://klasma.github.io/Logging_2425/klagomålsmail/A 25980-2026 FSC-klagomål mail.docx", "A 25980-2026")</f>
        <v/>
      </c>
      <c r="AC43">
        <f>HYPERLINK("https://klasma.github.io/Logging_2425/tillsyn/A 25980-2026 tillsynsbegäran.docx", "A 25980-2026")</f>
        <v/>
      </c>
      <c r="AD43">
        <f>HYPERLINK("https://klasma.github.io/Logging_2425/tillsynsmail/A 25980-2026 tillsynsbegäran mail.docx", "A 25980-2026")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46261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32331-2026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46238</v>
      </c>
      <c r="E45" s="1" t="n">
        <v>46261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Skrovellav</t>
        </is>
      </c>
      <c r="W45">
        <f>HYPERLINK("https://klasma.github.io/Logging_2425/artfynd/A 32331-2026 artfynd.xlsx", "A 32331-2026")</f>
        <v/>
      </c>
      <c r="X45">
        <f>HYPERLINK("https://klasma.github.io/Logging_2425/kartor/A 32331-2026 karta.png", "A 32331-2026")</f>
        <v/>
      </c>
      <c r="Y45">
        <f>HYPERLINK("https://klasma.github.io/Logging_2425/kartor_geotiff/A 32331-2026 georefererad karta.tif", "A 32331-2026")</f>
        <v/>
      </c>
      <c r="AA45">
        <f>HYPERLINK("https://klasma.github.io/Logging_2425/klagomål/A 32331-2026 FSC-klagomål.docx", "A 32331-2026")</f>
        <v/>
      </c>
      <c r="AB45">
        <f>HYPERLINK("https://klasma.github.io/Logging_2425/klagomålsmail/A 32331-2026 FSC-klagomål mail.docx", "A 32331-2026")</f>
        <v/>
      </c>
      <c r="AC45">
        <f>HYPERLINK("https://klasma.github.io/Logging_2425/tillsyn/A 32331-2026 tillsynsbegäran.docx", "A 32331-2026")</f>
        <v/>
      </c>
      <c r="AD45">
        <f>HYPERLINK("https://klasma.github.io/Logging_2425/tillsynsmail/A 32331-2026 tillsynsbegäran mail.docx", "A 32331-2026")</f>
        <v/>
      </c>
    </row>
    <row r="46" ht="15" customHeight="1">
      <c r="A46" t="inlineStr">
        <is>
          <t>A 36318-2024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46261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8</v>
      </c>
      <c r="U46" t="n">
        <v>8</v>
      </c>
      <c r="V46" s="2" t="inlineStr">
        <is>
          <t>Garnlav</t>
        </is>
      </c>
      <c r="W46">
        <f>HYPERLINK("https://klasma.github.io/Logging_2425/artfynd/A 36318-2024 artfynd.xlsx", "A 36318-2024")</f>
        <v/>
      </c>
      <c r="X46">
        <f>HYPERLINK("https://klasma.github.io/Logging_2425/kartor/A 36318-2024 karta.png", "A 36318-2024")</f>
        <v/>
      </c>
      <c r="Y46">
        <f>HYPERLINK("https://klasma.github.io/Logging_2425/kartor_geotiff/A 36318-2024 georefererad karta.tif", "A 36318-2024")</f>
        <v/>
      </c>
      <c r="AA46">
        <f>HYPERLINK("https://klasma.github.io/Logging_2425/klagomål/A 36318-2024 FSC-klagomål.docx", "A 36318-2024")</f>
        <v/>
      </c>
      <c r="AB46">
        <f>HYPERLINK("https://klasma.github.io/Logging_2425/klagomålsmail/A 36318-2024 FSC-klagomål mail.docx", "A 36318-2024")</f>
        <v/>
      </c>
      <c r="AC46">
        <f>HYPERLINK("https://klasma.github.io/Logging_2425/tillsyn/A 36318-2024 tillsynsbegäran.docx", "A 36318-2024")</f>
        <v/>
      </c>
      <c r="AD46">
        <f>HYPERLINK("https://klasma.github.io/Logging_2425/tillsynsmail/A 36318-2024 tillsynsbegäran mail.docx", "A 36318-2024")</f>
        <v/>
      </c>
    </row>
    <row r="47" ht="15" customHeight="1">
      <c r="A47" t="inlineStr">
        <is>
          <t>A 30357-2026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46209</v>
      </c>
      <c r="E47" s="1" t="n">
        <v>46261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Tajgahumla</t>
        </is>
      </c>
      <c r="W47">
        <f>HYPERLINK("https://klasma.github.io/Logging_2425/artfynd/A 30357-2026 artfynd.xlsx", "A 30357-2026")</f>
        <v/>
      </c>
      <c r="X47">
        <f>HYPERLINK("https://klasma.github.io/Logging_2425/kartor/A 30357-2026 karta.png", "A 30357-2026")</f>
        <v/>
      </c>
      <c r="Y47">
        <f>HYPERLINK("https://klasma.github.io/Logging_2425/kartor_geotiff/A 30357-2026 georefererad karta.tif", "A 30357-2026")</f>
        <v/>
      </c>
      <c r="AA47">
        <f>HYPERLINK("https://klasma.github.io/Logging_2425/klagomål/A 30357-2026 FSC-klagomål.docx", "A 30357-2026")</f>
        <v/>
      </c>
      <c r="AB47">
        <f>HYPERLINK("https://klasma.github.io/Logging_2425/klagomålsmail/A 30357-2026 FSC-klagomål mail.docx", "A 30357-2026")</f>
        <v/>
      </c>
      <c r="AC47">
        <f>HYPERLINK("https://klasma.github.io/Logging_2425/tillsyn/A 30357-2026 tillsynsbegäran.docx", "A 30357-2026")</f>
        <v/>
      </c>
      <c r="AD47">
        <f>HYPERLINK("https://klasma.github.io/Logging_2425/tillsynsmail/A 30357-2026 tillsynsbegäran mail.docx", "A 30357-2026")</f>
        <v/>
      </c>
    </row>
    <row r="48" ht="15" customHeight="1">
      <c r="A48" t="inlineStr">
        <is>
          <t>A 12005-2023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46261</v>
      </c>
      <c r="F48" t="inlineStr">
        <is>
          <t>VÄSTERBOTTENS LÄN</t>
        </is>
      </c>
      <c r="G48" t="inlineStr">
        <is>
          <t>DOROTEA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HYPERLINK("https://klasma.github.io/Logging_2425/artfynd/A 12005-2023 artfynd.xlsx", "A 12005-2023")</f>
        <v/>
      </c>
      <c r="X48">
        <f>HYPERLINK("https://klasma.github.io/Logging_2425/kartor/A 12005-2023 karta.png", "A 12005-2023")</f>
        <v/>
      </c>
      <c r="Y48">
        <f>HYPERLINK("https://klasma.github.io/Logging_2425/kartor_geotiff/A 12005-2023 georefererad karta.tif", "A 12005-2023")</f>
        <v/>
      </c>
      <c r="AA48">
        <f>HYPERLINK("https://klasma.github.io/Logging_2425/klagomål/A 12005-2023 FSC-klagomål.docx", "A 12005-2023")</f>
        <v/>
      </c>
      <c r="AB48">
        <f>HYPERLINK("https://klasma.github.io/Logging_2425/klagomålsmail/A 12005-2023 FSC-klagomål mail.docx", "A 12005-2023")</f>
        <v/>
      </c>
      <c r="AC48">
        <f>HYPERLINK("https://klasma.github.io/Logging_2425/tillsyn/A 12005-2023 tillsynsbegäran.docx", "A 12005-2023")</f>
        <v/>
      </c>
      <c r="AD48">
        <f>HYPERLINK("https://klasma.github.io/Logging_2425/tillsynsmail/A 12005-2023 tillsynsbegäran mail.docx", "A 12005-2023")</f>
        <v/>
      </c>
    </row>
    <row r="49" ht="15" customHeight="1">
      <c r="A49" t="inlineStr">
        <is>
          <t>A 57058-2024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46261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2.4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HYPERLINK("https://klasma.github.io/Logging_2425/artfynd/A 57058-2024 artfynd.xlsx", "A 57058-2024")</f>
        <v/>
      </c>
      <c r="X49">
        <f>HYPERLINK("https://klasma.github.io/Logging_2425/kartor/A 57058-2024 karta.png", "A 57058-2024")</f>
        <v/>
      </c>
      <c r="Y49">
        <f>HYPERLINK("https://klasma.github.io/Logging_2425/kartor_geotiff/A 57058-2024 georefererad karta.tif", "A 57058-2024")</f>
        <v/>
      </c>
      <c r="AA49">
        <f>HYPERLINK("https://klasma.github.io/Logging_2425/klagomål/A 57058-2024 FSC-klagomål.docx", "A 57058-2024")</f>
        <v/>
      </c>
      <c r="AB49">
        <f>HYPERLINK("https://klasma.github.io/Logging_2425/klagomålsmail/A 57058-2024 FSC-klagomål mail.docx", "A 57058-2024")</f>
        <v/>
      </c>
      <c r="AC49">
        <f>HYPERLINK("https://klasma.github.io/Logging_2425/tillsyn/A 57058-2024 tillsynsbegäran.docx", "A 57058-2024")</f>
        <v/>
      </c>
      <c r="AD49">
        <f>HYPERLINK("https://klasma.github.io/Logging_2425/tillsynsmail/A 57058-2024 tillsynsbegäran mail.docx", "A 57058-2024")</f>
        <v/>
      </c>
    </row>
    <row r="50" ht="15" customHeight="1">
      <c r="A50" t="inlineStr">
        <is>
          <t>A 53309-2022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44878</v>
      </c>
      <c r="E50" s="1" t="n">
        <v>46261</v>
      </c>
      <c r="F50" t="inlineStr">
        <is>
          <t>VÄSTERBOTTENS LÄN</t>
        </is>
      </c>
      <c r="G50" t="inlineStr">
        <is>
          <t>DOROTEA</t>
        </is>
      </c>
      <c r="I50" t="n">
        <v>6.6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Göktyta</t>
        </is>
      </c>
      <c r="W50">
        <f>HYPERLINK("https://klasma.github.io/Logging_2425/artfynd/A 53309-2022 artfynd.xlsx", "A 53309-2022")</f>
        <v/>
      </c>
      <c r="X50">
        <f>HYPERLINK("https://klasma.github.io/Logging_2425/kartor/A 53309-2022 karta.png", "A 53309-2022")</f>
        <v/>
      </c>
      <c r="Y50">
        <f>HYPERLINK("https://klasma.github.io/Logging_2425/kartor_geotiff/A 53309-2022 georefererad karta.tif", "A 53309-2022")</f>
        <v/>
      </c>
      <c r="AA50">
        <f>HYPERLINK("https://klasma.github.io/Logging_2425/klagomål/A 53309-2022 FSC-klagomål.docx", "A 53309-2022")</f>
        <v/>
      </c>
      <c r="AB50">
        <f>HYPERLINK("https://klasma.github.io/Logging_2425/klagomålsmail/A 53309-2022 FSC-klagomål mail.docx", "A 53309-2022")</f>
        <v/>
      </c>
      <c r="AC50">
        <f>HYPERLINK("https://klasma.github.io/Logging_2425/tillsyn/A 53309-2022 tillsynsbegäran.docx", "A 53309-2022")</f>
        <v/>
      </c>
      <c r="AD50">
        <f>HYPERLINK("https://klasma.github.io/Logging_2425/tillsynsmail/A 53309-2022 tillsynsbegäran mail.docx", "A 53309-2022")</f>
        <v/>
      </c>
      <c r="AE50">
        <f>HYPERLINK("https://klasma.github.io/Logging_2425/fåglar/A 53309-2022 prioriterade fågelarter.docx", "A 53309-2022")</f>
        <v/>
      </c>
    </row>
    <row r="51" ht="15" customHeight="1">
      <c r="A51" t="inlineStr">
        <is>
          <t>A 46815-2023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45198</v>
      </c>
      <c r="E51" s="1" t="n">
        <v>46261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3.7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Harticka</t>
        </is>
      </c>
      <c r="W51">
        <f>HYPERLINK("https://klasma.github.io/Logging_2425/artfynd/A 46815-2023 artfynd.xlsx", "A 46815-2023")</f>
        <v/>
      </c>
      <c r="X51">
        <f>HYPERLINK("https://klasma.github.io/Logging_2425/kartor/A 46815-2023 karta.png", "A 46815-2023")</f>
        <v/>
      </c>
      <c r="Y51">
        <f>HYPERLINK("https://klasma.github.io/Logging_2425/kartor_geotiff/A 46815-2023 georefererad karta.tif", "A 46815-2023")</f>
        <v/>
      </c>
      <c r="AA51">
        <f>HYPERLINK("https://klasma.github.io/Logging_2425/klagomål/A 46815-2023 FSC-klagomål.docx", "A 46815-2023")</f>
        <v/>
      </c>
      <c r="AB51">
        <f>HYPERLINK("https://klasma.github.io/Logging_2425/klagomålsmail/A 46815-2023 FSC-klagomål mail.docx", "A 46815-2023")</f>
        <v/>
      </c>
      <c r="AC51">
        <f>HYPERLINK("https://klasma.github.io/Logging_2425/tillsyn/A 46815-2023 tillsynsbegäran.docx", "A 46815-2023")</f>
        <v/>
      </c>
      <c r="AD51">
        <f>HYPERLINK("https://klasma.github.io/Logging_2425/tillsynsmail/A 46815-2023 tillsynsbegäran mail.docx", "A 46815-2023")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46261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46261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46261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46261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S 2107-2026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46240</v>
      </c>
      <c r="E56" s="1" t="n">
        <v>46261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HYPERLINK("https://klasma.github.io/Logging_2425/artfynd/S 2107-2026 artfynd.xlsx", "S 2107-2026")</f>
        <v/>
      </c>
      <c r="X56">
        <f>HYPERLINK("https://klasma.github.io/Logging_2425/kartor/S 2107-2026 karta.png", "S 2107-2026")</f>
        <v/>
      </c>
      <c r="Y56">
        <f>HYPERLINK("https://klasma.github.io/Logging_2425/kartor_geotiff/S 2107-2026 georefererad karta.tif", "S 2107-2026")</f>
        <v/>
      </c>
      <c r="AA56">
        <f>HYPERLINK("https://klasma.github.io/Logging_2425/klagomål/S 2107-2026 FSC-klagomål.docx", "S 2107-2026")</f>
        <v/>
      </c>
      <c r="AB56">
        <f>HYPERLINK("https://klasma.github.io/Logging_2425/klagomålsmail/S 2107-2026 FSC-klagomål mail.docx", "S 2107-2026")</f>
        <v/>
      </c>
      <c r="AC56">
        <f>HYPERLINK("https://klasma.github.io/Logging_2425/tillsyn/S 2107-2026 tillsynsbegäran.docx", "S 2107-2026")</f>
        <v/>
      </c>
      <c r="AD56">
        <f>HYPERLINK("https://klasma.github.io/Logging_2425/tillsynsmail/S 2107-2026 tillsynsbegäran mail.docx", "S 2107-2026")</f>
        <v/>
      </c>
    </row>
    <row r="57" ht="15" customHeight="1">
      <c r="A57" t="inlineStr">
        <is>
          <t>A 64063-2021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46261</v>
      </c>
      <c r="F57" t="inlineStr">
        <is>
          <t>VÄSTERBOTTENS LÄN</t>
        </is>
      </c>
      <c r="G57" t="inlineStr">
        <is>
          <t>DOROTEA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46261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11309-2022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44629</v>
      </c>
      <c r="E59" s="1" t="n">
        <v>46261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43403-2022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46261</v>
      </c>
      <c r="F60" t="inlineStr">
        <is>
          <t>VÄSTERBOTTENS LÄN</t>
        </is>
      </c>
      <c r="G60" t="inlineStr">
        <is>
          <t>DOROTEA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24183-2022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44725</v>
      </c>
      <c r="E61" s="1" t="n">
        <v>46261</v>
      </c>
      <c r="F61" t="inlineStr">
        <is>
          <t>VÄSTERBOTTENS LÄN</t>
        </is>
      </c>
      <c r="G61" t="inlineStr">
        <is>
          <t>DOROTEA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48935-2022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46261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7.7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46261</v>
      </c>
      <c r="F63" t="inlineStr">
        <is>
          <t>VÄSTERBOTTENS LÄN</t>
        </is>
      </c>
      <c r="G63" t="inlineStr">
        <is>
          <t>DOROTEA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44851</v>
      </c>
      <c r="E64" s="1" t="n">
        <v>46261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4019-2022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44587</v>
      </c>
      <c r="E65" s="1" t="n">
        <v>46261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52362-2021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44465</v>
      </c>
      <c r="E66" s="1" t="n">
        <v>46261</v>
      </c>
      <c r="F66" t="inlineStr">
        <is>
          <t>VÄSTERBOTTENS LÄN</t>
        </is>
      </c>
      <c r="G66" t="inlineStr">
        <is>
          <t>DOROTEA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45734</v>
      </c>
      <c r="E67" s="1" t="n">
        <v>46261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45330</v>
      </c>
      <c r="E68" s="1" t="n">
        <v>46261</v>
      </c>
      <c r="F68" t="inlineStr">
        <is>
          <t>VÄSTERBOTTENS LÄN</t>
        </is>
      </c>
      <c r="G68" t="inlineStr">
        <is>
          <t>DOROTEA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46261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45228</v>
      </c>
      <c r="E70" s="1" t="n">
        <v>46261</v>
      </c>
      <c r="F70" t="inlineStr">
        <is>
          <t>VÄSTERBOTTENS LÄN</t>
        </is>
      </c>
      <c r="G70" t="inlineStr">
        <is>
          <t>DOROTEA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45228</v>
      </c>
      <c r="E71" s="1" t="n">
        <v>46261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44761</v>
      </c>
      <c r="E72" s="1" t="n">
        <v>46261</v>
      </c>
      <c r="F72" t="inlineStr">
        <is>
          <t>VÄSTERBOTTENS LÄN</t>
        </is>
      </c>
      <c r="G72" t="inlineStr">
        <is>
          <t>DOROTEA</t>
        </is>
      </c>
      <c r="I72" t="n">
        <v>10.6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45198</v>
      </c>
      <c r="E73" s="1" t="n">
        <v>46261</v>
      </c>
      <c r="F73" t="inlineStr">
        <is>
          <t>VÄSTERBOTTENS LÄN</t>
        </is>
      </c>
      <c r="G73" t="inlineStr">
        <is>
          <t>DOROTEA</t>
        </is>
      </c>
      <c r="H73" t="inlineStr">
        <is>
          <t>Övriga statliga verk och myndigheter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46261</v>
      </c>
      <c r="F74" t="inlineStr">
        <is>
          <t>VÄSTERBOTTENS LÄN</t>
        </is>
      </c>
      <c r="G74" t="inlineStr">
        <is>
          <t>DOROTEA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46261</v>
      </c>
      <c r="F75" t="inlineStr">
        <is>
          <t>VÄSTERBOTTENS LÄN</t>
        </is>
      </c>
      <c r="G75" t="inlineStr">
        <is>
          <t>DOROTEA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45224</v>
      </c>
      <c r="E76" s="1" t="n">
        <v>46261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46261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45393</v>
      </c>
      <c r="E78" s="1" t="n">
        <v>46261</v>
      </c>
      <c r="F78" t="inlineStr">
        <is>
          <t>VÄSTERBOTTENS LÄN</t>
        </is>
      </c>
      <c r="G78" t="inlineStr">
        <is>
          <t>DOROTEA</t>
        </is>
      </c>
      <c r="I78" t="n">
        <v>10.2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41353-2022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44824</v>
      </c>
      <c r="E79" s="1" t="n">
        <v>46261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7.1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45485</v>
      </c>
      <c r="E80" s="1" t="n">
        <v>46261</v>
      </c>
      <c r="F80" t="inlineStr">
        <is>
          <t>VÄSTERBOTTENS LÄN</t>
        </is>
      </c>
      <c r="G80" t="inlineStr">
        <is>
          <t>DOROTEA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46261</v>
      </c>
      <c r="F81" t="inlineStr">
        <is>
          <t>VÄSTERBOTTENS LÄN</t>
        </is>
      </c>
      <c r="G81" t="inlineStr">
        <is>
          <t>DOROTEA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34820-2023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46261</v>
      </c>
      <c r="F82" t="inlineStr">
        <is>
          <t>VÄSTERBOTTENS LÄN</t>
        </is>
      </c>
      <c r="G82" t="inlineStr">
        <is>
          <t>DOROTEA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46261</v>
      </c>
      <c r="F83" t="inlineStr">
        <is>
          <t>VÄSTERBOTTENS LÄN</t>
        </is>
      </c>
      <c r="G83" t="inlineStr">
        <is>
          <t>DOROTEA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46017</v>
      </c>
      <c r="E84" s="1" t="n">
        <v>46261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45520</v>
      </c>
      <c r="E85" s="1" t="n">
        <v>46261</v>
      </c>
      <c r="F85" t="inlineStr">
        <is>
          <t>VÄSTERBOTTENS LÄN</t>
        </is>
      </c>
      <c r="G85" t="inlineStr">
        <is>
          <t>DOROTEA</t>
        </is>
      </c>
      <c r="I85" t="n">
        <v>11.1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45551</v>
      </c>
      <c r="E86" s="1" t="n">
        <v>46261</v>
      </c>
      <c r="F86" t="inlineStr">
        <is>
          <t>VÄSTERBOTTENS LÄN</t>
        </is>
      </c>
      <c r="G86" t="inlineStr">
        <is>
          <t>DOROTEA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45517</v>
      </c>
      <c r="E87" s="1" t="n">
        <v>46261</v>
      </c>
      <c r="F87" t="inlineStr">
        <is>
          <t>VÄSTERBOTTENS LÄN</t>
        </is>
      </c>
      <c r="G87" t="inlineStr">
        <is>
          <t>DOROTEA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53380-2024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46261</v>
      </c>
      <c r="F88" t="inlineStr">
        <is>
          <t>VÄSTERBOTTENS LÄN</t>
        </is>
      </c>
      <c r="G88" t="inlineStr">
        <is>
          <t>DOROTEA</t>
        </is>
      </c>
      <c r="I88" t="n">
        <v>12.8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46261</v>
      </c>
      <c r="F89" t="inlineStr">
        <is>
          <t>VÄSTERBOTTENS LÄN</t>
        </is>
      </c>
      <c r="G89" t="inlineStr">
        <is>
          <t>DOROTEA</t>
        </is>
      </c>
      <c r="I89" t="n">
        <v>18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46261</v>
      </c>
      <c r="F90" t="inlineStr">
        <is>
          <t>VÄSTERBOTTENS LÄN</t>
        </is>
      </c>
      <c r="G90" t="inlineStr">
        <is>
          <t>DOROTEA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46261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45800</v>
      </c>
      <c r="E92" s="1" t="n">
        <v>46261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46261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44956</v>
      </c>
      <c r="E94" s="1" t="n">
        <v>46261</v>
      </c>
      <c r="F94" t="inlineStr">
        <is>
          <t>VÄSTERBOTTENS LÄN</t>
        </is>
      </c>
      <c r="G94" t="inlineStr">
        <is>
          <t>DOROTEA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46261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46261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46261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46261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46261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46261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45448</v>
      </c>
      <c r="E101" s="1" t="n">
        <v>46261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46029</v>
      </c>
      <c r="E103" s="1" t="n">
        <v>46261</v>
      </c>
      <c r="F103" t="inlineStr">
        <is>
          <t>VÄSTERBOTTENS LÄN</t>
        </is>
      </c>
      <c r="G103" t="inlineStr">
        <is>
          <t>DOROTEA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46043</v>
      </c>
      <c r="E104" s="1" t="n">
        <v>46261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46261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46261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46261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46261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45807</v>
      </c>
      <c r="E109" s="1" t="n">
        <v>46261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46261</v>
      </c>
      <c r="F110" t="inlineStr">
        <is>
          <t>VÄSTERBOTTENS LÄN</t>
        </is>
      </c>
      <c r="G110" t="inlineStr">
        <is>
          <t>DOROTEA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57070-2023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45244</v>
      </c>
      <c r="E111" s="1" t="n">
        <v>46261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46261</v>
      </c>
      <c r="F112" t="inlineStr">
        <is>
          <t>VÄSTERBOTTENS LÄN</t>
        </is>
      </c>
      <c r="G112" t="inlineStr">
        <is>
          <t>DOROTEA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46261</v>
      </c>
      <c r="F113" t="inlineStr">
        <is>
          <t>VÄSTERBOTTENS LÄN</t>
        </is>
      </c>
      <c r="G113" t="inlineStr">
        <is>
          <t>DOROTEA</t>
        </is>
      </c>
      <c r="I113" t="n">
        <v>11.8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45742</v>
      </c>
      <c r="E114" s="1" t="n">
        <v>46261</v>
      </c>
      <c r="F114" t="inlineStr">
        <is>
          <t>VÄSTERBOTTENS LÄN</t>
        </is>
      </c>
      <c r="G114" t="inlineStr">
        <is>
          <t>DOROTEA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26904-2025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46261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12773-2026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46091</v>
      </c>
      <c r="E116" s="1" t="n">
        <v>46261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45891</v>
      </c>
      <c r="E117" s="1" t="n">
        <v>46261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39977-2025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45893</v>
      </c>
      <c r="E118" s="1" t="n">
        <v>46261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46261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46261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45817</v>
      </c>
      <c r="E121" s="1" t="n">
        <v>46261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46055</v>
      </c>
      <c r="E122" s="1" t="n">
        <v>46261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59418-2023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45253</v>
      </c>
      <c r="E123" s="1" t="n">
        <v>46261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41055-2025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46261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46054</v>
      </c>
      <c r="E125" s="1" t="n">
        <v>46261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49077-2022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44860</v>
      </c>
      <c r="E126" s="1" t="n">
        <v>46261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Sveaskog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46261</v>
      </c>
      <c r="F127" t="inlineStr">
        <is>
          <t>VÄSTERBOTTENS LÄN</t>
        </is>
      </c>
      <c r="G127" t="inlineStr">
        <is>
          <t>DOROTEA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46261</v>
      </c>
      <c r="F128" t="inlineStr">
        <is>
          <t>VÄSTERBOTTENS LÄN</t>
        </is>
      </c>
      <c r="G128" t="inlineStr">
        <is>
          <t>DOROTEA</t>
        </is>
      </c>
      <c r="H128" t="inlineStr">
        <is>
          <t>Övriga Aktiebolag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41871-2025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46261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46059</v>
      </c>
      <c r="E130" s="1" t="n">
        <v>46261</v>
      </c>
      <c r="F130" t="inlineStr">
        <is>
          <t>VÄSTERBOTTENS LÄN</t>
        </is>
      </c>
      <c r="G130" t="inlineStr">
        <is>
          <t>DOROTEA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46261</v>
      </c>
      <c r="F131" t="inlineStr">
        <is>
          <t>VÄSTERBOTTENS LÄN</t>
        </is>
      </c>
      <c r="G131" t="inlineStr">
        <is>
          <t>DOROTEA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46261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46063</v>
      </c>
      <c r="E133" s="1" t="n">
        <v>46261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46261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45912</v>
      </c>
      <c r="E135" s="1" t="n">
        <v>46261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46261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44282-2025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45916</v>
      </c>
      <c r="E137" s="1" t="n">
        <v>46261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44357-2025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45916</v>
      </c>
      <c r="E138" s="1" t="n">
        <v>46261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44194-2025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45915</v>
      </c>
      <c r="E139" s="1" t="n">
        <v>46261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45915</v>
      </c>
      <c r="E140" s="1" t="n">
        <v>46261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46261</v>
      </c>
      <c r="F141" t="inlineStr">
        <is>
          <t>VÄSTERBOTTENS LÄN</t>
        </is>
      </c>
      <c r="G141" t="inlineStr">
        <is>
          <t>DOROTEA</t>
        </is>
      </c>
      <c r="H141" t="inlineStr">
        <is>
          <t>Övriga statliga verk och myndigheter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31532-2025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46261</v>
      </c>
      <c r="F142" t="inlineStr">
        <is>
          <t>VÄSTERBOTTENS LÄN</t>
        </is>
      </c>
      <c r="G142" t="inlineStr">
        <is>
          <t>DOROTEA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46261</v>
      </c>
      <c r="F143" t="inlineStr">
        <is>
          <t>VÄSTERBOTTENS LÄN</t>
        </is>
      </c>
      <c r="G143" t="inlineStr">
        <is>
          <t>DOROTEA</t>
        </is>
      </c>
      <c r="I143" t="n">
        <v>20.1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46261</v>
      </c>
      <c r="F144" t="inlineStr">
        <is>
          <t>VÄSTERBOTTENS LÄN</t>
        </is>
      </c>
      <c r="G144" t="inlineStr">
        <is>
          <t>DOROTEA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46261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44593-2025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46261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46261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30059-2024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46261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45483</v>
      </c>
      <c r="E149" s="1" t="n">
        <v>46261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45845</v>
      </c>
      <c r="E150" s="1" t="n">
        <v>46261</v>
      </c>
      <c r="F150" t="inlineStr">
        <is>
          <t>VÄSTERBOTTENS LÄN</t>
        </is>
      </c>
      <c r="G150" t="inlineStr">
        <is>
          <t>DOROTEA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33267-2025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46261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46261</v>
      </c>
      <c r="F152" t="inlineStr">
        <is>
          <t>VÄSTERBOTTENS LÄN</t>
        </is>
      </c>
      <c r="G152" t="inlineStr">
        <is>
          <t>DOROTEA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46261</v>
      </c>
      <c r="F153" t="inlineStr">
        <is>
          <t>VÄSTERBOTTENS LÄN</t>
        </is>
      </c>
      <c r="G153" t="inlineStr">
        <is>
          <t>DOROTEA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46261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46086</v>
      </c>
      <c r="E155" s="1" t="n">
        <v>46261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40435-2023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45169</v>
      </c>
      <c r="E156" s="1" t="n">
        <v>46261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46261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45847</v>
      </c>
      <c r="E158" s="1" t="n">
        <v>46261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46261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46261</v>
      </c>
      <c r="F160" t="inlineStr">
        <is>
          <t>VÄSTERBOTTENS LÄN</t>
        </is>
      </c>
      <c r="G160" t="inlineStr">
        <is>
          <t>DOROTEA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45849</v>
      </c>
      <c r="E161" s="1" t="n">
        <v>46261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48530-2025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46261</v>
      </c>
      <c r="F162" t="inlineStr">
        <is>
          <t>VÄSTERBOTTENS LÄN</t>
        </is>
      </c>
      <c r="G162" t="inlineStr">
        <is>
          <t>DOROTEA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45852</v>
      </c>
      <c r="E163" s="1" t="n">
        <v>46261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45796</v>
      </c>
      <c r="E164" s="1" t="n">
        <v>46261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46261</v>
      </c>
      <c r="F165" t="inlineStr">
        <is>
          <t>VÄSTERBOTTENS LÄN</t>
        </is>
      </c>
      <c r="G165" t="inlineStr">
        <is>
          <t>DOROTEA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46261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Allmännings- och besparingsskogar</t>
        </is>
      </c>
      <c r="I166" t="n">
        <v>22.1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45852</v>
      </c>
      <c r="E167" s="1" t="n">
        <v>46261</v>
      </c>
      <c r="F167" t="inlineStr">
        <is>
          <t>VÄSTERBOTTENS LÄN</t>
        </is>
      </c>
      <c r="G167" t="inlineStr">
        <is>
          <t>DOROTEA</t>
        </is>
      </c>
      <c r="H167" t="inlineStr">
        <is>
          <t>Allmännings- och besparingsskogar</t>
        </is>
      </c>
      <c r="I167" t="n">
        <v>20.3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45855</v>
      </c>
      <c r="E168" s="1" t="n">
        <v>46261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45855</v>
      </c>
      <c r="E169" s="1" t="n">
        <v>46261</v>
      </c>
      <c r="F169" t="inlineStr">
        <is>
          <t>VÄSTERBOTTENS LÄN</t>
        </is>
      </c>
      <c r="G169" t="inlineStr">
        <is>
          <t>DOROTEA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45855</v>
      </c>
      <c r="E170" s="1" t="n">
        <v>46261</v>
      </c>
      <c r="F170" t="inlineStr">
        <is>
          <t>VÄSTERBOTTENS LÄN</t>
        </is>
      </c>
      <c r="G170" t="inlineStr">
        <is>
          <t>DOROTEA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45855</v>
      </c>
      <c r="E171" s="1" t="n">
        <v>46261</v>
      </c>
      <c r="F171" t="inlineStr">
        <is>
          <t>VÄSTERBOTTENS LÄN</t>
        </is>
      </c>
      <c r="G171" t="inlineStr">
        <is>
          <t>DOROTEA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46261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46261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45866</v>
      </c>
      <c r="E174" s="1" t="n">
        <v>46261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46261</v>
      </c>
      <c r="F175" t="inlineStr">
        <is>
          <t>VÄSTERBOTTENS LÄN</t>
        </is>
      </c>
      <c r="G175" t="inlineStr">
        <is>
          <t>DOROTEA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45866</v>
      </c>
      <c r="E176" s="1" t="n">
        <v>46261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46261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45874</v>
      </c>
      <c r="E178" s="1" t="n">
        <v>46261</v>
      </c>
      <c r="F178" t="inlineStr">
        <is>
          <t>VÄSTERBOTTENS LÄN</t>
        </is>
      </c>
      <c r="G178" t="inlineStr">
        <is>
          <t>DOROTEA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46104</v>
      </c>
      <c r="E179" s="1" t="n">
        <v>46261</v>
      </c>
      <c r="F179" t="inlineStr">
        <is>
          <t>VÄSTERBOTTENS LÄN</t>
        </is>
      </c>
      <c r="G179" t="inlineStr">
        <is>
          <t>DOROTEA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46261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45539</v>
      </c>
      <c r="E181" s="1" t="n">
        <v>46261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57955-2021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44484</v>
      </c>
      <c r="E182" s="1" t="n">
        <v>46261</v>
      </c>
      <c r="F182" t="inlineStr">
        <is>
          <t>VÄSTERBOTTENS LÄN</t>
        </is>
      </c>
      <c r="G182" t="inlineStr">
        <is>
          <t>DOROTEA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45874</v>
      </c>
      <c r="E183" s="1" t="n">
        <v>46261</v>
      </c>
      <c r="F183" t="inlineStr">
        <is>
          <t>VÄSTERBOTTENS LÄN</t>
        </is>
      </c>
      <c r="G183" t="inlineStr">
        <is>
          <t>DOROTEA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46261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37259-2025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46261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46261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37276-2025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46261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16251-2026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46261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16352-2026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46261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33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46261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45877</v>
      </c>
      <c r="E191" s="1" t="n">
        <v>46261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45712</v>
      </c>
      <c r="E192" s="1" t="n">
        <v>46261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45882</v>
      </c>
      <c r="E193" s="1" t="n">
        <v>46261</v>
      </c>
      <c r="F193" t="inlineStr">
        <is>
          <t>VÄSTERBOTTENS LÄN</t>
        </is>
      </c>
      <c r="G193" t="inlineStr">
        <is>
          <t>DOROTEA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46261</v>
      </c>
      <c r="F194" t="inlineStr">
        <is>
          <t>VÄSTERBOTTENS LÄN</t>
        </is>
      </c>
      <c r="G194" t="inlineStr">
        <is>
          <t>DOROTEA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38099-2025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45882</v>
      </c>
      <c r="E195" s="1" t="n">
        <v>46261</v>
      </c>
      <c r="F195" t="inlineStr">
        <is>
          <t>VÄSTERBOTTENS LÄN</t>
        </is>
      </c>
      <c r="G195" t="inlineStr">
        <is>
          <t>DOROTEA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45882</v>
      </c>
      <c r="E196" s="1" t="n">
        <v>46261</v>
      </c>
      <c r="F196" t="inlineStr">
        <is>
          <t>VÄSTERBOTTENS LÄN</t>
        </is>
      </c>
      <c r="G196" t="inlineStr">
        <is>
          <t>DOROTEA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45882</v>
      </c>
      <c r="E197" s="1" t="n">
        <v>46261</v>
      </c>
      <c r="F197" t="inlineStr">
        <is>
          <t>VÄSTERBOTTENS LÄN</t>
        </is>
      </c>
      <c r="G197" t="inlineStr">
        <is>
          <t>DOROTEA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55549-2024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45622</v>
      </c>
      <c r="E198" s="1" t="n">
        <v>46261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46261</v>
      </c>
      <c r="F199" t="inlineStr">
        <is>
          <t>VÄSTERBOTTENS LÄN</t>
        </is>
      </c>
      <c r="G199" t="inlineStr">
        <is>
          <t>DOROTEA</t>
        </is>
      </c>
      <c r="H199" t="inlineStr">
        <is>
          <t>Kommuner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52412-2025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46261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16985-2026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46261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46261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46120</v>
      </c>
      <c r="E203" s="1" t="n">
        <v>46261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8.6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46261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18143-2026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46125</v>
      </c>
      <c r="E205" s="1" t="n">
        <v>46261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17971-2026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46123</v>
      </c>
      <c r="E206" s="1" t="n">
        <v>46261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46261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18.3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18157-2026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46261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46261</v>
      </c>
      <c r="F209" t="inlineStr">
        <is>
          <t>VÄSTERBOTTENS LÄN</t>
        </is>
      </c>
      <c r="G209" t="inlineStr">
        <is>
          <t>DOROTEA</t>
        </is>
      </c>
      <c r="I209" t="n">
        <v>15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46261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18310-2026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46261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46261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46261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74013-2021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44557</v>
      </c>
      <c r="E214" s="1" t="n">
        <v>46261</v>
      </c>
      <c r="F214" t="inlineStr">
        <is>
          <t>VÄSTERBOTTENS LÄN</t>
        </is>
      </c>
      <c r="G214" t="inlineStr">
        <is>
          <t>DOROTEA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54624-2025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46261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44925</v>
      </c>
      <c r="E216" s="1" t="n">
        <v>46261</v>
      </c>
      <c r="F216" t="inlineStr">
        <is>
          <t>VÄSTERBOTTENS LÄN</t>
        </is>
      </c>
      <c r="G216" t="inlineStr">
        <is>
          <t>DOROTEA</t>
        </is>
      </c>
      <c r="I216" t="n">
        <v>22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14631-2025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45742</v>
      </c>
      <c r="E217" s="1" t="n">
        <v>46261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46261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45491</v>
      </c>
      <c r="E219" s="1" t="n">
        <v>46261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Sveaskog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46261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46261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46261</v>
      </c>
      <c r="F222" t="inlineStr">
        <is>
          <t>VÄSTERBOTTENS LÄN</t>
        </is>
      </c>
      <c r="G222" t="inlineStr">
        <is>
          <t>DOROTEA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56428-2025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45975</v>
      </c>
      <c r="E223" s="1" t="n">
        <v>46261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56556-2025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46261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45978</v>
      </c>
      <c r="E225" s="1" t="n">
        <v>46261</v>
      </c>
      <c r="F225" t="inlineStr">
        <is>
          <t>VÄSTERBOTTENS LÄN</t>
        </is>
      </c>
      <c r="G225" t="inlineStr">
        <is>
          <t>DOROTEA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46261</v>
      </c>
      <c r="F226" t="inlineStr">
        <is>
          <t>VÄSTERBOTTENS LÄN</t>
        </is>
      </c>
      <c r="G226" t="inlineStr">
        <is>
          <t>DOROTEA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45977</v>
      </c>
      <c r="E227" s="1" t="n">
        <v>46261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57480-2025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46261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46261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57380-2025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46261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46261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18.2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46261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57819-2025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46261</v>
      </c>
      <c r="F233" t="inlineStr">
        <is>
          <t>VÄSTERBOTTENS LÄN</t>
        </is>
      </c>
      <c r="G233" t="inlineStr">
        <is>
          <t>DOROTEA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46261</v>
      </c>
      <c r="F234" t="inlineStr">
        <is>
          <t>VÄSTERBOTTENS LÄN</t>
        </is>
      </c>
      <c r="G234" t="inlineStr">
        <is>
          <t>DOROTEA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46261</v>
      </c>
      <c r="F235" t="inlineStr">
        <is>
          <t>VÄSTERBOTTENS LÄN</t>
        </is>
      </c>
      <c r="G235" t="inlineStr">
        <is>
          <t>DOROTEA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20522-2026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46261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57947-2025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45982</v>
      </c>
      <c r="E237" s="1" t="n">
        <v>46261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46261</v>
      </c>
      <c r="F238" t="inlineStr">
        <is>
          <t>VÄSTERBOTTENS LÄN</t>
        </is>
      </c>
      <c r="G238" t="inlineStr">
        <is>
          <t>DOROTEA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46261</v>
      </c>
      <c r="F239" t="inlineStr">
        <is>
          <t>VÄSTERBOTTENS LÄN</t>
        </is>
      </c>
      <c r="G239" t="inlineStr">
        <is>
          <t>DOROTEA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36096-2025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45866</v>
      </c>
      <c r="E240" s="1" t="n">
        <v>46261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59338-2025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45988</v>
      </c>
      <c r="E241" s="1" t="n">
        <v>46261</v>
      </c>
      <c r="F241" t="inlineStr">
        <is>
          <t>VÄSTERBOTTENS LÄN</t>
        </is>
      </c>
      <c r="G241" t="inlineStr">
        <is>
          <t>DOROTEA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46261</v>
      </c>
      <c r="F242" t="inlineStr">
        <is>
          <t>VÄSTERBOTTENS LÄN</t>
        </is>
      </c>
      <c r="G242" t="inlineStr">
        <is>
          <t>DOROTEA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59054-2025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45988</v>
      </c>
      <c r="E243" s="1" t="n">
        <v>46261</v>
      </c>
      <c r="F243" t="inlineStr">
        <is>
          <t>VÄSTERBOTTENS LÄN</t>
        </is>
      </c>
      <c r="G243" t="inlineStr">
        <is>
          <t>DOROTEA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45295</v>
      </c>
      <c r="E244" s="1" t="n">
        <v>46261</v>
      </c>
      <c r="F244" t="inlineStr">
        <is>
          <t>VÄSTERBOTTENS LÄN</t>
        </is>
      </c>
      <c r="G244" t="inlineStr">
        <is>
          <t>DOROTEA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42484-2024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45565</v>
      </c>
      <c r="E245" s="1" t="n">
        <v>46261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63294-2025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46261</v>
      </c>
      <c r="F246" t="inlineStr">
        <is>
          <t>VÄSTERBOTTENS LÄN</t>
        </is>
      </c>
      <c r="G246" t="inlineStr">
        <is>
          <t>DOROTEA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46261</v>
      </c>
      <c r="F247" t="inlineStr">
        <is>
          <t>VÄSTERBOTTENS LÄN</t>
        </is>
      </c>
      <c r="G247" t="inlineStr">
        <is>
          <t>DOROTEA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46261</v>
      </c>
      <c r="F248" t="inlineStr">
        <is>
          <t>VÄSTERBOTTENS LÄN</t>
        </is>
      </c>
      <c r="G248" t="inlineStr">
        <is>
          <t>DOROTEA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46136</v>
      </c>
      <c r="E249" s="1" t="n">
        <v>46261</v>
      </c>
      <c r="F249" t="inlineStr">
        <is>
          <t>VÄSTERBOTTENS LÄN</t>
        </is>
      </c>
      <c r="G249" t="inlineStr">
        <is>
          <t>DOROTEA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46261</v>
      </c>
      <c r="F250" t="inlineStr">
        <is>
          <t>VÄSTERBOTTENS LÄN</t>
        </is>
      </c>
      <c r="G250" t="inlineStr">
        <is>
          <t>DOROTEA</t>
        </is>
      </c>
      <c r="I250" t="n">
        <v>6.6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45552</v>
      </c>
      <c r="E251" s="1" t="n">
        <v>46261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7429-2023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44971</v>
      </c>
      <c r="E252" s="1" t="n">
        <v>46261</v>
      </c>
      <c r="F252" t="inlineStr">
        <is>
          <t>VÄSTERBOTTENS LÄN</t>
        </is>
      </c>
      <c r="G252" t="inlineStr">
        <is>
          <t>DOROTEA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35937-2025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45862</v>
      </c>
      <c r="E253" s="1" t="n">
        <v>46261</v>
      </c>
      <c r="F253" t="inlineStr">
        <is>
          <t>VÄSTERBOTTENS LÄN</t>
        </is>
      </c>
      <c r="G253" t="inlineStr">
        <is>
          <t>DOROTEA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46261</v>
      </c>
      <c r="F254" t="inlineStr">
        <is>
          <t>VÄSTERBOTTENS LÄN</t>
        </is>
      </c>
      <c r="G254" t="inlineStr">
        <is>
          <t>DOROTEA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55889-2022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44888</v>
      </c>
      <c r="E255" s="1" t="n">
        <v>46261</v>
      </c>
      <c r="F255" t="inlineStr">
        <is>
          <t>VÄSTERBOTTENS LÄN</t>
        </is>
      </c>
      <c r="G255" t="inlineStr">
        <is>
          <t>DOROTEA</t>
        </is>
      </c>
      <c r="I255" t="n">
        <v>15.8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20333-2026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46261</v>
      </c>
      <c r="F256" t="inlineStr">
        <is>
          <t>VÄSTERBOTTENS LÄN</t>
        </is>
      </c>
      <c r="G256" t="inlineStr">
        <is>
          <t>DOROTEA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45996</v>
      </c>
      <c r="E257" s="1" t="n">
        <v>46261</v>
      </c>
      <c r="F257" t="inlineStr">
        <is>
          <t>VÄSTERBOTTENS LÄN</t>
        </is>
      </c>
      <c r="G257" t="inlineStr">
        <is>
          <t>DOROTEA</t>
        </is>
      </c>
      <c r="I257" t="n">
        <v>23.9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46261</v>
      </c>
      <c r="F258" t="inlineStr">
        <is>
          <t>VÄSTERBOTTENS LÄN</t>
        </is>
      </c>
      <c r="G258" t="inlineStr">
        <is>
          <t>DOROTEA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46261</v>
      </c>
      <c r="F259" t="inlineStr">
        <is>
          <t>VÄSTERBOTTENS LÄN</t>
        </is>
      </c>
      <c r="G259" t="inlineStr">
        <is>
          <t>DOROTEA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45705</v>
      </c>
      <c r="E260" s="1" t="n">
        <v>46261</v>
      </c>
      <c r="F260" t="inlineStr">
        <is>
          <t>VÄSTERBOTTENS LÄN</t>
        </is>
      </c>
      <c r="G260" t="inlineStr">
        <is>
          <t>DOROTEA</t>
        </is>
      </c>
      <c r="I260" t="n">
        <v>13.3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46261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45351</v>
      </c>
      <c r="E262" s="1" t="n">
        <v>46261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62193-2025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46003</v>
      </c>
      <c r="E263" s="1" t="n">
        <v>46261</v>
      </c>
      <c r="F263" t="inlineStr">
        <is>
          <t>VÄSTERBOTTENS LÄN</t>
        </is>
      </c>
      <c r="G263" t="inlineStr">
        <is>
          <t>DOROTEA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46136</v>
      </c>
      <c r="E264" s="1" t="n">
        <v>46261</v>
      </c>
      <c r="F264" t="inlineStr">
        <is>
          <t>VÄSTERBOTTENS LÄN</t>
        </is>
      </c>
      <c r="G264" t="inlineStr">
        <is>
          <t>DOROTEA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46139</v>
      </c>
      <c r="E265" s="1" t="n">
        <v>46261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61831-2025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46261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46261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20286-2026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46261</v>
      </c>
      <c r="F268" t="inlineStr">
        <is>
          <t>VÄSTERBOTTENS LÄN</t>
        </is>
      </c>
      <c r="G268" t="inlineStr">
        <is>
          <t>DOROTEA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45539</v>
      </c>
      <c r="E269" s="1" t="n">
        <v>46261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8.199999999999999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46261</v>
      </c>
      <c r="F270" t="inlineStr">
        <is>
          <t>VÄSTERBOTTENS LÄN</t>
        </is>
      </c>
      <c r="G270" t="inlineStr">
        <is>
          <t>DOROTEA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62399-2025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46007</v>
      </c>
      <c r="E271" s="1" t="n">
        <v>46261</v>
      </c>
      <c r="F271" t="inlineStr">
        <is>
          <t>VÄSTERBOTTENS LÄN</t>
        </is>
      </c>
      <c r="G271" t="inlineStr">
        <is>
          <t>DOROTEA</t>
        </is>
      </c>
      <c r="I271" t="n">
        <v>16.7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46007</v>
      </c>
      <c r="E272" s="1" t="n">
        <v>46261</v>
      </c>
      <c r="F272" t="inlineStr">
        <is>
          <t>VÄSTERBOTTENS LÄN</t>
        </is>
      </c>
      <c r="G272" t="inlineStr">
        <is>
          <t>DOROTEA</t>
        </is>
      </c>
      <c r="I272" t="n">
        <v>6.4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62423-2025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46007</v>
      </c>
      <c r="E273" s="1" t="n">
        <v>46261</v>
      </c>
      <c r="F273" t="inlineStr">
        <is>
          <t>VÄSTERBOTTENS LÄN</t>
        </is>
      </c>
      <c r="G273" t="inlineStr">
        <is>
          <t>DOROTEA</t>
        </is>
      </c>
      <c r="I273" t="n">
        <v>13.2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17132-2025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45755</v>
      </c>
      <c r="E274" s="1" t="n">
        <v>46261</v>
      </c>
      <c r="F274" t="inlineStr">
        <is>
          <t>VÄSTERBOTTENS LÄN</t>
        </is>
      </c>
      <c r="G274" t="inlineStr">
        <is>
          <t>DOROTEA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23213-2022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44719</v>
      </c>
      <c r="E275" s="1" t="n">
        <v>46261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20755-2026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46261</v>
      </c>
      <c r="F276" t="inlineStr">
        <is>
          <t>VÄSTERBOTTENS LÄN</t>
        </is>
      </c>
      <c r="G276" t="inlineStr">
        <is>
          <t>DOROTEA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46261</v>
      </c>
      <c r="F277" t="inlineStr">
        <is>
          <t>VÄSTERBOTTENS LÄN</t>
        </is>
      </c>
      <c r="G277" t="inlineStr">
        <is>
          <t>DOROTEA</t>
        </is>
      </c>
      <c r="I277" t="n">
        <v>12.3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46261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9.4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46261</v>
      </c>
      <c r="F279" t="inlineStr">
        <is>
          <t>VÄSTERBOTTENS LÄN</t>
        </is>
      </c>
      <c r="G279" t="inlineStr">
        <is>
          <t>DOROTEA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46261</v>
      </c>
      <c r="F280" t="inlineStr">
        <is>
          <t>VÄSTERBOTTENS LÄN</t>
        </is>
      </c>
      <c r="G280" t="inlineStr">
        <is>
          <t>DOROTEA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22733-2023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45071</v>
      </c>
      <c r="E281" s="1" t="n">
        <v>46261</v>
      </c>
      <c r="F281" t="inlineStr">
        <is>
          <t>VÄSTERBOTTENS LÄN</t>
        </is>
      </c>
      <c r="G281" t="inlineStr">
        <is>
          <t>DOROTEA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46136</v>
      </c>
      <c r="E282" s="1" t="n">
        <v>46261</v>
      </c>
      <c r="F282" t="inlineStr">
        <is>
          <t>VÄSTERBOTTENS LÄN</t>
        </is>
      </c>
      <c r="G282" t="inlineStr">
        <is>
          <t>DOROTEA</t>
        </is>
      </c>
      <c r="I282" t="n">
        <v>21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20680-2026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46141</v>
      </c>
      <c r="E283" s="1" t="n">
        <v>46261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22942-2024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45448</v>
      </c>
      <c r="E284" s="1" t="n">
        <v>46261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20290-2026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46136</v>
      </c>
      <c r="E285" s="1" t="n">
        <v>46261</v>
      </c>
      <c r="F285" t="inlineStr">
        <is>
          <t>VÄSTERBOTTENS LÄN</t>
        </is>
      </c>
      <c r="G285" t="inlineStr">
        <is>
          <t>DOROTEA</t>
        </is>
      </c>
      <c r="I285" t="n">
        <v>17.8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46261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46261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46147</v>
      </c>
      <c r="E288" s="1" t="n">
        <v>46261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5834-2023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46261</v>
      </c>
      <c r="F289" t="inlineStr">
        <is>
          <t>VÄSTERBOTTENS LÄN</t>
        </is>
      </c>
      <c r="G289" t="inlineStr">
        <is>
          <t>DOROTEA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46147</v>
      </c>
      <c r="E290" s="1" t="n">
        <v>46261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21749-2026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46149</v>
      </c>
      <c r="E291" s="1" t="n">
        <v>46261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46261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46150</v>
      </c>
      <c r="E293" s="1" t="n">
        <v>46261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12.8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46261</v>
      </c>
      <c r="F294" t="inlineStr">
        <is>
          <t>VÄSTERBOTTENS LÄN</t>
        </is>
      </c>
      <c r="G294" t="inlineStr">
        <is>
          <t>DOROTEA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27777-2026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46261</v>
      </c>
      <c r="F295" t="inlineStr">
        <is>
          <t>VÄSTERBOTTENS LÄN</t>
        </is>
      </c>
      <c r="G295" t="inlineStr">
        <is>
          <t>DOROTEA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46261</v>
      </c>
      <c r="F296" t="inlineStr">
        <is>
          <t>VÄSTERBOTTENS LÄN</t>
        </is>
      </c>
      <c r="G296" t="inlineStr">
        <is>
          <t>DOROTEA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46261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55888-2022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44888</v>
      </c>
      <c r="E298" s="1" t="n">
        <v>46261</v>
      </c>
      <c r="F298" t="inlineStr">
        <is>
          <t>VÄSTERBOTTENS LÄN</t>
        </is>
      </c>
      <c r="G298" t="inlineStr">
        <is>
          <t>DOROTEA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22214-2026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46261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16.4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25028-2024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45461</v>
      </c>
      <c r="E300" s="1" t="n">
        <v>46261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44960</v>
      </c>
      <c r="E301" s="1" t="n">
        <v>46261</v>
      </c>
      <c r="F301" t="inlineStr">
        <is>
          <t>VÄSTERBOTTENS LÄN</t>
        </is>
      </c>
      <c r="G301" t="inlineStr">
        <is>
          <t>DOROTEA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15352-2025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46261</v>
      </c>
      <c r="F302" t="inlineStr">
        <is>
          <t>VÄSTERBOTTENS LÄN</t>
        </is>
      </c>
      <c r="G302" t="inlineStr">
        <is>
          <t>DOROTEA</t>
        </is>
      </c>
      <c r="I302" t="n">
        <v>10.3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22650-2026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46261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15735-2026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46107</v>
      </c>
      <c r="E304" s="1" t="n">
        <v>46261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11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4617-2023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44956</v>
      </c>
      <c r="E305" s="1" t="n">
        <v>46261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46261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38377-2023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45161</v>
      </c>
      <c r="E307" s="1" t="n">
        <v>46261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45882</v>
      </c>
      <c r="E308" s="1" t="n">
        <v>46261</v>
      </c>
      <c r="F308" t="inlineStr">
        <is>
          <t>VÄSTERBOTTENS LÄN</t>
        </is>
      </c>
      <c r="G308" t="inlineStr">
        <is>
          <t>DOROTEA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45505</v>
      </c>
      <c r="E309" s="1" t="n">
        <v>46261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23336-2026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46261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23324-2026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46261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5.8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30461-2024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45491</v>
      </c>
      <c r="E312" s="1" t="n">
        <v>46261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33372-2024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45519</v>
      </c>
      <c r="E313" s="1" t="n">
        <v>46261</v>
      </c>
      <c r="F313" t="inlineStr">
        <is>
          <t>VÄSTERBOTTENS LÄN</t>
        </is>
      </c>
      <c r="G313" t="inlineStr">
        <is>
          <t>DOROTEA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60162-2024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45642</v>
      </c>
      <c r="E314" s="1" t="n">
        <v>46261</v>
      </c>
      <c r="F314" t="inlineStr">
        <is>
          <t>VÄSTERBOTTENS LÄN</t>
        </is>
      </c>
      <c r="G314" t="inlineStr">
        <is>
          <t>DOROTEA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54031-2025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45962</v>
      </c>
      <c r="E315" s="1" t="n">
        <v>46261</v>
      </c>
      <c r="F315" t="inlineStr">
        <is>
          <t>VÄSTERBOTTENS LÄN</t>
        </is>
      </c>
      <c r="G315" t="inlineStr">
        <is>
          <t>DOROTEA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46162</v>
      </c>
      <c r="E316" s="1" t="n">
        <v>46261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46162</v>
      </c>
      <c r="E317" s="1" t="n">
        <v>46261</v>
      </c>
      <c r="F317" t="inlineStr">
        <is>
          <t>VÄSTERBOTTENS LÄN</t>
        </is>
      </c>
      <c r="G317" t="inlineStr">
        <is>
          <t>DOROTEA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50582-2024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45600</v>
      </c>
      <c r="E318" s="1" t="n">
        <v>46261</v>
      </c>
      <c r="F318" t="inlineStr">
        <is>
          <t>VÄSTERBOTTENS LÄN</t>
        </is>
      </c>
      <c r="G318" t="inlineStr">
        <is>
          <t>DOROTEA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46261</v>
      </c>
      <c r="F319" t="inlineStr">
        <is>
          <t>VÄSTERBOTTENS LÄN</t>
        </is>
      </c>
      <c r="G319" t="inlineStr">
        <is>
          <t>DOROTEA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46261</v>
      </c>
      <c r="F320" t="inlineStr">
        <is>
          <t>VÄSTERBOTTENS LÄN</t>
        </is>
      </c>
      <c r="G320" t="inlineStr">
        <is>
          <t>DOROTEA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34101-2023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45125</v>
      </c>
      <c r="E321" s="1" t="n">
        <v>46261</v>
      </c>
      <c r="F321" t="inlineStr">
        <is>
          <t>VÄSTERBOTTENS LÄN</t>
        </is>
      </c>
      <c r="G321" t="inlineStr">
        <is>
          <t>DOROTEA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45182</v>
      </c>
      <c r="E322" s="1" t="n">
        <v>46261</v>
      </c>
      <c r="F322" t="inlineStr">
        <is>
          <t>VÄSTERBOTTENS LÄN</t>
        </is>
      </c>
      <c r="G322" t="inlineStr">
        <is>
          <t>DOROTEA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44979</v>
      </c>
      <c r="E323" s="1" t="n">
        <v>46261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45632</v>
      </c>
      <c r="E324" s="1" t="n">
        <v>46261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46176</v>
      </c>
      <c r="E325" s="1" t="n">
        <v>46261</v>
      </c>
      <c r="F325" t="inlineStr">
        <is>
          <t>VÄSTERBOTTENS LÄN</t>
        </is>
      </c>
      <c r="G325" t="inlineStr">
        <is>
          <t>DOROTEA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46261</v>
      </c>
      <c r="F326" t="inlineStr">
        <is>
          <t>VÄSTERBOTTENS LÄN</t>
        </is>
      </c>
      <c r="G326" t="inlineStr">
        <is>
          <t>DOROTEA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46261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11.8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46174</v>
      </c>
      <c r="E328" s="1" t="n">
        <v>46261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40434-2023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45169</v>
      </c>
      <c r="E329" s="1" t="n">
        <v>46261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13.9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46818-2023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46261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46220</v>
      </c>
      <c r="E331" s="1" t="n">
        <v>46261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41104-2023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46261</v>
      </c>
      <c r="F332" t="inlineStr">
        <is>
          <t>VÄSTERBOTTENS LÄN</t>
        </is>
      </c>
      <c r="G332" t="inlineStr">
        <is>
          <t>DOROTEA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60145-2021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44494</v>
      </c>
      <c r="E333" s="1" t="n">
        <v>46261</v>
      </c>
      <c r="F333" t="inlineStr">
        <is>
          <t>VÄSTERBOTTENS LÄN</t>
        </is>
      </c>
      <c r="G333" t="inlineStr">
        <is>
          <t>DOROTEA</t>
        </is>
      </c>
      <c r="I333" t="n">
        <v>13.3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46261</v>
      </c>
      <c r="F334" t="inlineStr">
        <is>
          <t>VÄSTERBOTTENS LÄN</t>
        </is>
      </c>
      <c r="G334" t="inlineStr">
        <is>
          <t>DOROTEA</t>
        </is>
      </c>
      <c r="I334" t="n">
        <v>26.2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31573-2026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46224</v>
      </c>
      <c r="E335" s="1" t="n">
        <v>46261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31574-2026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46224</v>
      </c>
      <c r="E336" s="1" t="n">
        <v>46261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46261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59007-2024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45636</v>
      </c>
      <c r="E338" s="1" t="n">
        <v>46261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25682-2026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46178</v>
      </c>
      <c r="E339" s="1" t="n">
        <v>46261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46224</v>
      </c>
      <c r="E340" s="1" t="n">
        <v>46261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45720</v>
      </c>
      <c r="E341" s="1" t="n">
        <v>46261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46261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26237-2026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46182</v>
      </c>
      <c r="E343" s="1" t="n">
        <v>46261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46261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14806-2023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45013</v>
      </c>
      <c r="E345" s="1" t="n">
        <v>46261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46185</v>
      </c>
      <c r="E346" s="1" t="n">
        <v>46261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57236-2022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44889</v>
      </c>
      <c r="E347" s="1" t="n">
        <v>46261</v>
      </c>
      <c r="F347" t="inlineStr">
        <is>
          <t>VÄSTERBOTTENS LÄN</t>
        </is>
      </c>
      <c r="G347" t="inlineStr">
        <is>
          <t>DOROTEA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57071-2023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46261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27738-2026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46191</v>
      </c>
      <c r="E349" s="1" t="n">
        <v>46261</v>
      </c>
      <c r="F349" t="inlineStr">
        <is>
          <t>VÄSTERBOTTENS LÄN</t>
        </is>
      </c>
      <c r="G349" t="inlineStr">
        <is>
          <t>DOROTEA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46261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45714</v>
      </c>
      <c r="E351" s="1" t="n">
        <v>46261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28176-2026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46261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46261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46261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49.5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44568</v>
      </c>
      <c r="E355" s="1" t="n">
        <v>46261</v>
      </c>
      <c r="F355" t="inlineStr">
        <is>
          <t>VÄSTERBOTTENS LÄN</t>
        </is>
      </c>
      <c r="G355" t="inlineStr">
        <is>
          <t>DOROTEA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46261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46261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46261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17591-2025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45757</v>
      </c>
      <c r="E359" s="1" t="n">
        <v>46261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17787-2023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45036</v>
      </c>
      <c r="E360" s="1" t="n">
        <v>46261</v>
      </c>
      <c r="F360" t="inlineStr">
        <is>
          <t>VÄSTERBOTTENS LÄN</t>
        </is>
      </c>
      <c r="G360" t="inlineStr">
        <is>
          <t>DOROTEA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46261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55919-2023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45239</v>
      </c>
      <c r="E362" s="1" t="n">
        <v>46261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45069</v>
      </c>
      <c r="E363" s="1" t="n">
        <v>46261</v>
      </c>
      <c r="F363" t="inlineStr">
        <is>
          <t>VÄSTERBOTTENS LÄN</t>
        </is>
      </c>
      <c r="G363" t="inlineStr">
        <is>
          <t>DOROTEA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46261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9.300000000000001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33514-2026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46248</v>
      </c>
      <c r="E365" s="1" t="n">
        <v>46261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33364-2026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46247</v>
      </c>
      <c r="E366" s="1" t="n">
        <v>46261</v>
      </c>
      <c r="F366" t="inlineStr">
        <is>
          <t>VÄSTERBOTTENS LÄN</t>
        </is>
      </c>
      <c r="G366" t="inlineStr">
        <is>
          <t>DOROTEA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46261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46261</v>
      </c>
      <c r="F368" t="inlineStr">
        <is>
          <t>VÄSTERBOTTENS LÄN</t>
        </is>
      </c>
      <c r="G368" t="inlineStr">
        <is>
          <t>DOROTEA</t>
        </is>
      </c>
      <c r="I368" t="n">
        <v>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46261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9102-2023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44979</v>
      </c>
      <c r="E370" s="1" t="n">
        <v>46261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9.4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46253</v>
      </c>
      <c r="E371" s="1" t="n">
        <v>46261</v>
      </c>
      <c r="F371" t="inlineStr">
        <is>
          <t>VÄSTERBOTTENS LÄN</t>
        </is>
      </c>
      <c r="G371" t="inlineStr">
        <is>
          <t>DOROTEA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30740-2026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46211</v>
      </c>
      <c r="E372" s="1" t="n">
        <v>46261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46261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46261</v>
      </c>
      <c r="F374" t="inlineStr">
        <is>
          <t>VÄSTERBOTTENS LÄN</t>
        </is>
      </c>
      <c r="G374" t="inlineStr">
        <is>
          <t>DOROTEA</t>
        </is>
      </c>
      <c r="I374" t="n">
        <v>13.6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34187-2026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46261</v>
      </c>
      <c r="F375" t="inlineStr">
        <is>
          <t>VÄSTERBOTTENS LÄN</t>
        </is>
      </c>
      <c r="G375" t="inlineStr">
        <is>
          <t>DOROTEA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34149-2026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46261</v>
      </c>
      <c r="F376" t="inlineStr">
        <is>
          <t>VÄSTERBOTTENS LÄN</t>
        </is>
      </c>
      <c r="G376" t="inlineStr">
        <is>
          <t>DOROTEA</t>
        </is>
      </c>
      <c r="I376" t="n">
        <v>11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46261</v>
      </c>
      <c r="F377" t="inlineStr">
        <is>
          <t>VÄSTERBOTTENS LÄN</t>
        </is>
      </c>
      <c r="G377" t="inlineStr">
        <is>
          <t>DOROTEA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45036</v>
      </c>
      <c r="E378" s="1" t="n">
        <v>46261</v>
      </c>
      <c r="F378" t="inlineStr">
        <is>
          <t>VÄSTERBOTTENS LÄN</t>
        </is>
      </c>
      <c r="G378" t="inlineStr">
        <is>
          <t>DOROTEA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46261</v>
      </c>
      <c r="F379" t="inlineStr">
        <is>
          <t>VÄSTERBOTTENS LÄN</t>
        </is>
      </c>
      <c r="G379" t="inlineStr">
        <is>
          <t>DOROTEA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46261</v>
      </c>
      <c r="F380" t="inlineStr">
        <is>
          <t>VÄSTERBOTTENS LÄN</t>
        </is>
      </c>
      <c r="G380" t="inlineStr">
        <is>
          <t>DOROTEA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30823-2026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46212</v>
      </c>
      <c r="E381" s="1" t="n">
        <v>46261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46261</v>
      </c>
      <c r="F382" t="inlineStr">
        <is>
          <t>VÄSTERBOTTENS LÄN</t>
        </is>
      </c>
      <c r="G382" t="inlineStr">
        <is>
          <t>DOROTEA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46254</v>
      </c>
      <c r="E383" s="1" t="n">
        <v>46261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31006-2026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46213</v>
      </c>
      <c r="E384" s="1" t="n">
        <v>46261</v>
      </c>
      <c r="F384" t="inlineStr">
        <is>
          <t>VÄSTERBOTTENS LÄN</t>
        </is>
      </c>
      <c r="G384" t="inlineStr">
        <is>
          <t>DOROTEA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40599-2024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45556</v>
      </c>
      <c r="E385" s="1" t="n">
        <v>46261</v>
      </c>
      <c r="F385" t="inlineStr">
        <is>
          <t>VÄSTERBOTTENS LÄN</t>
        </is>
      </c>
      <c r="G385" t="inlineStr">
        <is>
          <t>DOROTEA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46261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46261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46966-2024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45586</v>
      </c>
      <c r="E388" s="1" t="n">
        <v>46261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Sveaskog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46218</v>
      </c>
      <c r="E389" s="1" t="n">
        <v>46261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46261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46217</v>
      </c>
      <c r="E391" s="1" t="n">
        <v>46261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42515-2023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45180</v>
      </c>
      <c r="E392" s="1" t="n">
        <v>46261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27.7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46261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5495-2024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45331</v>
      </c>
      <c r="E394" s="1" t="n">
        <v>46261</v>
      </c>
      <c r="F394" t="inlineStr">
        <is>
          <t>VÄSTERBOTTENS LÄN</t>
        </is>
      </c>
      <c r="G394" t="inlineStr">
        <is>
          <t>DOROTEA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45075</v>
      </c>
      <c r="E395" s="1" t="n">
        <v>46261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45036</v>
      </c>
      <c r="E396" s="1" t="n">
        <v>46261</v>
      </c>
      <c r="F396" t="inlineStr">
        <is>
          <t>VÄSTERBOTTENS LÄN</t>
        </is>
      </c>
      <c r="G396" t="inlineStr">
        <is>
          <t>DOROTEA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45148</v>
      </c>
      <c r="E397" s="1" t="n">
        <v>46261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46261</v>
      </c>
      <c r="F398" t="inlineStr">
        <is>
          <t>VÄSTERBOTTENS LÄN</t>
        </is>
      </c>
      <c r="G398" t="inlineStr">
        <is>
          <t>DOROTEA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45672</v>
      </c>
      <c r="E399" s="1" t="n">
        <v>46261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Kommuner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45729</v>
      </c>
      <c r="E400" s="1" t="n">
        <v>46261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27558-2022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44742</v>
      </c>
      <c r="E401" s="1" t="n">
        <v>46261</v>
      </c>
      <c r="F401" t="inlineStr">
        <is>
          <t>VÄSTERBOTTENS LÄN</t>
        </is>
      </c>
      <c r="G401" t="inlineStr">
        <is>
          <t>DOROTEA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52148-2023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45223</v>
      </c>
      <c r="E402" s="1" t="n">
        <v>46261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45169</v>
      </c>
      <c r="E403" s="1" t="n">
        <v>46261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45735</v>
      </c>
      <c r="E404" s="1" t="n">
        <v>46261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19726-2025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45771</v>
      </c>
      <c r="E405" s="1" t="n">
        <v>46261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28717-2022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44748</v>
      </c>
      <c r="E406" s="1" t="n">
        <v>46261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47494-2023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45202</v>
      </c>
      <c r="E407" s="1" t="n">
        <v>46261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8095-2023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44974</v>
      </c>
      <c r="E408" s="1" t="n">
        <v>46261</v>
      </c>
      <c r="F408" t="inlineStr">
        <is>
          <t>VÄSTERBOTTENS LÄN</t>
        </is>
      </c>
      <c r="G408" t="inlineStr">
        <is>
          <t>DOROTEA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45246</v>
      </c>
      <c r="E409" s="1" t="n">
        <v>46261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56807-2021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44481</v>
      </c>
      <c r="E410" s="1" t="n">
        <v>46261</v>
      </c>
      <c r="F410" t="inlineStr">
        <is>
          <t>VÄSTERBOTTENS LÄN</t>
        </is>
      </c>
      <c r="G410" t="inlineStr">
        <is>
          <t>DOROTEA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60169-2024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45642</v>
      </c>
      <c r="E411" s="1" t="n">
        <v>46261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14163-2024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45392</v>
      </c>
      <c r="E412" s="1" t="n">
        <v>46261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38700-2024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45547</v>
      </c>
      <c r="E413" s="1" t="n">
        <v>46261</v>
      </c>
      <c r="F413" t="inlineStr">
        <is>
          <t>VÄSTERBOTTENS LÄN</t>
        </is>
      </c>
      <c r="G413" t="inlineStr">
        <is>
          <t>DOROTEA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44848</v>
      </c>
      <c r="E414" s="1" t="n">
        <v>46261</v>
      </c>
      <c r="F414" t="inlineStr">
        <is>
          <t>VÄSTERBOTTENS LÄN</t>
        </is>
      </c>
      <c r="G414" t="inlineStr">
        <is>
          <t>DOROTEA</t>
        </is>
      </c>
      <c r="I414" t="n">
        <v>29.8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42473-2024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46261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46965-2024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45586</v>
      </c>
      <c r="E416" s="1" t="n">
        <v>46261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10360-2023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46261</v>
      </c>
      <c r="F417" t="inlineStr">
        <is>
          <t>VÄSTERBOTTENS LÄN</t>
        </is>
      </c>
      <c r="G417" t="inlineStr">
        <is>
          <t>DOROTEA</t>
        </is>
      </c>
      <c r="I417" t="n">
        <v>18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45562</v>
      </c>
      <c r="E418" s="1" t="n">
        <v>46261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7.7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27477-2023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45097</v>
      </c>
      <c r="E419" s="1" t="n">
        <v>46261</v>
      </c>
      <c r="F419" t="inlineStr">
        <is>
          <t>VÄSTERBOTTENS LÄN</t>
        </is>
      </c>
      <c r="G419" t="inlineStr">
        <is>
          <t>DOROTEA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44942</v>
      </c>
      <c r="E420" s="1" t="n">
        <v>46261</v>
      </c>
      <c r="F420" t="inlineStr">
        <is>
          <t>VÄSTERBOTTENS LÄN</t>
        </is>
      </c>
      <c r="G420" t="inlineStr">
        <is>
          <t>DOROTEA</t>
        </is>
      </c>
      <c r="I420" t="n">
        <v>22.7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42889-2024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45566</v>
      </c>
      <c r="E421" s="1" t="n">
        <v>46261</v>
      </c>
      <c r="F421" t="inlineStr">
        <is>
          <t>VÄSTERBOTTENS LÄN</t>
        </is>
      </c>
      <c r="G421" t="inlineStr">
        <is>
          <t>DOROTEA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59653-2024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45639</v>
      </c>
      <c r="E422" s="1" t="n">
        <v>46261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45036</v>
      </c>
      <c r="E423" s="1" t="n">
        <v>46261</v>
      </c>
      <c r="F423" t="inlineStr">
        <is>
          <t>VÄSTERBOTTENS LÄN</t>
        </is>
      </c>
      <c r="G423" t="inlineStr">
        <is>
          <t>DOROTEA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46261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46261</v>
      </c>
      <c r="F425" t="inlineStr">
        <is>
          <t>VÄSTERBOTTENS LÄN</t>
        </is>
      </c>
      <c r="G425" t="inlineStr">
        <is>
          <t>DOROTEA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45770</v>
      </c>
      <c r="E426" s="1" t="n">
        <v>46261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45351</v>
      </c>
      <c r="E427" s="1" t="n">
        <v>46261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46261</v>
      </c>
      <c r="F428" t="inlineStr">
        <is>
          <t>VÄSTERBOTTENS LÄN</t>
        </is>
      </c>
      <c r="G428" t="inlineStr">
        <is>
          <t>DOROTEA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46261</v>
      </c>
      <c r="F429" t="inlineStr">
        <is>
          <t>VÄSTERBOTTENS LÄN</t>
        </is>
      </c>
      <c r="G429" t="inlineStr">
        <is>
          <t>DOROTEA</t>
        </is>
      </c>
      <c r="I429" t="n">
        <v>8.5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45055</v>
      </c>
      <c r="E430" s="1" t="n">
        <v>46261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Övriga statliga verk och myndigheter</t>
        </is>
      </c>
      <c r="I430" t="n">
        <v>13.9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67686-2021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44524</v>
      </c>
      <c r="E431" s="1" t="n">
        <v>46261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32821-2024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45516</v>
      </c>
      <c r="E432" s="1" t="n">
        <v>46261</v>
      </c>
      <c r="F432" t="inlineStr">
        <is>
          <t>VÄSTERBOTTENS LÄN</t>
        </is>
      </c>
      <c r="G432" t="inlineStr">
        <is>
          <t>DOROTEA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57376-2022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44889</v>
      </c>
      <c r="E433" s="1" t="n">
        <v>46261</v>
      </c>
      <c r="F433" t="inlineStr">
        <is>
          <t>VÄSTERBOTTENS LÄN</t>
        </is>
      </c>
      <c r="G433" t="inlineStr">
        <is>
          <t>DOROTEA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34107-2023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45125</v>
      </c>
      <c r="E434" s="1" t="n">
        <v>46261</v>
      </c>
      <c r="F434" t="inlineStr">
        <is>
          <t>VÄSTERBOTTENS LÄN</t>
        </is>
      </c>
      <c r="G434" t="inlineStr">
        <is>
          <t>DOROTEA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35000-2023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45142</v>
      </c>
      <c r="E435" s="1" t="n">
        <v>46261</v>
      </c>
      <c r="F435" t="inlineStr">
        <is>
          <t>VÄSTERBOTTENS LÄN</t>
        </is>
      </c>
      <c r="G435" t="inlineStr">
        <is>
          <t>DOROTEA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52276-2023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45217</v>
      </c>
      <c r="E436" s="1" t="n">
        <v>46261</v>
      </c>
      <c r="F436" t="inlineStr">
        <is>
          <t>VÄSTERBOTTENS LÄN</t>
        </is>
      </c>
      <c r="G436" t="inlineStr">
        <is>
          <t>DOROTEA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53795-2022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44876</v>
      </c>
      <c r="E437" s="1" t="n">
        <v>46261</v>
      </c>
      <c r="F437" t="inlineStr">
        <is>
          <t>VÄSTERBOTTENS LÄN</t>
        </is>
      </c>
      <c r="G437" t="inlineStr">
        <is>
          <t>DOROTEA</t>
        </is>
      </c>
      <c r="I437" t="n">
        <v>12.3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45735</v>
      </c>
      <c r="E438" s="1" t="n">
        <v>46261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52144-2023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45223</v>
      </c>
      <c r="E439" s="1" t="n">
        <v>46261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45446</v>
      </c>
      <c r="E440" s="1" t="n">
        <v>46261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60153-2024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46261</v>
      </c>
      <c r="F441" t="inlineStr">
        <is>
          <t>VÄSTERBOTTENS LÄN</t>
        </is>
      </c>
      <c r="G441" t="inlineStr">
        <is>
          <t>DOROTEA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9030-2025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45713</v>
      </c>
      <c r="E442" s="1" t="n">
        <v>46261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60015-2023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45257</v>
      </c>
      <c r="E443" s="1" t="n">
        <v>46261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45315</v>
      </c>
      <c r="E444" s="1" t="n">
        <v>46261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10402-2025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46261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59394-2023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46261</v>
      </c>
      <c r="F446" t="inlineStr">
        <is>
          <t>VÄSTERBOTTENS LÄN</t>
        </is>
      </c>
      <c r="G446" t="inlineStr">
        <is>
          <t>DOROTEA</t>
        </is>
      </c>
      <c r="I446" t="n">
        <v>28.8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27305-2024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45471</v>
      </c>
      <c r="E447" s="1" t="n">
        <v>46261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28549-2023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46261</v>
      </c>
      <c r="F448" t="inlineStr">
        <is>
          <t>VÄSTERBOTTENS LÄN</t>
        </is>
      </c>
      <c r="G448" t="inlineStr">
        <is>
          <t>DOROTEA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43944-2024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45572</v>
      </c>
      <c r="E449" s="1" t="n">
        <v>46261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28856-2024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45478</v>
      </c>
      <c r="E450" s="1" t="n">
        <v>46261</v>
      </c>
      <c r="F450" t="inlineStr">
        <is>
          <t>VÄSTERBOTTENS LÄN</t>
        </is>
      </c>
      <c r="G450" t="inlineStr">
        <is>
          <t>DOROTEA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53382-2024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45614</v>
      </c>
      <c r="E451" s="1" t="n">
        <v>46261</v>
      </c>
      <c r="F451" t="inlineStr">
        <is>
          <t>VÄSTERBOTTENS LÄN</t>
        </is>
      </c>
      <c r="G451" t="inlineStr">
        <is>
          <t>DOROTEA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42104-2024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45562</v>
      </c>
      <c r="E452" s="1" t="n">
        <v>46261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45789</v>
      </c>
      <c r="E453" s="1" t="n">
        <v>46261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45771</v>
      </c>
      <c r="E454" s="1" t="n">
        <v>46261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23457-2025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45792</v>
      </c>
      <c r="E455" s="1" t="n">
        <v>46261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2945-2024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45506</v>
      </c>
      <c r="E456" s="1" t="n">
        <v>46261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1058-2025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45749</v>
      </c>
      <c r="E457" s="1" t="n">
        <v>46261</v>
      </c>
      <c r="F457" t="inlineStr">
        <is>
          <t>VÄSTERBOTTENS LÄN</t>
        </is>
      </c>
      <c r="G457" t="inlineStr">
        <is>
          <t>DOROTEA</t>
        </is>
      </c>
      <c r="I457" t="n">
        <v>10.9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844-2025</t>
        </is>
      </c>
      <c r="B458" t="inlineStr">
        <is>
          <t>samrådsanmälan</t>
        </is>
      </c>
      <c r="C458" t="inlineStr">
        <is>
          <t>Skogsgödsling</t>
        </is>
      </c>
      <c r="D458" s="1" t="n">
        <v>45733</v>
      </c>
      <c r="E458" s="1" t="n">
        <v>46261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1293.5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2195-2025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45858</v>
      </c>
      <c r="E459" s="1" t="n">
        <v>46261</v>
      </c>
      <c r="F459" t="inlineStr">
        <is>
          <t>VÄSTERBOTTENS LÄN</t>
        </is>
      </c>
      <c r="G459" t="inlineStr">
        <is>
          <t>DOROTEA</t>
        </is>
      </c>
      <c r="I459" t="n">
        <v>27.4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2283-2025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45876</v>
      </c>
      <c r="E460" s="1" t="n">
        <v>46261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2360-2025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45889</v>
      </c>
      <c r="E461" s="1" t="n">
        <v>46261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1763-2026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46189</v>
      </c>
      <c r="E462" s="1" t="n">
        <v>46261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2026-08-27T01:55:13Z</dcterms:created>
  <dcterms:modified xmlns:dcterms="http://purl.org/dc/terms/" xmlns:xsi="http://www.w3.org/2001/XMLSchema-instance" xsi:type="dcterms:W3CDTF">2026-08-27T01:55:14Z</dcterms:modified>
</cp:coreProperties>
</file>