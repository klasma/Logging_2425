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46274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46274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46274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46274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46274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46274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46274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46274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46274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46274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46274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46274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46274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46274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46274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46274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46274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46274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46274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46274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46274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28909-2025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45820</v>
      </c>
      <c r="E24" s="1" t="n">
        <v>46274</v>
      </c>
      <c r="F24" t="inlineStr">
        <is>
          <t>VÄSTERBOTTENS LÄN</t>
        </is>
      </c>
      <c r="G24" t="inlineStr">
        <is>
          <t>DOROTEA</t>
        </is>
      </c>
      <c r="H24" t="inlineStr">
        <is>
          <t>Kyrkan</t>
        </is>
      </c>
      <c r="I24" t="n">
        <v>5.5</v>
      </c>
      <c r="J24" t="n">
        <v>1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8</v>
      </c>
      <c r="U24" t="n">
        <v>8</v>
      </c>
      <c r="V24" s="2" t="inlineStr">
        <is>
          <t>Kolflarnlav
Mörk kolflarnlav
Tretåig hackspett</t>
        </is>
      </c>
      <c r="W24">
        <f>HYPERLINK("https://klasma.github.io/Logging_2425/artfynd/A 28909-2025 artfynd.xlsx", "A 28909-2025")</f>
        <v/>
      </c>
      <c r="X24">
        <f>HYPERLINK("https://klasma.github.io/Logging_2425/kartor/A 28909-2025 karta.png", "A 28909-2025")</f>
        <v/>
      </c>
      <c r="Y24">
        <f>HYPERLINK("https://klasma.github.io/Logging_2425/kartor_geotiff/A 28909-2025 georefererad karta.tif", "A 28909-2025")</f>
        <v/>
      </c>
      <c r="AA24">
        <f>HYPERLINK("https://klasma.github.io/Logging_2425/klagomål/A 28909-2025 FSC-klagomål.docx", "A 28909-2025")</f>
        <v/>
      </c>
      <c r="AB24">
        <f>HYPERLINK("https://klasma.github.io/Logging_2425/klagomålsmail/A 28909-2025 FSC-klagomål mail.docx", "A 28909-2025")</f>
        <v/>
      </c>
      <c r="AC24">
        <f>HYPERLINK("https://klasma.github.io/Logging_2425/tillsyn/A 28909-2025 tillsynsbegäran.docx", "A 28909-2025")</f>
        <v/>
      </c>
      <c r="AD24">
        <f>HYPERLINK("https://klasma.github.io/Logging_2425/tillsynsmail/A 28909-2025 tillsynsbegäran mail.docx", "A 28909-2025")</f>
        <v/>
      </c>
      <c r="AE24">
        <f>HYPERLINK("https://klasma.github.io/Logging_2425/fåglar/A 28909-2025 prioriterade fågelarter.docx", "A 28909-2025")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46274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46274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46274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46274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46274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19589-2024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45429</v>
      </c>
      <c r="E30" s="1" t="n">
        <v>46274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Lunglav
Talltita</t>
        </is>
      </c>
      <c r="W30">
        <f>HYPERLINK("https://klasma.github.io/Logging_2425/artfynd/A 19589-2024 artfynd.xlsx", "A 19589-2024")</f>
        <v/>
      </c>
      <c r="X30">
        <f>HYPERLINK("https://klasma.github.io/Logging_2425/kartor/A 19589-2024 karta.png", "A 19589-2024")</f>
        <v/>
      </c>
      <c r="Y30">
        <f>HYPERLINK("https://klasma.github.io/Logging_2425/kartor_geotiff/A 19589-2024 georefererad karta.tif", "A 19589-2024")</f>
        <v/>
      </c>
      <c r="AA30">
        <f>HYPERLINK("https://klasma.github.io/Logging_2425/klagomål/A 19589-2024 FSC-klagomål.docx", "A 19589-2024")</f>
        <v/>
      </c>
      <c r="AB30">
        <f>HYPERLINK("https://klasma.github.io/Logging_2425/klagomålsmail/A 19589-2024 FSC-klagomål mail.docx", "A 19589-2024")</f>
        <v/>
      </c>
      <c r="AC30">
        <f>HYPERLINK("https://klasma.github.io/Logging_2425/tillsyn/A 19589-2024 tillsynsbegäran.docx", "A 19589-2024")</f>
        <v/>
      </c>
      <c r="AD30">
        <f>HYPERLINK("https://klasma.github.io/Logging_2425/tillsynsmail/A 19589-2024 tillsynsbegäran mail.docx", "A 19589-2024")</f>
        <v/>
      </c>
      <c r="AE30">
        <f>HYPERLINK("https://klasma.github.io/Logging_2425/fåglar/A 19589-2024 prioriterade fågelarter.docx", "A 19589-2024")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46274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46274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46274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46274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46274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46274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46274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46274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46274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46274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46274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21926-2026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46274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Stuplav</t>
        </is>
      </c>
      <c r="W42">
        <f>HYPERLINK("https://klasma.github.io/Logging_2425/artfynd/A 21926-2026 artfynd.xlsx", "A 21926-2026")</f>
        <v/>
      </c>
      <c r="X42">
        <f>HYPERLINK("https://klasma.github.io/Logging_2425/kartor/A 21926-2026 karta.png", "A 21926-2026")</f>
        <v/>
      </c>
      <c r="Y42">
        <f>HYPERLINK("https://klasma.github.io/Logging_2425/kartor_geotiff/A 21926-2026 georefererad karta.tif", "A 21926-2026")</f>
        <v/>
      </c>
      <c r="AA42">
        <f>HYPERLINK("https://klasma.github.io/Logging_2425/klagomål/A 21926-2026 FSC-klagomål.docx", "A 21926-2026")</f>
        <v/>
      </c>
      <c r="AB42">
        <f>HYPERLINK("https://klasma.github.io/Logging_2425/klagomålsmail/A 21926-2026 FSC-klagomål mail.docx", "A 21926-2026")</f>
        <v/>
      </c>
      <c r="AC42">
        <f>HYPERLINK("https://klasma.github.io/Logging_2425/tillsyn/A 21926-2026 tillsynsbegäran.docx", "A 21926-2026")</f>
        <v/>
      </c>
      <c r="AD42">
        <f>HYPERLINK("https://klasma.github.io/Logging_2425/tillsynsmail/A 21926-2026 tillsynsbegäran mail.docx", "A 21926-2026")</f>
        <v/>
      </c>
    </row>
    <row r="43" ht="15" customHeight="1">
      <c r="A43" t="inlineStr">
        <is>
          <t>A 50530-2025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45945</v>
      </c>
      <c r="E43" s="1" t="n">
        <v>46274</v>
      </c>
      <c r="F43" t="inlineStr">
        <is>
          <t>VÄSTERBOTTENS LÄN</t>
        </is>
      </c>
      <c r="G43" t="inlineStr">
        <is>
          <t>DOROTEA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Ängsnycklar</t>
        </is>
      </c>
      <c r="W43">
        <f>HYPERLINK("https://klasma.github.io/Logging_2425/artfynd/A 50530-2025 artfynd.xlsx", "A 50530-2025")</f>
        <v/>
      </c>
      <c r="X43">
        <f>HYPERLINK("https://klasma.github.io/Logging_2425/kartor/A 50530-2025 karta.png", "A 50530-2025")</f>
        <v/>
      </c>
      <c r="Y43">
        <f>HYPERLINK("https://klasma.github.io/Logging_2425/kartor_geotiff/A 50530-2025 georefererad karta.tif", "A 50530-2025")</f>
        <v/>
      </c>
      <c r="AA43">
        <f>HYPERLINK("https://klasma.github.io/Logging_2425/klagomål/A 50530-2025 FSC-klagomål.docx", "A 50530-2025")</f>
        <v/>
      </c>
      <c r="AB43">
        <f>HYPERLINK("https://klasma.github.io/Logging_2425/klagomålsmail/A 50530-2025 FSC-klagomål mail.docx", "A 50530-2025")</f>
        <v/>
      </c>
      <c r="AC43">
        <f>HYPERLINK("https://klasma.github.io/Logging_2425/tillsyn/A 50530-2025 tillsynsbegäran.docx", "A 50530-2025")</f>
        <v/>
      </c>
      <c r="AD43">
        <f>HYPERLINK("https://klasma.github.io/Logging_2425/tillsynsmail/A 50530-2025 tillsynsbegäran mail.docx", "A 50530-2025")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46274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46274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46274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32331-2026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46238</v>
      </c>
      <c r="E47" s="1" t="n">
        <v>46274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Skrovellav</t>
        </is>
      </c>
      <c r="W47">
        <f>HYPERLINK("https://klasma.github.io/Logging_2425/artfynd/A 32331-2026 artfynd.xlsx", "A 32331-2026")</f>
        <v/>
      </c>
      <c r="X47">
        <f>HYPERLINK("https://klasma.github.io/Logging_2425/kartor/A 32331-2026 karta.png", "A 32331-2026")</f>
        <v/>
      </c>
      <c r="Y47">
        <f>HYPERLINK("https://klasma.github.io/Logging_2425/kartor_geotiff/A 32331-2026 georefererad karta.tif", "A 32331-2026")</f>
        <v/>
      </c>
      <c r="AA47">
        <f>HYPERLINK("https://klasma.github.io/Logging_2425/klagomål/A 32331-2026 FSC-klagomål.docx", "A 32331-2026")</f>
        <v/>
      </c>
      <c r="AB47">
        <f>HYPERLINK("https://klasma.github.io/Logging_2425/klagomålsmail/A 32331-2026 FSC-klagomål mail.docx", "A 32331-2026")</f>
        <v/>
      </c>
      <c r="AC47">
        <f>HYPERLINK("https://klasma.github.io/Logging_2425/tillsyn/A 32331-2026 tillsynsbegäran.docx", "A 32331-2026")</f>
        <v/>
      </c>
      <c r="AD47">
        <f>HYPERLINK("https://klasma.github.io/Logging_2425/tillsynsmail/A 32331-2026 tillsynsbegäran mail.docx", "A 32331-2026")</f>
        <v/>
      </c>
    </row>
    <row r="48" ht="15" customHeight="1">
      <c r="A48" t="inlineStr">
        <is>
          <t>A 30357-2026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46209</v>
      </c>
      <c r="E48" s="1" t="n">
        <v>46274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Tajgahumla</t>
        </is>
      </c>
      <c r="W48">
        <f>HYPERLINK("https://klasma.github.io/Logging_2425/artfynd/A 30357-2026 artfynd.xlsx", "A 30357-2026")</f>
        <v/>
      </c>
      <c r="X48">
        <f>HYPERLINK("https://klasma.github.io/Logging_2425/kartor/A 30357-2026 karta.png", "A 30357-2026")</f>
        <v/>
      </c>
      <c r="Y48">
        <f>HYPERLINK("https://klasma.github.io/Logging_2425/kartor_geotiff/A 30357-2026 georefererad karta.tif", "A 30357-2026")</f>
        <v/>
      </c>
      <c r="AA48">
        <f>HYPERLINK("https://klasma.github.io/Logging_2425/klagomål/A 30357-2026 FSC-klagomål.docx", "A 30357-2026")</f>
        <v/>
      </c>
      <c r="AB48">
        <f>HYPERLINK("https://klasma.github.io/Logging_2425/klagomålsmail/A 30357-2026 FSC-klagomål mail.docx", "A 30357-2026")</f>
        <v/>
      </c>
      <c r="AC48">
        <f>HYPERLINK("https://klasma.github.io/Logging_2425/tillsyn/A 30357-2026 tillsynsbegäran.docx", "A 30357-2026")</f>
        <v/>
      </c>
      <c r="AD48">
        <f>HYPERLINK("https://klasma.github.io/Logging_2425/tillsynsmail/A 30357-2026 tillsynsbegäran mail.docx", "A 30357-2026")</f>
        <v/>
      </c>
    </row>
    <row r="49" ht="15" customHeight="1">
      <c r="A49" t="inlineStr">
        <is>
          <t>A 12005-2023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44994</v>
      </c>
      <c r="E49" s="1" t="n">
        <v>46274</v>
      </c>
      <c r="F49" t="inlineStr">
        <is>
          <t>VÄSTERBOTTENS LÄN</t>
        </is>
      </c>
      <c r="G49" t="inlineStr">
        <is>
          <t>DOROTEA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HYPERLINK("https://klasma.github.io/Logging_2425/artfynd/A 12005-2023 artfynd.xlsx", "A 12005-2023")</f>
        <v/>
      </c>
      <c r="X49">
        <f>HYPERLINK("https://klasma.github.io/Logging_2425/kartor/A 12005-2023 karta.png", "A 12005-2023")</f>
        <v/>
      </c>
      <c r="Y49">
        <f>HYPERLINK("https://klasma.github.io/Logging_2425/kartor_geotiff/A 12005-2023 georefererad karta.tif", "A 12005-2023")</f>
        <v/>
      </c>
      <c r="AA49">
        <f>HYPERLINK("https://klasma.github.io/Logging_2425/klagomål/A 12005-2023 FSC-klagomål.docx", "A 12005-2023")</f>
        <v/>
      </c>
      <c r="AB49">
        <f>HYPERLINK("https://klasma.github.io/Logging_2425/klagomålsmail/A 12005-2023 FSC-klagomål mail.docx", "A 12005-2023")</f>
        <v/>
      </c>
      <c r="AC49">
        <f>HYPERLINK("https://klasma.github.io/Logging_2425/tillsyn/A 12005-2023 tillsynsbegäran.docx", "A 12005-2023")</f>
        <v/>
      </c>
      <c r="AD49">
        <f>HYPERLINK("https://klasma.github.io/Logging_2425/tillsynsmail/A 12005-2023 tillsynsbegäran mail.docx", "A 12005-2023")</f>
        <v/>
      </c>
    </row>
    <row r="50" ht="15" customHeight="1">
      <c r="A50" t="inlineStr">
        <is>
          <t>A 35297-2026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35297-2026 artfynd.xlsx", "A 35297-2026")</f>
        <v/>
      </c>
      <c r="X50">
        <f>HYPERLINK("https://klasma.github.io/Logging_2425/kartor/A 35297-2026 karta.png", "A 35297-2026")</f>
        <v/>
      </c>
      <c r="Y50">
        <f>HYPERLINK("https://klasma.github.io/Logging_2425/kartor_geotiff/A 35297-2026 georefererad karta.tif", "A 35297-2026")</f>
        <v/>
      </c>
      <c r="AA50">
        <f>HYPERLINK("https://klasma.github.io/Logging_2425/klagomål/A 35297-2026 FSC-klagomål.docx", "A 35297-2026")</f>
        <v/>
      </c>
      <c r="AB50">
        <f>HYPERLINK("https://klasma.github.io/Logging_2425/klagomålsmail/A 35297-2026 FSC-klagomål mail.docx", "A 35297-2026")</f>
        <v/>
      </c>
      <c r="AC50">
        <f>HYPERLINK("https://klasma.github.io/Logging_2425/tillsyn/A 35297-2026 tillsynsbegäran.docx", "A 35297-2026")</f>
        <v/>
      </c>
      <c r="AD50">
        <f>HYPERLINK("https://klasma.github.io/Logging_2425/tillsynsmail/A 35297-2026 tillsynsbegäran mail.docx", "A 35297-2026")</f>
        <v/>
      </c>
    </row>
    <row r="51" ht="15" customHeight="1">
      <c r="A51" t="inlineStr">
        <is>
          <t>A 57060-2024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46274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57060-2024 artfynd.xlsx", "A 57060-2024")</f>
        <v/>
      </c>
      <c r="X51">
        <f>HYPERLINK("https://klasma.github.io/Logging_2425/kartor/A 57060-2024 karta.png", "A 57060-2024")</f>
        <v/>
      </c>
      <c r="Y51">
        <f>HYPERLINK("https://klasma.github.io/Logging_2425/kartor_geotiff/A 57060-2024 georefererad karta.tif", "A 57060-2024")</f>
        <v/>
      </c>
      <c r="AA51">
        <f>HYPERLINK("https://klasma.github.io/Logging_2425/klagomål/A 57060-2024 FSC-klagomål.docx", "A 57060-2024")</f>
        <v/>
      </c>
      <c r="AB51">
        <f>HYPERLINK("https://klasma.github.io/Logging_2425/klagomålsmail/A 57060-2024 FSC-klagomål mail.docx", "A 57060-2024")</f>
        <v/>
      </c>
      <c r="AC51">
        <f>HYPERLINK("https://klasma.github.io/Logging_2425/tillsyn/A 57060-2024 tillsynsbegäran.docx", "A 57060-2024")</f>
        <v/>
      </c>
      <c r="AD51">
        <f>HYPERLINK("https://klasma.github.io/Logging_2425/tillsynsmail/A 57060-2024 tillsynsbegäran mail.docx", "A 57060-2024")</f>
        <v/>
      </c>
    </row>
    <row r="52" ht="15" customHeight="1">
      <c r="A52" t="inlineStr">
        <is>
          <t>A 20600-2023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45057</v>
      </c>
      <c r="E52" s="1" t="n">
        <v>46274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HYPERLINK("https://klasma.github.io/Logging_2425/artfynd/A 20600-2023 artfynd.xlsx", "A 20600-2023")</f>
        <v/>
      </c>
      <c r="X52">
        <f>HYPERLINK("https://klasma.github.io/Logging_2425/kartor/A 20600-2023 karta.png", "A 20600-2023")</f>
        <v/>
      </c>
      <c r="Y52">
        <f>HYPERLINK("https://klasma.github.io/Logging_2425/kartor_geotiff/A 20600-2023 georefererad karta.tif", "A 20600-2023")</f>
        <v/>
      </c>
      <c r="AA52">
        <f>HYPERLINK("https://klasma.github.io/Logging_2425/klagomål/A 20600-2023 FSC-klagomål.docx", "A 20600-2023")</f>
        <v/>
      </c>
      <c r="AB52">
        <f>HYPERLINK("https://klasma.github.io/Logging_2425/klagomålsmail/A 20600-2023 FSC-klagomål mail.docx", "A 20600-2023")</f>
        <v/>
      </c>
      <c r="AC52">
        <f>HYPERLINK("https://klasma.github.io/Logging_2425/tillsyn/A 20600-2023 tillsynsbegäran.docx", "A 20600-2023")</f>
        <v/>
      </c>
      <c r="AD52">
        <f>HYPERLINK("https://klasma.github.io/Logging_2425/tillsynsmail/A 20600-2023 tillsynsbegäran mail.docx", "A 20600-2023")</f>
        <v/>
      </c>
    </row>
    <row r="53" ht="15" customHeight="1">
      <c r="A53" t="inlineStr">
        <is>
          <t>A 57058-2024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46274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57058-2024 artfynd.xlsx", "A 57058-2024")</f>
        <v/>
      </c>
      <c r="X53">
        <f>HYPERLINK("https://klasma.github.io/Logging_2425/kartor/A 57058-2024 karta.png", "A 57058-2024")</f>
        <v/>
      </c>
      <c r="Y53">
        <f>HYPERLINK("https://klasma.github.io/Logging_2425/kartor_geotiff/A 57058-2024 georefererad karta.tif", "A 57058-2024")</f>
        <v/>
      </c>
      <c r="AA53">
        <f>HYPERLINK("https://klasma.github.io/Logging_2425/klagomål/A 57058-2024 FSC-klagomål.docx", "A 57058-2024")</f>
        <v/>
      </c>
      <c r="AB53">
        <f>HYPERLINK("https://klasma.github.io/Logging_2425/klagomålsmail/A 57058-2024 FSC-klagomål mail.docx", "A 57058-2024")</f>
        <v/>
      </c>
      <c r="AC53">
        <f>HYPERLINK("https://klasma.github.io/Logging_2425/tillsyn/A 57058-2024 tillsynsbegäran.docx", "A 57058-2024")</f>
        <v/>
      </c>
      <c r="AD53">
        <f>HYPERLINK("https://klasma.github.io/Logging_2425/tillsynsmail/A 57058-2024 tillsynsbegäran mail.docx", "A 57058-2024")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46274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46274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46274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46274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46274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46274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46274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46274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46274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46274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46274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46274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46274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46274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46274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46274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45170</v>
      </c>
      <c r="E70" s="1" t="n">
        <v>46274</v>
      </c>
      <c r="F70" t="inlineStr">
        <is>
          <t>VÄSTERBOTTENS LÄN</t>
        </is>
      </c>
      <c r="G70" t="inlineStr">
        <is>
          <t>DOROTEA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46274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46274</v>
      </c>
      <c r="F72" t="inlineStr">
        <is>
          <t>VÄSTERBOTTENS LÄN</t>
        </is>
      </c>
      <c r="G72" t="inlineStr">
        <is>
          <t>DOROTEA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46274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45556</v>
      </c>
      <c r="E74" s="1" t="n">
        <v>46274</v>
      </c>
      <c r="F74" t="inlineStr">
        <is>
          <t>VÄSTERBOTTENS LÄN</t>
        </is>
      </c>
      <c r="G74" t="inlineStr">
        <is>
          <t>DOROTEA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46274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46274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46274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46274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46274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46274</v>
      </c>
      <c r="F80" t="inlineStr">
        <is>
          <t>VÄSTERBOTTENS LÄN</t>
        </is>
      </c>
      <c r="G80" t="inlineStr">
        <is>
          <t>DOROTEA</t>
        </is>
      </c>
      <c r="H80" t="inlineStr">
        <is>
          <t>Sveaskog</t>
        </is>
      </c>
      <c r="I80" t="n">
        <v>13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46274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46274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46274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46274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46274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46274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46274</v>
      </c>
      <c r="F87" t="inlineStr">
        <is>
          <t>VÄSTERBOTTENS LÄN</t>
        </is>
      </c>
      <c r="G87" t="inlineStr">
        <is>
          <t>DOROTEA</t>
        </is>
      </c>
      <c r="H87" t="inlineStr">
        <is>
          <t>Sveaskog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25028-2024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45461</v>
      </c>
      <c r="E88" s="1" t="n">
        <v>46274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46274</v>
      </c>
      <c r="F89" t="inlineStr">
        <is>
          <t>VÄSTERBOTTENS LÄN</t>
        </is>
      </c>
      <c r="G89" t="inlineStr">
        <is>
          <t>DOROTEA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46274</v>
      </c>
      <c r="F90" t="inlineStr">
        <is>
          <t>VÄSTERBOTTENS LÄN</t>
        </is>
      </c>
      <c r="G90" t="inlineStr">
        <is>
          <t>DOROTEA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45735</v>
      </c>
      <c r="E91" s="1" t="n">
        <v>46274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46274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8246-2024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46274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48006-2023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45198</v>
      </c>
      <c r="E94" s="1" t="n">
        <v>46274</v>
      </c>
      <c r="F94" t="inlineStr">
        <is>
          <t>VÄSTERBOTTENS LÄN</t>
        </is>
      </c>
      <c r="G94" t="inlineStr">
        <is>
          <t>DOROTEA</t>
        </is>
      </c>
      <c r="H94" t="inlineStr">
        <is>
          <t>Övriga statliga verk och myndigheter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45228</v>
      </c>
      <c r="E95" s="1" t="n">
        <v>46274</v>
      </c>
      <c r="F95" t="inlineStr">
        <is>
          <t>VÄSTERBOTTENS LÄN</t>
        </is>
      </c>
      <c r="G95" t="inlineStr">
        <is>
          <t>DOROTEA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45228</v>
      </c>
      <c r="E96" s="1" t="n">
        <v>46274</v>
      </c>
      <c r="F96" t="inlineStr">
        <is>
          <t>VÄSTERBOTTENS LÄN</t>
        </is>
      </c>
      <c r="G96" t="inlineStr">
        <is>
          <t>DOROTEA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46274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36111-2025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45866</v>
      </c>
      <c r="E98" s="1" t="n">
        <v>46274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46965-2024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45586</v>
      </c>
      <c r="E99" s="1" t="n">
        <v>46274</v>
      </c>
      <c r="F99" t="inlineStr">
        <is>
          <t>VÄSTERBOTTENS LÄN</t>
        </is>
      </c>
      <c r="G99" t="inlineStr">
        <is>
          <t>DOROTEA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36125-2025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45866</v>
      </c>
      <c r="E100" s="1" t="n">
        <v>46274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46274</v>
      </c>
      <c r="F101" t="inlineStr">
        <is>
          <t>VÄSTERBOTTENS LÄN</t>
        </is>
      </c>
      <c r="G101" t="inlineStr">
        <is>
          <t>DOROTEA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46274</v>
      </c>
      <c r="F102" t="inlineStr">
        <is>
          <t>VÄSTERBOTTENS LÄN</t>
        </is>
      </c>
      <c r="G102" t="inlineStr">
        <is>
          <t>DOROTEA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46274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34503-2025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45846</v>
      </c>
      <c r="E104" s="1" t="n">
        <v>46274</v>
      </c>
      <c r="F104" t="inlineStr">
        <is>
          <t>VÄSTERBOTTENS LÄN</t>
        </is>
      </c>
      <c r="G104" t="inlineStr">
        <is>
          <t>DOROTEA</t>
        </is>
      </c>
      <c r="I104" t="n">
        <v>14.7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20316-2026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46136</v>
      </c>
      <c r="E105" s="1" t="n">
        <v>46274</v>
      </c>
      <c r="F105" t="inlineStr">
        <is>
          <t>VÄSTERBOTTENS LÄN</t>
        </is>
      </c>
      <c r="G105" t="inlineStr">
        <is>
          <t>DOROTEA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46136</v>
      </c>
      <c r="E106" s="1" t="n">
        <v>46274</v>
      </c>
      <c r="F106" t="inlineStr">
        <is>
          <t>VÄSTERBOTTENS LÄN</t>
        </is>
      </c>
      <c r="G106" t="inlineStr">
        <is>
          <t>DOROTEA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46274</v>
      </c>
      <c r="F107" t="inlineStr">
        <is>
          <t>VÄSTERBOTTENS LÄN</t>
        </is>
      </c>
      <c r="G107" t="inlineStr">
        <is>
          <t>DOROTEA</t>
        </is>
      </c>
      <c r="I107" t="n">
        <v>15.8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8852-2024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45356</v>
      </c>
      <c r="E108" s="1" t="n">
        <v>46274</v>
      </c>
      <c r="F108" t="inlineStr">
        <is>
          <t>VÄSTERBOTTENS LÄN</t>
        </is>
      </c>
      <c r="G108" t="inlineStr">
        <is>
          <t>DOROTEA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45874</v>
      </c>
      <c r="E109" s="1" t="n">
        <v>46274</v>
      </c>
      <c r="F109" t="inlineStr">
        <is>
          <t>VÄSTERBOTTENS LÄN</t>
        </is>
      </c>
      <c r="G109" t="inlineStr">
        <is>
          <t>DOROTEA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27305-2024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45471</v>
      </c>
      <c r="E110" s="1" t="n">
        <v>46274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45874</v>
      </c>
      <c r="E111" s="1" t="n">
        <v>46274</v>
      </c>
      <c r="F111" t="inlineStr">
        <is>
          <t>VÄSTERBOTTENS LÄN</t>
        </is>
      </c>
      <c r="G111" t="inlineStr">
        <is>
          <t>DOROTEA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46274</v>
      </c>
      <c r="F112" t="inlineStr">
        <is>
          <t>VÄSTERBOTTENS LÄN</t>
        </is>
      </c>
      <c r="G112" t="inlineStr">
        <is>
          <t>DOROTEA</t>
        </is>
      </c>
      <c r="I112" t="n">
        <v>13.3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37135-2025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45875</v>
      </c>
      <c r="E113" s="1" t="n">
        <v>46274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46274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45876</v>
      </c>
      <c r="E115" s="1" t="n">
        <v>46274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37476-2025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46274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45876</v>
      </c>
      <c r="E117" s="1" t="n">
        <v>46274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46274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46274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45893</v>
      </c>
      <c r="E120" s="1" t="n">
        <v>46274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20332-2026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46136</v>
      </c>
      <c r="E121" s="1" t="n">
        <v>46274</v>
      </c>
      <c r="F121" t="inlineStr">
        <is>
          <t>VÄSTERBOTTENS LÄN</t>
        </is>
      </c>
      <c r="G121" t="inlineStr">
        <is>
          <t>DOROTEA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45882</v>
      </c>
      <c r="E122" s="1" t="n">
        <v>46274</v>
      </c>
      <c r="F122" t="inlineStr">
        <is>
          <t>VÄSTERBOTTENS LÄN</t>
        </is>
      </c>
      <c r="G122" t="inlineStr">
        <is>
          <t>DOROTEA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46274</v>
      </c>
      <c r="F123" t="inlineStr">
        <is>
          <t>VÄSTERBOTTENS LÄN</t>
        </is>
      </c>
      <c r="G123" t="inlineStr">
        <is>
          <t>DOROTEA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45882</v>
      </c>
      <c r="E124" s="1" t="n">
        <v>46274</v>
      </c>
      <c r="F124" t="inlineStr">
        <is>
          <t>VÄSTERBOTTENS LÄN</t>
        </is>
      </c>
      <c r="G124" t="inlineStr">
        <is>
          <t>DOROTEA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45882</v>
      </c>
      <c r="E125" s="1" t="n">
        <v>46274</v>
      </c>
      <c r="F125" t="inlineStr">
        <is>
          <t>VÄSTERBOTTENS LÄN</t>
        </is>
      </c>
      <c r="G125" t="inlineStr">
        <is>
          <t>DOROTEA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38098-2025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45882</v>
      </c>
      <c r="E126" s="1" t="n">
        <v>46274</v>
      </c>
      <c r="F126" t="inlineStr">
        <is>
          <t>VÄSTERBOTTENS LÄN</t>
        </is>
      </c>
      <c r="G126" t="inlineStr">
        <is>
          <t>DOROTEA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45883</v>
      </c>
      <c r="E127" s="1" t="n">
        <v>46274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45883</v>
      </c>
      <c r="E128" s="1" t="n">
        <v>46274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46274</v>
      </c>
      <c r="F129" t="inlineStr">
        <is>
          <t>VÄSTERBOTTENS LÄN</t>
        </is>
      </c>
      <c r="G129" t="inlineStr">
        <is>
          <t>DOROTEA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46274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45331</v>
      </c>
      <c r="E131" s="1" t="n">
        <v>46274</v>
      </c>
      <c r="F131" t="inlineStr">
        <is>
          <t>VÄSTERBOTTENS LÄN</t>
        </is>
      </c>
      <c r="G131" t="inlineStr">
        <is>
          <t>DOROTEA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57431-2022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46274</v>
      </c>
      <c r="F132" t="inlineStr">
        <is>
          <t>VÄSTERBOTTENS LÄN</t>
        </is>
      </c>
      <c r="G132" t="inlineStr">
        <is>
          <t>DOROTEA</t>
        </is>
      </c>
      <c r="I132" t="n">
        <v>15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45898</v>
      </c>
      <c r="E133" s="1" t="n">
        <v>46274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46274</v>
      </c>
      <c r="F134" t="inlineStr">
        <is>
          <t>VÄSTERBOTTENS LÄN</t>
        </is>
      </c>
      <c r="G134" t="inlineStr">
        <is>
          <t>DOROTEA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46274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46274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46274</v>
      </c>
      <c r="F137" t="inlineStr">
        <is>
          <t>VÄSTERBOTTENS LÄN</t>
        </is>
      </c>
      <c r="G137" t="inlineStr">
        <is>
          <t>DOROTEA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45988</v>
      </c>
      <c r="E138" s="1" t="n">
        <v>46274</v>
      </c>
      <c r="F138" t="inlineStr">
        <is>
          <t>VÄSTERBOTTENS LÄN</t>
        </is>
      </c>
      <c r="G138" t="inlineStr">
        <is>
          <t>DOROTEA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46274</v>
      </c>
      <c r="F139" t="inlineStr">
        <is>
          <t>VÄSTERBOTTENS LÄN</t>
        </is>
      </c>
      <c r="G139" t="inlineStr">
        <is>
          <t>DOROTEA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46274</v>
      </c>
      <c r="F140" t="inlineStr">
        <is>
          <t>VÄSTERBOTTENS LÄN</t>
        </is>
      </c>
      <c r="G140" t="inlineStr">
        <is>
          <t>DOROTEA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45140</v>
      </c>
      <c r="E141" s="1" t="n">
        <v>46274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46274</v>
      </c>
      <c r="F142" t="inlineStr">
        <is>
          <t>VÄSTERBOTTENS LÄN</t>
        </is>
      </c>
      <c r="G142" t="inlineStr">
        <is>
          <t>DOROTEA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46274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46274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45611</v>
      </c>
      <c r="E145" s="1" t="n">
        <v>46274</v>
      </c>
      <c r="F145" t="inlineStr">
        <is>
          <t>VÄSTERBOTTENS LÄN</t>
        </is>
      </c>
      <c r="G145" t="inlineStr">
        <is>
          <t>DOROTEA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44194-2025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46274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46274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46274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46274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44282-2025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45916</v>
      </c>
      <c r="E150" s="1" t="n">
        <v>46274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46274</v>
      </c>
      <c r="F151" t="inlineStr">
        <is>
          <t>VÄSTERBOTTENS LÄN</t>
        </is>
      </c>
      <c r="G151" t="inlineStr">
        <is>
          <t>DOROTEA</t>
        </is>
      </c>
      <c r="H151" t="inlineStr">
        <is>
          <t>Övriga statliga verk och myndigheter</t>
        </is>
      </c>
      <c r="I151" t="n">
        <v>15.2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46274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46274</v>
      </c>
      <c r="F153" t="inlineStr">
        <is>
          <t>VÄSTERBOTTENS LÄN</t>
        </is>
      </c>
      <c r="G153" t="inlineStr">
        <is>
          <t>DOROTEA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46274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45295</v>
      </c>
      <c r="E155" s="1" t="n">
        <v>46274</v>
      </c>
      <c r="F155" t="inlineStr">
        <is>
          <t>VÄSTERBOTTENS LÄN</t>
        </is>
      </c>
      <c r="G155" t="inlineStr">
        <is>
          <t>DOROTEA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46274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46274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45845</v>
      </c>
      <c r="E158" s="1" t="n">
        <v>46274</v>
      </c>
      <c r="F158" t="inlineStr">
        <is>
          <t>VÄSTERBOTTENS LÄN</t>
        </is>
      </c>
      <c r="G158" t="inlineStr">
        <is>
          <t>DOROTEA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46274</v>
      </c>
      <c r="F159" t="inlineStr">
        <is>
          <t>VÄSTERBOTTENS LÄN</t>
        </is>
      </c>
      <c r="G159" t="inlineStr">
        <is>
          <t>DOROTEA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46136</v>
      </c>
      <c r="E160" s="1" t="n">
        <v>46274</v>
      </c>
      <c r="F160" t="inlineStr">
        <is>
          <t>VÄSTERBOTTENS LÄN</t>
        </is>
      </c>
      <c r="G160" t="inlineStr">
        <is>
          <t>DOROTEA</t>
        </is>
      </c>
      <c r="I160" t="n">
        <v>17.8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46274</v>
      </c>
      <c r="F161" t="inlineStr">
        <is>
          <t>VÄSTERBOTTENS LÄN</t>
        </is>
      </c>
      <c r="G161" t="inlineStr">
        <is>
          <t>DOROTEA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46274</v>
      </c>
      <c r="F162" t="inlineStr">
        <is>
          <t>VÄSTERBOTTENS LÄN</t>
        </is>
      </c>
      <c r="G162" t="inlineStr">
        <is>
          <t>DOROTEA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20522-2026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46274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46274</v>
      </c>
      <c r="F164" t="inlineStr">
        <is>
          <t>VÄSTERBOTTENS LÄN</t>
        </is>
      </c>
      <c r="G164" t="inlineStr">
        <is>
          <t>DOROTEA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46274</v>
      </c>
      <c r="F165" t="inlineStr">
        <is>
          <t>VÄSTERBOTTENS LÄN</t>
        </is>
      </c>
      <c r="G165" t="inlineStr">
        <is>
          <t>DOROTEA</t>
        </is>
      </c>
      <c r="I165" t="n">
        <v>31.7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63575-2025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46274</v>
      </c>
      <c r="F166" t="inlineStr">
        <is>
          <t>VÄSTERBOTTENS LÄN</t>
        </is>
      </c>
      <c r="G166" t="inlineStr">
        <is>
          <t>DOROTEA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46274</v>
      </c>
      <c r="F167" t="inlineStr">
        <is>
          <t>VÄSTERBOTTENS LÄN</t>
        </is>
      </c>
      <c r="G167" t="inlineStr">
        <is>
          <t>DOROTEA</t>
        </is>
      </c>
      <c r="I167" t="n">
        <v>21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46274</v>
      </c>
      <c r="F168" t="inlineStr">
        <is>
          <t>VÄSTERBOTTENS LÄN</t>
        </is>
      </c>
      <c r="G168" t="inlineStr">
        <is>
          <t>DOROTEA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46274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46274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46147</v>
      </c>
      <c r="E171" s="1" t="n">
        <v>46274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46274</v>
      </c>
      <c r="F172" t="inlineStr">
        <is>
          <t>VÄSTERBOTTENS LÄN</t>
        </is>
      </c>
      <c r="G172" t="inlineStr">
        <is>
          <t>DOROTEA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45936</v>
      </c>
      <c r="E173" s="1" t="n">
        <v>46274</v>
      </c>
      <c r="F173" t="inlineStr">
        <is>
          <t>VÄSTERBOTTENS LÄN</t>
        </is>
      </c>
      <c r="G173" t="inlineStr">
        <is>
          <t>DOROTEA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46274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21332-2026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46147</v>
      </c>
      <c r="E175" s="1" t="n">
        <v>46274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46274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45483</v>
      </c>
      <c r="E177" s="1" t="n">
        <v>46274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46274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46274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45937</v>
      </c>
      <c r="E180" s="1" t="n">
        <v>46274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9.800000000000001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45098</v>
      </c>
      <c r="E181" s="1" t="n">
        <v>46274</v>
      </c>
      <c r="F181" t="inlineStr">
        <is>
          <t>VÄSTERBOTTENS LÄN</t>
        </is>
      </c>
      <c r="G181" t="inlineStr">
        <is>
          <t>DOROTEA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46274</v>
      </c>
      <c r="F182" t="inlineStr">
        <is>
          <t>VÄSTERBOTTENS LÄN</t>
        </is>
      </c>
      <c r="G182" t="inlineStr">
        <is>
          <t>DOROTEA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27780-2026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46274</v>
      </c>
      <c r="F183" t="inlineStr">
        <is>
          <t>VÄSTERBOTTENS LÄN</t>
        </is>
      </c>
      <c r="G183" t="inlineStr">
        <is>
          <t>DOROTEA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46189</v>
      </c>
      <c r="E184" s="1" t="n">
        <v>46274</v>
      </c>
      <c r="F184" t="inlineStr">
        <is>
          <t>VÄSTERBOTTENS LÄN</t>
        </is>
      </c>
      <c r="G184" t="inlineStr">
        <is>
          <t>DOROTEA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46149</v>
      </c>
      <c r="E185" s="1" t="n">
        <v>46274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46274</v>
      </c>
      <c r="F186" t="inlineStr">
        <is>
          <t>VÄSTERBOTTENS LÄN</t>
        </is>
      </c>
      <c r="G186" t="inlineStr">
        <is>
          <t>DOROTEA</t>
        </is>
      </c>
      <c r="I186" t="n">
        <v>10.3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46274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46274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21812-2026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46274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46153</v>
      </c>
      <c r="E190" s="1" t="n">
        <v>46274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8095-2023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46274</v>
      </c>
      <c r="F191" t="inlineStr">
        <is>
          <t>VÄSTERBOTTENS LÄN</t>
        </is>
      </c>
      <c r="G191" t="inlineStr">
        <is>
          <t>DOROTEA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45539</v>
      </c>
      <c r="E192" s="1" t="n">
        <v>46274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46274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46274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46274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46274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44888</v>
      </c>
      <c r="E197" s="1" t="n">
        <v>46274</v>
      </c>
      <c r="F197" t="inlineStr">
        <is>
          <t>VÄSTERBOTTENS LÄN</t>
        </is>
      </c>
      <c r="G197" t="inlineStr">
        <is>
          <t>DOROTEA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44960</v>
      </c>
      <c r="E198" s="1" t="n">
        <v>46274</v>
      </c>
      <c r="F198" t="inlineStr">
        <is>
          <t>VÄSTERBOTTENS LÄN</t>
        </is>
      </c>
      <c r="G198" t="inlineStr">
        <is>
          <t>DOROTEA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45639</v>
      </c>
      <c r="E199" s="1" t="n">
        <v>46274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46274</v>
      </c>
      <c r="F200" t="inlineStr">
        <is>
          <t>VÄSTERBOTTENS LÄN</t>
        </is>
      </c>
      <c r="G200" t="inlineStr">
        <is>
          <t>DOROTEA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15735-2026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46274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46274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46274</v>
      </c>
      <c r="F203" t="inlineStr">
        <is>
          <t>VÄSTERBOTTENS LÄN</t>
        </is>
      </c>
      <c r="G203" t="inlineStr">
        <is>
          <t>DOROTEA</t>
        </is>
      </c>
      <c r="H203" t="inlineStr">
        <is>
          <t>Kommuner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52412-2025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46274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46274</v>
      </c>
      <c r="F205" t="inlineStr">
        <is>
          <t>VÄSTERBOTTENS LÄN</t>
        </is>
      </c>
      <c r="G205" t="inlineStr">
        <is>
          <t>DOROTEA</t>
        </is>
      </c>
      <c r="I205" t="n">
        <v>28.8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46274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45505</v>
      </c>
      <c r="E207" s="1" t="n">
        <v>46274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46274</v>
      </c>
      <c r="F208" t="inlineStr">
        <is>
          <t>VÄSTERBOTTENS LÄN</t>
        </is>
      </c>
      <c r="G208" t="inlineStr">
        <is>
          <t>DOROTEA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46160</v>
      </c>
      <c r="E209" s="1" t="n">
        <v>46274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5.4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30461-2024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45491</v>
      </c>
      <c r="E210" s="1" t="n">
        <v>46274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45962</v>
      </c>
      <c r="E211" s="1" t="n">
        <v>46274</v>
      </c>
      <c r="F211" t="inlineStr">
        <is>
          <t>VÄSTERBOTTENS LÄN</t>
        </is>
      </c>
      <c r="G211" t="inlineStr">
        <is>
          <t>DOROTEA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23214-2026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46274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46162</v>
      </c>
      <c r="E213" s="1" t="n">
        <v>46274</v>
      </c>
      <c r="F213" t="inlineStr">
        <is>
          <t>VÄSTERBOTTENS LÄN</t>
        </is>
      </c>
      <c r="G213" t="inlineStr">
        <is>
          <t>DOROTEA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7429-2023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44971</v>
      </c>
      <c r="E214" s="1" t="n">
        <v>46274</v>
      </c>
      <c r="F214" t="inlineStr">
        <is>
          <t>VÄSTERBOTTENS LÄN</t>
        </is>
      </c>
      <c r="G214" t="inlineStr">
        <is>
          <t>DOROTEA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46274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23336-2026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46274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46162</v>
      </c>
      <c r="E217" s="1" t="n">
        <v>46274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46274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46274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50582-2024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45600</v>
      </c>
      <c r="E220" s="1" t="n">
        <v>46274</v>
      </c>
      <c r="F220" t="inlineStr">
        <is>
          <t>VÄSTERBOTTENS LÄN</t>
        </is>
      </c>
      <c r="G220" t="inlineStr">
        <is>
          <t>DOROTEA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46274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45975</v>
      </c>
      <c r="E222" s="1" t="n">
        <v>46274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46274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56707-2025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45977</v>
      </c>
      <c r="E224" s="1" t="n">
        <v>46274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44925</v>
      </c>
      <c r="E225" s="1" t="n">
        <v>46274</v>
      </c>
      <c r="F225" t="inlineStr">
        <is>
          <t>VÄSTERBOTTENS LÄN</t>
        </is>
      </c>
      <c r="G225" t="inlineStr">
        <is>
          <t>DOROTEA</t>
        </is>
      </c>
      <c r="I225" t="n">
        <v>22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46274</v>
      </c>
      <c r="F226" t="inlineStr">
        <is>
          <t>VÄSTERBOTTENS LÄN</t>
        </is>
      </c>
      <c r="G226" t="inlineStr">
        <is>
          <t>DOROTEA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46274</v>
      </c>
      <c r="F227" t="inlineStr">
        <is>
          <t>VÄSTERBOTTENS LÄN</t>
        </is>
      </c>
      <c r="G227" t="inlineStr">
        <is>
          <t>DOROTEA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46174</v>
      </c>
      <c r="E228" s="1" t="n">
        <v>46274</v>
      </c>
      <c r="F228" t="inlineStr">
        <is>
          <t>VÄSTERBOTTENS LÄN</t>
        </is>
      </c>
      <c r="G228" t="inlineStr">
        <is>
          <t>DOROTEA</t>
        </is>
      </c>
      <c r="I228" t="n">
        <v>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9103-2023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46274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46274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45980</v>
      </c>
      <c r="E231" s="1" t="n">
        <v>46274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46274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46274</v>
      </c>
      <c r="F233" t="inlineStr">
        <is>
          <t>VÄSTERBOTTENS LÄN</t>
        </is>
      </c>
      <c r="G233" t="inlineStr">
        <is>
          <t>DOROTEA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57722-2025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46274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46274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46274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46274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45982</v>
      </c>
      <c r="E238" s="1" t="n">
        <v>46274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18.2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46274</v>
      </c>
      <c r="F239" t="inlineStr">
        <is>
          <t>VÄSTERBOTTENS LÄN</t>
        </is>
      </c>
      <c r="G239" t="inlineStr">
        <is>
          <t>DOROTEA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46274</v>
      </c>
      <c r="F240" t="inlineStr">
        <is>
          <t>VÄSTERBOTTENS LÄN</t>
        </is>
      </c>
      <c r="G240" t="inlineStr">
        <is>
          <t>DOROTEA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53357-2024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46274</v>
      </c>
      <c r="F241" t="inlineStr">
        <is>
          <t>VÄSTERBOTTENS LÄN</t>
        </is>
      </c>
      <c r="G241" t="inlineStr">
        <is>
          <t>DOROTEA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25361-2026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46274</v>
      </c>
      <c r="F242" t="inlineStr">
        <is>
          <t>VÄSTERBOTTENS LÄN</t>
        </is>
      </c>
      <c r="G242" t="inlineStr">
        <is>
          <t>DOROTEA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59338-2025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46274</v>
      </c>
      <c r="F243" t="inlineStr">
        <is>
          <t>VÄSTERBOTTENS LÄN</t>
        </is>
      </c>
      <c r="G243" t="inlineStr">
        <is>
          <t>DOROTEA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60163-2024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46274</v>
      </c>
      <c r="F244" t="inlineStr">
        <is>
          <t>VÄSTERBOTTENS LÄN</t>
        </is>
      </c>
      <c r="G244" t="inlineStr">
        <is>
          <t>DOROTEA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46274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46274</v>
      </c>
      <c r="F246" t="inlineStr">
        <is>
          <t>VÄSTERBOTTENS LÄN</t>
        </is>
      </c>
      <c r="G246" t="inlineStr">
        <is>
          <t>DOROTEA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46274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46274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45988</v>
      </c>
      <c r="E249" s="1" t="n">
        <v>46274</v>
      </c>
      <c r="F249" t="inlineStr">
        <is>
          <t>VÄSTERBOTTENS LÄN</t>
        </is>
      </c>
      <c r="G249" t="inlineStr">
        <is>
          <t>DOROTEA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46274</v>
      </c>
      <c r="F250" t="inlineStr">
        <is>
          <t>VÄSTERBOTTENS LÄN</t>
        </is>
      </c>
      <c r="G250" t="inlineStr">
        <is>
          <t>DOROTEA</t>
        </is>
      </c>
      <c r="I250" t="n">
        <v>26.2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35937-2025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45862</v>
      </c>
      <c r="E251" s="1" t="n">
        <v>46274</v>
      </c>
      <c r="F251" t="inlineStr">
        <is>
          <t>VÄSTERBOTTENS LÄN</t>
        </is>
      </c>
      <c r="G251" t="inlineStr">
        <is>
          <t>DOROTEA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45217</v>
      </c>
      <c r="E252" s="1" t="n">
        <v>46274</v>
      </c>
      <c r="F252" t="inlineStr">
        <is>
          <t>VÄSTERBOTTENS LÄN</t>
        </is>
      </c>
      <c r="G252" t="inlineStr">
        <is>
          <t>DOROTEA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8088-2023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44974</v>
      </c>
      <c r="E253" s="1" t="n">
        <v>46274</v>
      </c>
      <c r="F253" t="inlineStr">
        <is>
          <t>VÄSTERBOTTENS LÄN</t>
        </is>
      </c>
      <c r="G253" t="inlineStr">
        <is>
          <t>DOROTEA</t>
        </is>
      </c>
      <c r="I253" t="n">
        <v>14.8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45996</v>
      </c>
      <c r="E254" s="1" t="n">
        <v>46274</v>
      </c>
      <c r="F254" t="inlineStr">
        <is>
          <t>VÄSTERBOTTENS LÄN</t>
        </is>
      </c>
      <c r="G254" t="inlineStr">
        <is>
          <t>DOROTEA</t>
        </is>
      </c>
      <c r="I254" t="n">
        <v>23.9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26124-2026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46274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46274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46182</v>
      </c>
      <c r="E257" s="1" t="n">
        <v>46274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46274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61831-2025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46003</v>
      </c>
      <c r="E259" s="1" t="n">
        <v>46274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62193-2025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46003</v>
      </c>
      <c r="E260" s="1" t="n">
        <v>46274</v>
      </c>
      <c r="F260" t="inlineStr">
        <is>
          <t>VÄSTERBOTTENS LÄN</t>
        </is>
      </c>
      <c r="G260" t="inlineStr">
        <is>
          <t>DOROTEA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46274</v>
      </c>
      <c r="F261" t="inlineStr">
        <is>
          <t>VÄSTERBOTTENS LÄN</t>
        </is>
      </c>
      <c r="G261" t="inlineStr">
        <is>
          <t>DOROTEA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46274</v>
      </c>
      <c r="F262" t="inlineStr">
        <is>
          <t>VÄSTERBOTTENS LÄN</t>
        </is>
      </c>
      <c r="G262" t="inlineStr">
        <is>
          <t>DOROTEA</t>
        </is>
      </c>
      <c r="I262" t="n">
        <v>16.7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62423-2025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46274</v>
      </c>
      <c r="F263" t="inlineStr">
        <is>
          <t>VÄSTERBOTTENS LÄN</t>
        </is>
      </c>
      <c r="G263" t="inlineStr">
        <is>
          <t>DOROTEA</t>
        </is>
      </c>
      <c r="I263" t="n">
        <v>13.2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46274</v>
      </c>
      <c r="F264" t="inlineStr">
        <is>
          <t>VÄSTERBOTTENS LÄN</t>
        </is>
      </c>
      <c r="G264" t="inlineStr">
        <is>
          <t>DOROTEA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62424-2025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46007</v>
      </c>
      <c r="E265" s="1" t="n">
        <v>46274</v>
      </c>
      <c r="F265" t="inlineStr">
        <is>
          <t>VÄSTERBOTTENS LÄN</t>
        </is>
      </c>
      <c r="G265" t="inlineStr">
        <is>
          <t>DOROTEA</t>
        </is>
      </c>
      <c r="I265" t="n">
        <v>12.3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46274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9.4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46274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46185</v>
      </c>
      <c r="E268" s="1" t="n">
        <v>46274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63939-2025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46274</v>
      </c>
      <c r="F269" t="inlineStr">
        <is>
          <t>VÄSTERBOTTENS LÄN</t>
        </is>
      </c>
      <c r="G269" t="inlineStr">
        <is>
          <t>DOROTEA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27738-2026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46191</v>
      </c>
      <c r="E270" s="1" t="n">
        <v>46274</v>
      </c>
      <c r="F270" t="inlineStr">
        <is>
          <t>VÄSTERBOTTENS LÄN</t>
        </is>
      </c>
      <c r="G270" t="inlineStr">
        <is>
          <t>DOROTEA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63745-2025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46017</v>
      </c>
      <c r="E271" s="1" t="n">
        <v>46274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46274</v>
      </c>
      <c r="F272" t="inlineStr">
        <is>
          <t>VÄSTERBOTTENS LÄN</t>
        </is>
      </c>
      <c r="G272" t="inlineStr">
        <is>
          <t>DOROTEA</t>
        </is>
      </c>
      <c r="I272" t="n">
        <v>11.1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28180-2026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46274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46274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28360-2026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46196</v>
      </c>
      <c r="E275" s="1" t="n">
        <v>46274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49.5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46274</v>
      </c>
      <c r="F276" t="inlineStr">
        <is>
          <t>VÄSTERBOTTENS LÄN</t>
        </is>
      </c>
      <c r="G276" t="inlineStr">
        <is>
          <t>DOROTEA</t>
        </is>
      </c>
      <c r="I276" t="n">
        <v>18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46274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28782-2026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46198</v>
      </c>
      <c r="E278" s="1" t="n">
        <v>46274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45642</v>
      </c>
      <c r="E279" s="1" t="n">
        <v>46274</v>
      </c>
      <c r="F279" t="inlineStr">
        <is>
          <t>VÄSTERBOTTENS LÄN</t>
        </is>
      </c>
      <c r="G279" t="inlineStr">
        <is>
          <t>DOROTEA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46274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46274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28783-2026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46274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28741-2026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46274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46274</v>
      </c>
      <c r="F284" t="inlineStr">
        <is>
          <t>VÄSTERBOTTENS LÄN</t>
        </is>
      </c>
      <c r="G284" t="inlineStr">
        <is>
          <t>DOROTEA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46274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46274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46274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12.9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46274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46042</v>
      </c>
      <c r="E289" s="1" t="n">
        <v>46274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46274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9.300000000000001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46274</v>
      </c>
      <c r="F291" t="inlineStr">
        <is>
          <t>VÄSTERBOTTENS LÄN</t>
        </is>
      </c>
      <c r="G291" t="inlineStr">
        <is>
          <t>DOROTEA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12773-2026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46091</v>
      </c>
      <c r="E292" s="1" t="n">
        <v>46274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46247</v>
      </c>
      <c r="E293" s="1" t="n">
        <v>46274</v>
      </c>
      <c r="F293" t="inlineStr">
        <is>
          <t>VÄSTERBOTTENS LÄN</t>
        </is>
      </c>
      <c r="G293" t="inlineStr">
        <is>
          <t>DOROTEA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46274</v>
      </c>
      <c r="F294" t="inlineStr">
        <is>
          <t>VÄSTERBOTTENS LÄN</t>
        </is>
      </c>
      <c r="G294" t="inlineStr">
        <is>
          <t>DOROTEA</t>
        </is>
      </c>
      <c r="I294" t="n">
        <v>11.8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46051</v>
      </c>
      <c r="E295" s="1" t="n">
        <v>46274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46274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46274</v>
      </c>
      <c r="F297" t="inlineStr">
        <is>
          <t>VÄSTERBOTTENS LÄN</t>
        </is>
      </c>
      <c r="G297" t="inlineStr">
        <is>
          <t>DOROTEA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46274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13.5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46209</v>
      </c>
      <c r="E299" s="1" t="n">
        <v>46274</v>
      </c>
      <c r="F299" t="inlineStr">
        <is>
          <t>VÄSTERBOTTENS LÄN</t>
        </is>
      </c>
      <c r="G299" t="inlineStr">
        <is>
          <t>DOROTEA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46274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46054</v>
      </c>
      <c r="E301" s="1" t="n">
        <v>46274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46274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33514-2026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46248</v>
      </c>
      <c r="E303" s="1" t="n">
        <v>46274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46274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46274</v>
      </c>
      <c r="F305" t="inlineStr">
        <is>
          <t>VÄSTERBOTTENS LÄN</t>
        </is>
      </c>
      <c r="G305" t="inlineStr">
        <is>
          <t>DOROTEA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46274</v>
      </c>
      <c r="F306" t="inlineStr">
        <is>
          <t>VÄSTERBOTTENS LÄN</t>
        </is>
      </c>
      <c r="G306" t="inlineStr">
        <is>
          <t>DOROTEA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7963-2026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46063</v>
      </c>
      <c r="E307" s="1" t="n">
        <v>46274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34149-2026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46253</v>
      </c>
      <c r="E308" s="1" t="n">
        <v>46274</v>
      </c>
      <c r="F308" t="inlineStr">
        <is>
          <t>VÄSTERBOTTENS LÄN</t>
        </is>
      </c>
      <c r="G308" t="inlineStr">
        <is>
          <t>DOROTEA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46274</v>
      </c>
      <c r="F309" t="inlineStr">
        <is>
          <t>VÄSTERBOTTENS LÄN</t>
        </is>
      </c>
      <c r="G309" t="inlineStr">
        <is>
          <t>DOROTEA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46274</v>
      </c>
      <c r="F310" t="inlineStr">
        <is>
          <t>VÄSTERBOTTENS LÄN</t>
        </is>
      </c>
      <c r="G310" t="inlineStr">
        <is>
          <t>DOROTEA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46274</v>
      </c>
      <c r="F311" t="inlineStr">
        <is>
          <t>VÄSTERBOTTENS LÄN</t>
        </is>
      </c>
      <c r="G311" t="inlineStr">
        <is>
          <t>DOROTEA</t>
        </is>
      </c>
      <c r="I311" t="n">
        <v>13.6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46211</v>
      </c>
      <c r="E312" s="1" t="n">
        <v>46274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32821-2024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45516</v>
      </c>
      <c r="E313" s="1" t="n">
        <v>46274</v>
      </c>
      <c r="F313" t="inlineStr">
        <is>
          <t>VÄSTERBOTTENS LÄN</t>
        </is>
      </c>
      <c r="G313" t="inlineStr">
        <is>
          <t>DOROTEA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46212</v>
      </c>
      <c r="E314" s="1" t="n">
        <v>46274</v>
      </c>
      <c r="F314" t="inlineStr">
        <is>
          <t>VÄSTERBOTTENS LÄN</t>
        </is>
      </c>
      <c r="G314" t="inlineStr">
        <is>
          <t>DOROTEA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46274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10360-2023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46274</v>
      </c>
      <c r="F316" t="inlineStr">
        <is>
          <t>VÄSTERBOTTENS LÄN</t>
        </is>
      </c>
      <c r="G316" t="inlineStr">
        <is>
          <t>DOROTEA</t>
        </is>
      </c>
      <c r="I316" t="n">
        <v>18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46072</v>
      </c>
      <c r="E317" s="1" t="n">
        <v>46274</v>
      </c>
      <c r="F317" t="inlineStr">
        <is>
          <t>VÄSTERBOTTENS LÄN</t>
        </is>
      </c>
      <c r="G317" t="inlineStr">
        <is>
          <t>DOROTEA</t>
        </is>
      </c>
      <c r="I317" t="n">
        <v>20.1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46212</v>
      </c>
      <c r="E318" s="1" t="n">
        <v>46274</v>
      </c>
      <c r="F318" t="inlineStr">
        <is>
          <t>VÄSTERBOTTENS LÄN</t>
        </is>
      </c>
      <c r="G318" t="inlineStr">
        <is>
          <t>DOROTEA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46212</v>
      </c>
      <c r="E319" s="1" t="n">
        <v>46274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45475</v>
      </c>
      <c r="E320" s="1" t="n">
        <v>46274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46211</v>
      </c>
      <c r="E321" s="1" t="n">
        <v>46274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22946-2024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45448</v>
      </c>
      <c r="E322" s="1" t="n">
        <v>46274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45071</v>
      </c>
      <c r="E323" s="1" t="n">
        <v>46274</v>
      </c>
      <c r="F323" t="inlineStr">
        <is>
          <t>VÄSTERBOTTENS LÄN</t>
        </is>
      </c>
      <c r="G323" t="inlineStr">
        <is>
          <t>DOROTEA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45399</v>
      </c>
      <c r="E324" s="1" t="n">
        <v>46274</v>
      </c>
      <c r="F324" t="inlineStr">
        <is>
          <t>VÄSTERBOTTENS LÄN</t>
        </is>
      </c>
      <c r="G324" t="inlineStr">
        <is>
          <t>DOROTEA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57236-2022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44889</v>
      </c>
      <c r="E325" s="1" t="n">
        <v>46274</v>
      </c>
      <c r="F325" t="inlineStr">
        <is>
          <t>VÄSTERBOTTENS LÄN</t>
        </is>
      </c>
      <c r="G325" t="inlineStr">
        <is>
          <t>DOROTEA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46274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46213</v>
      </c>
      <c r="E327" s="1" t="n">
        <v>46274</v>
      </c>
      <c r="F327" t="inlineStr">
        <is>
          <t>VÄSTERBOTTENS LÄN</t>
        </is>
      </c>
      <c r="G327" t="inlineStr">
        <is>
          <t>DOROTEA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46274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46213</v>
      </c>
      <c r="E329" s="1" t="n">
        <v>46274</v>
      </c>
      <c r="F329" t="inlineStr">
        <is>
          <t>VÄSTERBOTTENS LÄN</t>
        </is>
      </c>
      <c r="G329" t="inlineStr">
        <is>
          <t>DOROTEA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46218</v>
      </c>
      <c r="E330" s="1" t="n">
        <v>46274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46261</v>
      </c>
      <c r="E331" s="1" t="n">
        <v>46274</v>
      </c>
      <c r="F331" t="inlineStr">
        <is>
          <t>VÄSTERBOTTENS LÄN</t>
        </is>
      </c>
      <c r="G331" t="inlineStr">
        <is>
          <t>DOROTEA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46218</v>
      </c>
      <c r="E332" s="1" t="n">
        <v>46274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67686-2021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44524</v>
      </c>
      <c r="E333" s="1" t="n">
        <v>46274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46217</v>
      </c>
      <c r="E334" s="1" t="n">
        <v>46274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46261</v>
      </c>
      <c r="E335" s="1" t="n">
        <v>46274</v>
      </c>
      <c r="F335" t="inlineStr">
        <is>
          <t>VÄSTERBOTTENS LÄN</t>
        </is>
      </c>
      <c r="G335" t="inlineStr">
        <is>
          <t>DOROTEA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46217</v>
      </c>
      <c r="E336" s="1" t="n">
        <v>46274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31259-2026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46218</v>
      </c>
      <c r="E337" s="1" t="n">
        <v>46274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35296-2026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46261</v>
      </c>
      <c r="E338" s="1" t="n">
        <v>46274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46261</v>
      </c>
      <c r="E339" s="1" t="n">
        <v>46274</v>
      </c>
      <c r="F339" t="inlineStr">
        <is>
          <t>VÄSTERBOTTENS LÄN</t>
        </is>
      </c>
      <c r="G339" t="inlineStr">
        <is>
          <t>DOROTEA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35353-2026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46261</v>
      </c>
      <c r="E340" s="1" t="n">
        <v>46274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35202-2025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45852</v>
      </c>
      <c r="E341" s="1" t="n">
        <v>46274</v>
      </c>
      <c r="F341" t="inlineStr">
        <is>
          <t>VÄSTERBOTTENS LÄN</t>
        </is>
      </c>
      <c r="G341" t="inlineStr">
        <is>
          <t>DOROTEA</t>
        </is>
      </c>
      <c r="H341" t="inlineStr">
        <is>
          <t>Allmännings- och besparingsskogar</t>
        </is>
      </c>
      <c r="I341" t="n">
        <v>22.1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35203-2025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45852</v>
      </c>
      <c r="E342" s="1" t="n">
        <v>46274</v>
      </c>
      <c r="F342" t="inlineStr">
        <is>
          <t>VÄSTERBOTTENS LÄN</t>
        </is>
      </c>
      <c r="G342" t="inlineStr">
        <is>
          <t>DOROTEA</t>
        </is>
      </c>
      <c r="H342" t="inlineStr">
        <is>
          <t>Allmännings- och besparingsskogar</t>
        </is>
      </c>
      <c r="I342" t="n">
        <v>20.3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46220</v>
      </c>
      <c r="E343" s="1" t="n">
        <v>46274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46274</v>
      </c>
      <c r="F344" t="inlineStr">
        <is>
          <t>VÄSTERBOTTENS LÄN</t>
        </is>
      </c>
      <c r="G344" t="inlineStr">
        <is>
          <t>DOROTEA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35500-2026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46262</v>
      </c>
      <c r="E345" s="1" t="n">
        <v>46274</v>
      </c>
      <c r="F345" t="inlineStr">
        <is>
          <t>VÄSTERBOTTENS LÄN</t>
        </is>
      </c>
      <c r="G345" t="inlineStr">
        <is>
          <t>DOROTEA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46274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14249-2026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46274</v>
      </c>
      <c r="F347" t="inlineStr">
        <is>
          <t>VÄSTERBOTTENS LÄN</t>
        </is>
      </c>
      <c r="G347" t="inlineStr">
        <is>
          <t>DOROTEA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31574-2026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46224</v>
      </c>
      <c r="E348" s="1" t="n">
        <v>46274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46104</v>
      </c>
      <c r="E349" s="1" t="n">
        <v>46274</v>
      </c>
      <c r="F349" t="inlineStr">
        <is>
          <t>VÄSTERBOTTENS LÄN</t>
        </is>
      </c>
      <c r="G349" t="inlineStr">
        <is>
          <t>DOROTEA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46224</v>
      </c>
      <c r="E350" s="1" t="n">
        <v>46274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45552</v>
      </c>
      <c r="E351" s="1" t="n">
        <v>46274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46224</v>
      </c>
      <c r="E352" s="1" t="n">
        <v>46274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46274</v>
      </c>
      <c r="F353" t="inlineStr">
        <is>
          <t>VÄSTERBOTTENS LÄN</t>
        </is>
      </c>
      <c r="G353" t="inlineStr">
        <is>
          <t>DOROTEA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46274</v>
      </c>
      <c r="F354" t="inlineStr">
        <is>
          <t>VÄSTERBOTTENS LÄN</t>
        </is>
      </c>
      <c r="G354" t="inlineStr">
        <is>
          <t>DOROTEA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44979</v>
      </c>
      <c r="E355" s="1" t="n">
        <v>46274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15901-2026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46274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46111</v>
      </c>
      <c r="E357" s="1" t="n">
        <v>46274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46274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46274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46114</v>
      </c>
      <c r="E360" s="1" t="n">
        <v>46274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44761</v>
      </c>
      <c r="E361" s="1" t="n">
        <v>46274</v>
      </c>
      <c r="F361" t="inlineStr">
        <is>
          <t>VÄSTERBOTTENS LÄN</t>
        </is>
      </c>
      <c r="G361" t="inlineStr">
        <is>
          <t>DOROTEA</t>
        </is>
      </c>
      <c r="I361" t="n">
        <v>10.6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16896-2026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46274</v>
      </c>
      <c r="F362" t="inlineStr">
        <is>
          <t>VÄSTERBOTTENS LÄN</t>
        </is>
      </c>
      <c r="G362" t="inlineStr">
        <is>
          <t>DOROTEA</t>
        </is>
      </c>
      <c r="H362" t="inlineStr">
        <is>
          <t>Kommuner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46120</v>
      </c>
      <c r="E363" s="1" t="n">
        <v>46274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8.6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46274</v>
      </c>
      <c r="F364" t="inlineStr">
        <is>
          <t>VÄSTERBOTTENS LÄN</t>
        </is>
      </c>
      <c r="G364" t="inlineStr">
        <is>
          <t>DOROTEA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46274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46274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17971-2026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46123</v>
      </c>
      <c r="E367" s="1" t="n">
        <v>46274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46274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18.3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46126</v>
      </c>
      <c r="E369" s="1" t="n">
        <v>46274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18157-2026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46125</v>
      </c>
      <c r="E370" s="1" t="n">
        <v>46274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46125</v>
      </c>
      <c r="E371" s="1" t="n">
        <v>46274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46274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14163-2024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45392</v>
      </c>
      <c r="E373" s="1" t="n">
        <v>46274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23213-2022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44719</v>
      </c>
      <c r="E374" s="1" t="n">
        <v>46274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19445-2026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46133</v>
      </c>
      <c r="E375" s="1" t="n">
        <v>46274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46274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40435-2023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45169</v>
      </c>
      <c r="E377" s="1" t="n">
        <v>46274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40434-2023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45169</v>
      </c>
      <c r="E378" s="1" t="n">
        <v>46274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4958-2023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44956</v>
      </c>
      <c r="E379" s="1" t="n">
        <v>46274</v>
      </c>
      <c r="F379" t="inlineStr">
        <is>
          <t>VÄSTERBOTTENS LÄN</t>
        </is>
      </c>
      <c r="G379" t="inlineStr">
        <is>
          <t>DOROTEA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41353-2022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44824</v>
      </c>
      <c r="E380" s="1" t="n">
        <v>46274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60304-2022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44910</v>
      </c>
      <c r="E381" s="1" t="n">
        <v>46274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27199-2024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45471</v>
      </c>
      <c r="E382" s="1" t="n">
        <v>46274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45551</v>
      </c>
      <c r="E383" s="1" t="n">
        <v>46274</v>
      </c>
      <c r="F383" t="inlineStr">
        <is>
          <t>VÄSTERBOTTENS LÄN</t>
        </is>
      </c>
      <c r="G383" t="inlineStr">
        <is>
          <t>DOROTEA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45055</v>
      </c>
      <c r="E384" s="1" t="n">
        <v>46274</v>
      </c>
      <c r="F384" t="inlineStr">
        <is>
          <t>VÄSTERBOTTENS LÄN</t>
        </is>
      </c>
      <c r="G384" t="inlineStr">
        <is>
          <t>DOROTEA</t>
        </is>
      </c>
      <c r="H384" t="inlineStr">
        <is>
          <t>Övriga statliga verk och myndigheter</t>
        </is>
      </c>
      <c r="I384" t="n">
        <v>13.9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46274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45315</v>
      </c>
      <c r="E386" s="1" t="n">
        <v>46274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46274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46274</v>
      </c>
      <c r="F388" t="inlineStr">
        <is>
          <t>VÄSTERBOTTENS LÄN</t>
        </is>
      </c>
      <c r="G388" t="inlineStr">
        <is>
          <t>DOROTEA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74013-2021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44557</v>
      </c>
      <c r="E389" s="1" t="n">
        <v>46274</v>
      </c>
      <c r="F389" t="inlineStr">
        <is>
          <t>VÄSTERBOTTENS LÄN</t>
        </is>
      </c>
      <c r="G389" t="inlineStr">
        <is>
          <t>DOROTEA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57794-2023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46274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42484-2024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45565</v>
      </c>
      <c r="E391" s="1" t="n">
        <v>46274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55919-2023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45239</v>
      </c>
      <c r="E392" s="1" t="n">
        <v>46274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42228-2024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46274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7.7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45223</v>
      </c>
      <c r="E394" s="1" t="n">
        <v>46274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47494-2023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45202</v>
      </c>
      <c r="E395" s="1" t="n">
        <v>46274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45448</v>
      </c>
      <c r="E396" s="1" t="n">
        <v>46274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17783-2023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45036</v>
      </c>
      <c r="E397" s="1" t="n">
        <v>46274</v>
      </c>
      <c r="F397" t="inlineStr">
        <is>
          <t>VÄSTERBOTTENS LÄN</t>
        </is>
      </c>
      <c r="G397" t="inlineStr">
        <is>
          <t>DOROTEA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45565</v>
      </c>
      <c r="E398" s="1" t="n">
        <v>46274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57070-2023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45244</v>
      </c>
      <c r="E399" s="1" t="n">
        <v>46274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59007-2024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45636</v>
      </c>
      <c r="E400" s="1" t="n">
        <v>46274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22944-2024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45448</v>
      </c>
      <c r="E401" s="1" t="n">
        <v>46274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13170-2025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45735</v>
      </c>
      <c r="E402" s="1" t="n">
        <v>46274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42889-2024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45566</v>
      </c>
      <c r="E403" s="1" t="n">
        <v>46274</v>
      </c>
      <c r="F403" t="inlineStr">
        <is>
          <t>VÄSTERBOTTENS LÄN</t>
        </is>
      </c>
      <c r="G403" t="inlineStr">
        <is>
          <t>DOROTEA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46274</v>
      </c>
      <c r="F404" t="inlineStr">
        <is>
          <t>VÄSTERBOTTENS LÄN</t>
        </is>
      </c>
      <c r="G404" t="inlineStr">
        <is>
          <t>DOROTEA</t>
        </is>
      </c>
      <c r="I404" t="n">
        <v>22.7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45632</v>
      </c>
      <c r="E405" s="1" t="n">
        <v>46274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33372-2024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45519</v>
      </c>
      <c r="E406" s="1" t="n">
        <v>46274</v>
      </c>
      <c r="F406" t="inlineStr">
        <is>
          <t>VÄSTERBOTTENS LÄN</t>
        </is>
      </c>
      <c r="G406" t="inlineStr">
        <is>
          <t>DOROTEA</t>
        </is>
      </c>
      <c r="I406" t="n">
        <v>8.9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14320-2024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45393</v>
      </c>
      <c r="E407" s="1" t="n">
        <v>46274</v>
      </c>
      <c r="F407" t="inlineStr">
        <is>
          <t>VÄSTERBOTTENS LÄN</t>
        </is>
      </c>
      <c r="G407" t="inlineStr">
        <is>
          <t>DOROTEA</t>
        </is>
      </c>
      <c r="I407" t="n">
        <v>10.2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59418-2023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45253</v>
      </c>
      <c r="E408" s="1" t="n">
        <v>46274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45111</v>
      </c>
      <c r="E409" s="1" t="n">
        <v>46274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45180</v>
      </c>
      <c r="E410" s="1" t="n">
        <v>46274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46274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4617-2023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44956</v>
      </c>
      <c r="E412" s="1" t="n">
        <v>46274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56807-2021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44481</v>
      </c>
      <c r="E413" s="1" t="n">
        <v>46274</v>
      </c>
      <c r="F413" t="inlineStr">
        <is>
          <t>VÄSTERBOTTENS LÄN</t>
        </is>
      </c>
      <c r="G413" t="inlineStr">
        <is>
          <t>DOROTEA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45253</v>
      </c>
      <c r="E414" s="1" t="n">
        <v>46274</v>
      </c>
      <c r="F414" t="inlineStr">
        <is>
          <t>VÄSTERBOTTENS LÄN</t>
        </is>
      </c>
      <c r="G414" t="inlineStr">
        <is>
          <t>DOROTEA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59397-2023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45253</v>
      </c>
      <c r="E415" s="1" t="n">
        <v>46274</v>
      </c>
      <c r="F415" t="inlineStr">
        <is>
          <t>VÄSTERBOTTENS LÄN</t>
        </is>
      </c>
      <c r="G415" t="inlineStr">
        <is>
          <t>DOROTEA</t>
        </is>
      </c>
      <c r="I415" t="n">
        <v>8.5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35990-2023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45148</v>
      </c>
      <c r="E416" s="1" t="n">
        <v>46274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46818-2023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46274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57955-2021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44484</v>
      </c>
      <c r="E418" s="1" t="n">
        <v>46274</v>
      </c>
      <c r="F418" t="inlineStr">
        <is>
          <t>VÄSTERBOTTENS LÄN</t>
        </is>
      </c>
      <c r="G418" t="inlineStr">
        <is>
          <t>DOROTEA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57071-2023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45244</v>
      </c>
      <c r="E419" s="1" t="n">
        <v>46274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60145-2021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44494</v>
      </c>
      <c r="E420" s="1" t="n">
        <v>46274</v>
      </c>
      <c r="F420" t="inlineStr">
        <is>
          <t>VÄSTERBOTTENS LÄN</t>
        </is>
      </c>
      <c r="G420" t="inlineStr">
        <is>
          <t>DOROTEA</t>
        </is>
      </c>
      <c r="I420" t="n">
        <v>13.3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28549-2023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46274</v>
      </c>
      <c r="F421" t="inlineStr">
        <is>
          <t>VÄSTERBOTTENS LÄN</t>
        </is>
      </c>
      <c r="G421" t="inlineStr">
        <is>
          <t>DOROTEA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44848</v>
      </c>
      <c r="E422" s="1" t="n">
        <v>46274</v>
      </c>
      <c r="F422" t="inlineStr">
        <is>
          <t>VÄSTERBOTTENS LÄN</t>
        </is>
      </c>
      <c r="G422" t="inlineStr">
        <is>
          <t>DOROTEA</t>
        </is>
      </c>
      <c r="I422" t="n">
        <v>29.8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46274</v>
      </c>
      <c r="F423" t="inlineStr">
        <is>
          <t>VÄSTERBOTTENS LÄN</t>
        </is>
      </c>
      <c r="G423" t="inlineStr">
        <is>
          <t>DOROTEA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46966-2024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45586</v>
      </c>
      <c r="E424" s="1" t="n">
        <v>46274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45075</v>
      </c>
      <c r="E425" s="1" t="n">
        <v>46274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44748</v>
      </c>
      <c r="E426" s="1" t="n">
        <v>46274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30059-2024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45488</v>
      </c>
      <c r="E427" s="1" t="n">
        <v>46274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43092-2023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46274</v>
      </c>
      <c r="F428" t="inlineStr">
        <is>
          <t>VÄSTERBOTTENS LÄN</t>
        </is>
      </c>
      <c r="G428" t="inlineStr">
        <is>
          <t>DOROTEA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45734</v>
      </c>
      <c r="E429" s="1" t="n">
        <v>46274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43944-2024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45572</v>
      </c>
      <c r="E430" s="1" t="n">
        <v>46274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45478</v>
      </c>
      <c r="E431" s="1" t="n">
        <v>46274</v>
      </c>
      <c r="F431" t="inlineStr">
        <is>
          <t>VÄSTERBOTTENS LÄN</t>
        </is>
      </c>
      <c r="G431" t="inlineStr">
        <is>
          <t>DOROTEA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53382-2024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45614</v>
      </c>
      <c r="E432" s="1" t="n">
        <v>46274</v>
      </c>
      <c r="F432" t="inlineStr">
        <is>
          <t>VÄSTERBOTTENS LÄN</t>
        </is>
      </c>
      <c r="G432" t="inlineStr">
        <is>
          <t>DOROTEA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42104-2024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45562</v>
      </c>
      <c r="E433" s="1" t="n">
        <v>46274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45789</v>
      </c>
      <c r="E434" s="1" t="n">
        <v>46274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44645</v>
      </c>
      <c r="E435" s="1" t="n">
        <v>46274</v>
      </c>
      <c r="F435" t="inlineStr">
        <is>
          <t>VÄSTERBOTTENS LÄN</t>
        </is>
      </c>
      <c r="G435" t="inlineStr">
        <is>
          <t>DOROTEA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46274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34820-2023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45140</v>
      </c>
      <c r="E437" s="1" t="n">
        <v>46274</v>
      </c>
      <c r="F437" t="inlineStr">
        <is>
          <t>VÄSTERBOTTENS LÄN</t>
        </is>
      </c>
      <c r="G437" t="inlineStr">
        <is>
          <t>DOROTEA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46274</v>
      </c>
      <c r="F438" t="inlineStr">
        <is>
          <t>VÄSTERBOTTENS LÄN</t>
        </is>
      </c>
      <c r="G438" t="inlineStr">
        <is>
          <t>DOROTEA</t>
        </is>
      </c>
      <c r="I438" t="n">
        <v>10.2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46274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45551</v>
      </c>
      <c r="E440" s="1" t="n">
        <v>46274</v>
      </c>
      <c r="F440" t="inlineStr">
        <is>
          <t>VÄSTERBOTTENS LÄN</t>
        </is>
      </c>
      <c r="G440" t="inlineStr">
        <is>
          <t>DOROTEA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45517</v>
      </c>
      <c r="E441" s="1" t="n">
        <v>46274</v>
      </c>
      <c r="F441" t="inlineStr">
        <is>
          <t>VÄSTERBOTTENS LÄN</t>
        </is>
      </c>
      <c r="G441" t="inlineStr">
        <is>
          <t>DOROTEA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53380-2024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45614</v>
      </c>
      <c r="E442" s="1" t="n">
        <v>46274</v>
      </c>
      <c r="F442" t="inlineStr">
        <is>
          <t>VÄSTERBOTTENS LÄN</t>
        </is>
      </c>
      <c r="G442" t="inlineStr">
        <is>
          <t>DOROTEA</t>
        </is>
      </c>
      <c r="I442" t="n">
        <v>12.8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25606-2025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45803</v>
      </c>
      <c r="E443" s="1" t="n">
        <v>46274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25356-2025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45800</v>
      </c>
      <c r="E444" s="1" t="n">
        <v>46274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26315-2025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45805</v>
      </c>
      <c r="E445" s="1" t="n">
        <v>46274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26481-2025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45807</v>
      </c>
      <c r="E446" s="1" t="n">
        <v>46274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26480-2025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45807</v>
      </c>
      <c r="E447" s="1" t="n">
        <v>46274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45664</v>
      </c>
      <c r="E448" s="1" t="n">
        <v>46274</v>
      </c>
      <c r="F448" t="inlineStr">
        <is>
          <t>VÄSTERBOTTENS LÄN</t>
        </is>
      </c>
      <c r="G448" t="inlineStr">
        <is>
          <t>DOROTEA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45742</v>
      </c>
      <c r="E449" s="1" t="n">
        <v>46274</v>
      </c>
      <c r="F449" t="inlineStr">
        <is>
          <t>VÄSTERBOTTENS LÄN</t>
        </is>
      </c>
      <c r="G449" t="inlineStr">
        <is>
          <t>DOROTEA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26904-2025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45811</v>
      </c>
      <c r="E450" s="1" t="n">
        <v>46274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45817</v>
      </c>
      <c r="E451" s="1" t="n">
        <v>46274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45824</v>
      </c>
      <c r="E452" s="1" t="n">
        <v>46274</v>
      </c>
      <c r="F452" t="inlineStr">
        <is>
          <t>VÄSTERBOTTENS LÄN</t>
        </is>
      </c>
      <c r="G452" t="inlineStr">
        <is>
          <t>DOROTEA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46274</v>
      </c>
      <c r="F453" t="inlineStr">
        <is>
          <t>VÄSTERBOTTENS LÄN</t>
        </is>
      </c>
      <c r="G453" t="inlineStr">
        <is>
          <t>DOROTEA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45833</v>
      </c>
      <c r="E454" s="1" t="n">
        <v>46274</v>
      </c>
      <c r="F454" t="inlineStr">
        <is>
          <t>VÄSTERBOTTENS LÄN</t>
        </is>
      </c>
      <c r="G454" t="inlineStr">
        <is>
          <t>DOROTEA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45847</v>
      </c>
      <c r="E455" s="1" t="n">
        <v>46274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46274</v>
      </c>
      <c r="F456" t="inlineStr">
        <is>
          <t>VÄSTERBOTTENS LÄN</t>
        </is>
      </c>
      <c r="G456" t="inlineStr">
        <is>
          <t>DOROTEA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34681-2025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45848</v>
      </c>
      <c r="E457" s="1" t="n">
        <v>46274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34856-2025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45849</v>
      </c>
      <c r="E458" s="1" t="n">
        <v>46274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35093-2025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46274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46274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35456-2025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45855</v>
      </c>
      <c r="E461" s="1" t="n">
        <v>46274</v>
      </c>
      <c r="F461" t="inlineStr">
        <is>
          <t>VÄSTERBOTTENS LÄN</t>
        </is>
      </c>
      <c r="G461" t="inlineStr">
        <is>
          <t>DOROTEA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45855</v>
      </c>
      <c r="E462" s="1" t="n">
        <v>46274</v>
      </c>
      <c r="F462" t="inlineStr">
        <is>
          <t>VÄSTERBOTTENS LÄN</t>
        </is>
      </c>
      <c r="G462" t="inlineStr">
        <is>
          <t>DOROTEA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45855</v>
      </c>
      <c r="E463" s="1" t="n">
        <v>46274</v>
      </c>
      <c r="F463" t="inlineStr">
        <is>
          <t>VÄSTERBOTTENS LÄN</t>
        </is>
      </c>
      <c r="G463" t="inlineStr">
        <is>
          <t>DOROTEA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46274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46274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46274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46274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46274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46274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46274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2026-09-09T02:08:43Z</dcterms:created>
  <dcterms:modified xmlns:dcterms="http://purl.org/dc/terms/" xmlns:xsi="http://www.w3.org/2001/XMLSchema-instance" xsi:type="dcterms:W3CDTF">2026-09-09T02:08:44Z</dcterms:modified>
</cp:coreProperties>
</file>