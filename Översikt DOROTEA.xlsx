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46254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46254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46254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46254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57581-2024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45630</v>
      </c>
      <c r="E6" s="1" t="n">
        <v>46254</v>
      </c>
      <c r="F6" t="inlineStr">
        <is>
          <t>VÄSTERBOTTENS LÄN</t>
        </is>
      </c>
      <c r="G6" t="inlineStr">
        <is>
          <t>DOROTEA</t>
        </is>
      </c>
      <c r="I6" t="n">
        <v>9.1</v>
      </c>
      <c r="J6" t="n">
        <v>4</v>
      </c>
      <c r="K6" t="n">
        <v>4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40</v>
      </c>
      <c r="U6" t="n">
        <v>40</v>
      </c>
      <c r="V6" s="2" t="inlineStr">
        <is>
          <t>Garnlav
Lunglav
Skrovellav
Talltagel
Talltita
Tretåig hackspett
Bårdlav
Luddlav
Norrlandslav
Skinnlav
Spillkråka
Fiskgjuse</t>
        </is>
      </c>
      <c r="W6">
        <f>HYPERLINK("https://klasma.github.io/Logging_2425/artfynd/A 57581-2024 artfynd.xlsx", "A 57581-2024")</f>
        <v/>
      </c>
      <c r="X6">
        <f>HYPERLINK("https://klasma.github.io/Logging_2425/kartor/A 57581-2024 karta.png", "A 57581-2024")</f>
        <v/>
      </c>
      <c r="Y6">
        <f>HYPERLINK("https://klasma.github.io/Logging_2425/kartor_geotiff/A 57581-2024 georefererad karta.tif", "A 57581-2024")</f>
        <v/>
      </c>
      <c r="AA6">
        <f>HYPERLINK("https://klasma.github.io/Logging_2425/klagomål/A 57581-2024 FSC-klagomål.docx", "A 57581-2024")</f>
        <v/>
      </c>
      <c r="AB6">
        <f>HYPERLINK("https://klasma.github.io/Logging_2425/klagomålsmail/A 57581-2024 FSC-klagomål mail.docx", "A 57581-2024")</f>
        <v/>
      </c>
      <c r="AC6">
        <f>HYPERLINK("https://klasma.github.io/Logging_2425/tillsyn/A 57581-2024 tillsynsbegäran.docx", "A 57581-2024")</f>
        <v/>
      </c>
      <c r="AD6">
        <f>HYPERLINK("https://klasma.github.io/Logging_2425/tillsynsmail/A 57581-2024 tillsynsbegäran mail.docx", "A 57581-2024")</f>
        <v/>
      </c>
      <c r="AE6">
        <f>HYPERLINK("https://klasma.github.io/Logging_2425/fåglar/A 57581-2024 prioriterade fågelarter.docx", "A 57581-2024")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46254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46254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46254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46254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46254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46254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46254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46254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33659-2023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46254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21.1</v>
      </c>
      <c r="J15" t="n">
        <v>2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36</v>
      </c>
      <c r="U15" t="n">
        <v>36</v>
      </c>
      <c r="V15" s="2" t="inlineStr">
        <is>
          <t>Garnlav
Harticka
Lavskrika
Stjärntagging
Tretåig hackspett
Trådticka</t>
        </is>
      </c>
      <c r="W15">
        <f>HYPERLINK("https://klasma.github.io/Logging_2425/artfynd/A 33659-2023 artfynd.xlsx", "A 33659-2023")</f>
        <v/>
      </c>
      <c r="X15">
        <f>HYPERLINK("https://klasma.github.io/Logging_2425/kartor/A 33659-2023 karta.png", "A 33659-2023")</f>
        <v/>
      </c>
      <c r="Y15">
        <f>HYPERLINK("https://klasma.github.io/Logging_2425/kartor_geotiff/A 33659-2023 georefererad karta.tif", "A 33659-2023")</f>
        <v/>
      </c>
      <c r="AA15">
        <f>HYPERLINK("https://klasma.github.io/Logging_2425/klagomål/A 33659-2023 FSC-klagomål.docx", "A 33659-2023")</f>
        <v/>
      </c>
      <c r="AB15">
        <f>HYPERLINK("https://klasma.github.io/Logging_2425/klagomålsmail/A 33659-2023 FSC-klagomål mail.docx", "A 33659-2023")</f>
        <v/>
      </c>
      <c r="AC15">
        <f>HYPERLINK("https://klasma.github.io/Logging_2425/tillsyn/A 33659-2023 tillsynsbegäran.docx", "A 33659-2023")</f>
        <v/>
      </c>
      <c r="AD15">
        <f>HYPERLINK("https://klasma.github.io/Logging_2425/tillsynsmail/A 33659-2023 tillsynsbegäran mail.docx", "A 33659-2023")</f>
        <v/>
      </c>
      <c r="AE15">
        <f>HYPERLINK("https://klasma.github.io/Logging_2425/fåglar/A 33659-2023 prioriterade fågelarter.docx", "A 33659-2023")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46254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47955-2022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44853</v>
      </c>
      <c r="E17" s="1" t="n">
        <v>46254</v>
      </c>
      <c r="F17" t="inlineStr">
        <is>
          <t>VÄSTERBOTTENS LÄN</t>
        </is>
      </c>
      <c r="G17" t="inlineStr">
        <is>
          <t>DOROTEA</t>
        </is>
      </c>
      <c r="I17" t="n">
        <v>16.3</v>
      </c>
      <c r="J17" t="n">
        <v>1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7</v>
      </c>
      <c r="U17" t="n">
        <v>7</v>
      </c>
      <c r="V17" s="2" t="inlineStr">
        <is>
          <t>Gränsticka
Doftskinn
Harticka
Tretåig hackspett
Ullticka</t>
        </is>
      </c>
      <c r="W17">
        <f>HYPERLINK("https://klasma.github.io/Logging_2425/artfynd/A 47955-2022 artfynd.xlsx", "A 47955-2022")</f>
        <v/>
      </c>
      <c r="X17">
        <f>HYPERLINK("https://klasma.github.io/Logging_2425/kartor/A 47955-2022 karta.png", "A 47955-2022")</f>
        <v/>
      </c>
      <c r="Y17">
        <f>HYPERLINK("https://klasma.github.io/Logging_2425/kartor_geotiff/A 47955-2022 georefererad karta.tif", "A 47955-2022")</f>
        <v/>
      </c>
      <c r="AA17">
        <f>HYPERLINK("https://klasma.github.io/Logging_2425/klagomål/A 47955-2022 FSC-klagomål.docx", "A 47955-2022")</f>
        <v/>
      </c>
      <c r="AB17">
        <f>HYPERLINK("https://klasma.github.io/Logging_2425/klagomålsmail/A 47955-2022 FSC-klagomål mail.docx", "A 47955-2022")</f>
        <v/>
      </c>
      <c r="AC17">
        <f>HYPERLINK("https://klasma.github.io/Logging_2425/tillsyn/A 47955-2022 tillsynsbegäran.docx", "A 47955-2022")</f>
        <v/>
      </c>
      <c r="AD17">
        <f>HYPERLINK("https://klasma.github.io/Logging_2425/tillsynsmail/A 47955-2022 tillsynsbegäran mail.docx", "A 47955-2022")</f>
        <v/>
      </c>
      <c r="AE17">
        <f>HYPERLINK("https://klasma.github.io/Logging_2425/fåglar/A 47955-2022 prioriterade fågelarter.docx", "A 47955-2022")</f>
        <v/>
      </c>
    </row>
    <row r="18" ht="15" customHeight="1">
      <c r="A18" t="inlineStr">
        <is>
          <t>A 52738-2023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45225</v>
      </c>
      <c r="E18" s="1" t="n">
        <v>46254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8.800000000000001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5</v>
      </c>
      <c r="T18" t="n">
        <v>7</v>
      </c>
      <c r="U18" t="n">
        <v>5</v>
      </c>
      <c r="V18" s="2" t="inlineStr">
        <is>
          <t>Doftticka
Vitgrynig nållav
Trådticka
Tjäder
Orre</t>
        </is>
      </c>
      <c r="W18">
        <f>HYPERLINK("https://klasma.github.io/Logging_2425/artfynd/A 52738-2023 artfynd.xlsx", "A 52738-2023")</f>
        <v/>
      </c>
      <c r="X18">
        <f>HYPERLINK("https://klasma.github.io/Logging_2425/kartor/A 52738-2023 karta.png", "A 52738-2023")</f>
        <v/>
      </c>
      <c r="Y18">
        <f>HYPERLINK("https://klasma.github.io/Logging_2425/kartor_geotiff/A 52738-2023 georefererad karta.tif", "A 52738-2023")</f>
        <v/>
      </c>
      <c r="AA18">
        <f>HYPERLINK("https://klasma.github.io/Logging_2425/klagomål/A 52738-2023 FSC-klagomål.docx", "A 52738-2023")</f>
        <v/>
      </c>
      <c r="AB18">
        <f>HYPERLINK("https://klasma.github.io/Logging_2425/klagomålsmail/A 52738-2023 FSC-klagomål mail.docx", "A 52738-2023")</f>
        <v/>
      </c>
      <c r="AC18">
        <f>HYPERLINK("https://klasma.github.io/Logging_2425/tillsyn/A 52738-2023 tillsynsbegäran.docx", "A 52738-2023")</f>
        <v/>
      </c>
      <c r="AD18">
        <f>HYPERLINK("https://klasma.github.io/Logging_2425/tillsynsmail/A 52738-2023 tillsynsbegäran mail.docx", "A 52738-2023")</f>
        <v/>
      </c>
      <c r="AE18">
        <f>HYPERLINK("https://klasma.github.io/Logging_2425/fåglar/A 52738-2023 prioriterade fågelarter.docx", "A 52738-2023")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46254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A 47493-2023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45202</v>
      </c>
      <c r="E20" s="1" t="n">
        <v>46254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4.9</v>
      </c>
      <c r="J20" t="n">
        <v>1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Ostticka
Lunglav
Tretåig hackspett
Ullticka</t>
        </is>
      </c>
      <c r="W20">
        <f>HYPERLINK("https://klasma.github.io/Logging_2425/artfynd/A 47493-2023 artfynd.xlsx", "A 47493-2023")</f>
        <v/>
      </c>
      <c r="X20">
        <f>HYPERLINK("https://klasma.github.io/Logging_2425/kartor/A 47493-2023 karta.png", "A 47493-2023")</f>
        <v/>
      </c>
      <c r="Y20">
        <f>HYPERLINK("https://klasma.github.io/Logging_2425/kartor_geotiff/A 47493-2023 georefererad karta.tif", "A 47493-2023")</f>
        <v/>
      </c>
      <c r="AA20">
        <f>HYPERLINK("https://klasma.github.io/Logging_2425/klagomål/A 47493-2023 FSC-klagomål.docx", "A 47493-2023")</f>
        <v/>
      </c>
      <c r="AB20">
        <f>HYPERLINK("https://klasma.github.io/Logging_2425/klagomålsmail/A 47493-2023 FSC-klagomål mail.docx", "A 47493-2023")</f>
        <v/>
      </c>
      <c r="AC20">
        <f>HYPERLINK("https://klasma.github.io/Logging_2425/tillsyn/A 47493-2023 tillsynsbegäran.docx", "A 47493-2023")</f>
        <v/>
      </c>
      <c r="AD20">
        <f>HYPERLINK("https://klasma.github.io/Logging_2425/tillsynsmail/A 47493-2023 tillsynsbegäran mail.docx", "A 47493-2023")</f>
        <v/>
      </c>
      <c r="AE20">
        <f>HYPERLINK("https://klasma.github.io/Logging_2425/fåglar/A 47493-2023 prioriterade fågelarter.docx", "A 47493-2023")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46254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46254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A 21672-2023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46254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7.4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Doftskinn
Skrovellav
Ullticka</t>
        </is>
      </c>
      <c r="W23">
        <f>HYPERLINK("https://klasma.github.io/Logging_2425/artfynd/A 21672-2023 artfynd.xlsx", "A 21672-2023")</f>
        <v/>
      </c>
      <c r="X23">
        <f>HYPERLINK("https://klasma.github.io/Logging_2425/kartor/A 21672-2023 karta.png", "A 21672-2023")</f>
        <v/>
      </c>
      <c r="Y23">
        <f>HYPERLINK("https://klasma.github.io/Logging_2425/kartor_geotiff/A 21672-2023 georefererad karta.tif", "A 21672-2023")</f>
        <v/>
      </c>
      <c r="AA23">
        <f>HYPERLINK("https://klasma.github.io/Logging_2425/klagomål/A 21672-2023 FSC-klagomål.docx", "A 21672-2023")</f>
        <v/>
      </c>
      <c r="AB23">
        <f>HYPERLINK("https://klasma.github.io/Logging_2425/klagomålsmail/A 21672-2023 FSC-klagomål mail.docx", "A 21672-2023")</f>
        <v/>
      </c>
      <c r="AC23">
        <f>HYPERLINK("https://klasma.github.io/Logging_2425/tillsyn/A 21672-2023 tillsynsbegäran.docx", "A 21672-2023")</f>
        <v/>
      </c>
      <c r="AD23">
        <f>HYPERLINK("https://klasma.github.io/Logging_2425/tillsynsmail/A 21672-2023 tillsynsbegäran mail.docx", "A 21672-2023")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46254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A 28909-2025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45820</v>
      </c>
      <c r="E25" s="1" t="n">
        <v>46254</v>
      </c>
      <c r="F25" t="inlineStr">
        <is>
          <t>VÄSTERBOTTENS LÄN</t>
        </is>
      </c>
      <c r="G25" t="inlineStr">
        <is>
          <t>DOROTEA</t>
        </is>
      </c>
      <c r="H25" t="inlineStr">
        <is>
          <t>Kyrkan</t>
        </is>
      </c>
      <c r="I25" t="n">
        <v>5.5</v>
      </c>
      <c r="J25" t="n">
        <v>1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8</v>
      </c>
      <c r="U25" t="n">
        <v>8</v>
      </c>
      <c r="V25" s="2" t="inlineStr">
        <is>
          <t>Kolflarnlav
Mörk kolflarnlav
Tretåig hackspett</t>
        </is>
      </c>
      <c r="W25">
        <f>HYPERLINK("https://klasma.github.io/Logging_2425/artfynd/A 28909-2025 artfynd.xlsx", "A 28909-2025")</f>
        <v/>
      </c>
      <c r="X25">
        <f>HYPERLINK("https://klasma.github.io/Logging_2425/kartor/A 28909-2025 karta.png", "A 28909-2025")</f>
        <v/>
      </c>
      <c r="Y25">
        <f>HYPERLINK("https://klasma.github.io/Logging_2425/kartor_geotiff/A 28909-2025 georefererad karta.tif", "A 28909-2025")</f>
        <v/>
      </c>
      <c r="AA25">
        <f>HYPERLINK("https://klasma.github.io/Logging_2425/klagomål/A 28909-2025 FSC-klagomål.docx", "A 28909-2025")</f>
        <v/>
      </c>
      <c r="AB25">
        <f>HYPERLINK("https://klasma.github.io/Logging_2425/klagomålsmail/A 28909-2025 FSC-klagomål mail.docx", "A 28909-2025")</f>
        <v/>
      </c>
      <c r="AC25">
        <f>HYPERLINK("https://klasma.github.io/Logging_2425/tillsyn/A 28909-2025 tillsynsbegäran.docx", "A 28909-2025")</f>
        <v/>
      </c>
      <c r="AD25">
        <f>HYPERLINK("https://klasma.github.io/Logging_2425/tillsynsmail/A 28909-2025 tillsynsbegäran mail.docx", "A 28909-2025")</f>
        <v/>
      </c>
      <c r="AE25">
        <f>HYPERLINK("https://klasma.github.io/Logging_2425/fåglar/A 28909-2025 prioriterade fågelarter.docx", "A 28909-2025")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46254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46254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27234-2024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46254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2.2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Rynkskinn
Skrovellav</t>
        </is>
      </c>
      <c r="W28">
        <f>HYPERLINK("https://klasma.github.io/Logging_2425/artfynd/A 27234-2024 artfynd.xlsx", "A 27234-2024")</f>
        <v/>
      </c>
      <c r="X28">
        <f>HYPERLINK("https://klasma.github.io/Logging_2425/kartor/A 27234-2024 karta.png", "A 27234-2024")</f>
        <v/>
      </c>
      <c r="Y28">
        <f>HYPERLINK("https://klasma.github.io/Logging_2425/kartor_geotiff/A 27234-2024 georefererad karta.tif", "A 27234-2024")</f>
        <v/>
      </c>
      <c r="AA28">
        <f>HYPERLINK("https://klasma.github.io/Logging_2425/klagomål/A 27234-2024 FSC-klagomål.docx", "A 27234-2024")</f>
        <v/>
      </c>
      <c r="AB28">
        <f>HYPERLINK("https://klasma.github.io/Logging_2425/klagomålsmail/A 27234-2024 FSC-klagomål mail.docx", "A 27234-2024")</f>
        <v/>
      </c>
      <c r="AC28">
        <f>HYPERLINK("https://klasma.github.io/Logging_2425/tillsyn/A 27234-2024 tillsynsbegäran.docx", "A 27234-2024")</f>
        <v/>
      </c>
      <c r="AD28">
        <f>HYPERLINK("https://klasma.github.io/Logging_2425/tillsynsmail/A 27234-2024 tillsynsbegäran mail.docx", "A 27234-2024")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46254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46254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49045-2025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46254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4.5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Tretåig hackspett</t>
        </is>
      </c>
      <c r="W31">
        <f>HYPERLINK("https://klasma.github.io/Logging_2425/artfynd/A 49045-2025 artfynd.xlsx", "A 49045-2025")</f>
        <v/>
      </c>
      <c r="X31">
        <f>HYPERLINK("https://klasma.github.io/Logging_2425/kartor/A 49045-2025 karta.png", "A 49045-2025")</f>
        <v/>
      </c>
      <c r="Y31">
        <f>HYPERLINK("https://klasma.github.io/Logging_2425/kartor_geotiff/A 49045-2025 georefererad karta.tif", "A 49045-2025")</f>
        <v/>
      </c>
      <c r="AA31">
        <f>HYPERLINK("https://klasma.github.io/Logging_2425/klagomål/A 49045-2025 FSC-klagomål.docx", "A 49045-2025")</f>
        <v/>
      </c>
      <c r="AB31">
        <f>HYPERLINK("https://klasma.github.io/Logging_2425/klagomålsmail/A 49045-2025 FSC-klagomål mail.docx", "A 49045-2025")</f>
        <v/>
      </c>
      <c r="AC31">
        <f>HYPERLINK("https://klasma.github.io/Logging_2425/tillsyn/A 49045-2025 tillsynsbegäran.docx", "A 49045-2025")</f>
        <v/>
      </c>
      <c r="AD31">
        <f>HYPERLINK("https://klasma.github.io/Logging_2425/tillsynsmail/A 49045-2025 tillsynsbegäran mail.docx", "A 49045-2025")</f>
        <v/>
      </c>
      <c r="AE31">
        <f>HYPERLINK("https://klasma.github.io/Logging_2425/fåglar/A 49045-2025 prioriterade fågelarter.docx", "A 49045-2025")</f>
        <v/>
      </c>
    </row>
    <row r="32" ht="15" customHeight="1">
      <c r="A32" t="inlineStr">
        <is>
          <t>A 4554-2026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46047</v>
      </c>
      <c r="E32" s="1" t="n">
        <v>46254</v>
      </c>
      <c r="F32" t="inlineStr">
        <is>
          <t>VÄSTERBOTTENS LÄN</t>
        </is>
      </c>
      <c r="G32" t="inlineStr">
        <is>
          <t>DOROTEA</t>
        </is>
      </c>
      <c r="I32" t="n">
        <v>6.1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Violettkantad guldvinge
Kricka</t>
        </is>
      </c>
      <c r="W32">
        <f>HYPERLINK("https://klasma.github.io/Logging_2425/artfynd/A 4554-2026 artfynd.xlsx", "A 4554-2026")</f>
        <v/>
      </c>
      <c r="X32">
        <f>HYPERLINK("https://klasma.github.io/Logging_2425/kartor/A 4554-2026 karta.png", "A 4554-2026")</f>
        <v/>
      </c>
      <c r="Y32">
        <f>HYPERLINK("https://klasma.github.io/Logging_2425/kartor_geotiff/A 4554-2026 georefererad karta.tif", "A 4554-2026")</f>
        <v/>
      </c>
      <c r="AA32">
        <f>HYPERLINK("https://klasma.github.io/Logging_2425/klagomål/A 4554-2026 FSC-klagomål.docx", "A 4554-2026")</f>
        <v/>
      </c>
      <c r="AB32">
        <f>HYPERLINK("https://klasma.github.io/Logging_2425/klagomålsmail/A 4554-2026 FSC-klagomål mail.docx", "A 4554-2026")</f>
        <v/>
      </c>
      <c r="AC32">
        <f>HYPERLINK("https://klasma.github.io/Logging_2425/tillsyn/A 4554-2026 tillsynsbegäran.docx", "A 4554-2026")</f>
        <v/>
      </c>
      <c r="AD32">
        <f>HYPERLINK("https://klasma.github.io/Logging_2425/tillsynsmail/A 4554-2026 tillsynsbegäran mail.docx", "A 4554-2026")</f>
        <v/>
      </c>
      <c r="AE32">
        <f>HYPERLINK("https://klasma.github.io/Logging_2425/fåglar/A 4554-2026 prioriterade fågelarter.docx", "A 4554-2026")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46254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46254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46254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A 53309-2022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44878</v>
      </c>
      <c r="E36" s="1" t="n">
        <v>46254</v>
      </c>
      <c r="F36" t="inlineStr">
        <is>
          <t>VÄSTERBOTTENS LÄN</t>
        </is>
      </c>
      <c r="G36" t="inlineStr">
        <is>
          <t>DOROTEA</t>
        </is>
      </c>
      <c r="I36" t="n">
        <v>6.6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Göktyta</t>
        </is>
      </c>
      <c r="W36">
        <f>HYPERLINK("https://klasma.github.io/Logging_2425/artfynd/A 53309-2022 artfynd.xlsx", "A 53309-2022")</f>
        <v/>
      </c>
      <c r="X36">
        <f>HYPERLINK("https://klasma.github.io/Logging_2425/kartor/A 53309-2022 karta.png", "A 53309-2022")</f>
        <v/>
      </c>
      <c r="Y36">
        <f>HYPERLINK("https://klasma.github.io/Logging_2425/kartor_geotiff/A 53309-2022 georefererad karta.tif", "A 53309-2022")</f>
        <v/>
      </c>
      <c r="AA36">
        <f>HYPERLINK("https://klasma.github.io/Logging_2425/klagomål/A 53309-2022 FSC-klagomål.docx", "A 53309-2022")</f>
        <v/>
      </c>
      <c r="AB36">
        <f>HYPERLINK("https://klasma.github.io/Logging_2425/klagomålsmail/A 53309-2022 FSC-klagomål mail.docx", "A 53309-2022")</f>
        <v/>
      </c>
      <c r="AC36">
        <f>HYPERLINK("https://klasma.github.io/Logging_2425/tillsyn/A 53309-2022 tillsynsbegäran.docx", "A 53309-2022")</f>
        <v/>
      </c>
      <c r="AD36">
        <f>HYPERLINK("https://klasma.github.io/Logging_2425/tillsynsmail/A 53309-2022 tillsynsbegäran mail.docx", "A 53309-2022")</f>
        <v/>
      </c>
      <c r="AE36">
        <f>HYPERLINK("https://klasma.github.io/Logging_2425/fåglar/A 53309-2022 prioriterade fågelarter.docx", "A 53309-2022")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46254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36318-2024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46254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8</v>
      </c>
      <c r="U38" t="n">
        <v>8</v>
      </c>
      <c r="V38" s="2" t="inlineStr">
        <is>
          <t>Garnlav</t>
        </is>
      </c>
      <c r="W38">
        <f>HYPERLINK("https://klasma.github.io/Logging_2425/artfynd/A 36318-2024 artfynd.xlsx", "A 36318-2024")</f>
        <v/>
      </c>
      <c r="X38">
        <f>HYPERLINK("https://klasma.github.io/Logging_2425/kartor/A 36318-2024 karta.png", "A 36318-2024")</f>
        <v/>
      </c>
      <c r="Y38">
        <f>HYPERLINK("https://klasma.github.io/Logging_2425/kartor_geotiff/A 36318-2024 georefererad karta.tif", "A 36318-2024")</f>
        <v/>
      </c>
      <c r="AA38">
        <f>HYPERLINK("https://klasma.github.io/Logging_2425/klagomål/A 36318-2024 FSC-klagomål.docx", "A 36318-2024")</f>
        <v/>
      </c>
      <c r="AB38">
        <f>HYPERLINK("https://klasma.github.io/Logging_2425/klagomålsmail/A 36318-2024 FSC-klagomål mail.docx", "A 36318-2024")</f>
        <v/>
      </c>
      <c r="AC38">
        <f>HYPERLINK("https://klasma.github.io/Logging_2425/tillsyn/A 36318-2024 tillsynsbegäran.docx", "A 36318-2024")</f>
        <v/>
      </c>
      <c r="AD38">
        <f>HYPERLINK("https://klasma.github.io/Logging_2425/tillsynsmail/A 36318-2024 tillsynsbegäran mail.docx", "A 36318-2024")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46254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46254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46254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1278-2024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45302</v>
      </c>
      <c r="E42" s="1" t="n">
        <v>46254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Gräddticka</t>
        </is>
      </c>
      <c r="W42">
        <f>HYPERLINK("https://klasma.github.io/Logging_2425/artfynd/A 1278-2024 artfynd.xlsx", "A 1278-2024")</f>
        <v/>
      </c>
      <c r="X42">
        <f>HYPERLINK("https://klasma.github.io/Logging_2425/kartor/A 1278-2024 karta.png", "A 1278-2024")</f>
        <v/>
      </c>
      <c r="Y42">
        <f>HYPERLINK("https://klasma.github.io/Logging_2425/kartor_geotiff/A 1278-2024 georefererad karta.tif", "A 1278-2024")</f>
        <v/>
      </c>
      <c r="AA42">
        <f>HYPERLINK("https://klasma.github.io/Logging_2425/klagomål/A 1278-2024 FSC-klagomål.docx", "A 1278-2024")</f>
        <v/>
      </c>
      <c r="AB42">
        <f>HYPERLINK("https://klasma.github.io/Logging_2425/klagomålsmail/A 1278-2024 FSC-klagomål mail.docx", "A 1278-2024")</f>
        <v/>
      </c>
      <c r="AC42">
        <f>HYPERLINK("https://klasma.github.io/Logging_2425/tillsyn/A 1278-2024 tillsynsbegäran.docx", "A 1278-2024")</f>
        <v/>
      </c>
      <c r="AD42">
        <f>HYPERLINK("https://klasma.github.io/Logging_2425/tillsynsmail/A 1278-2024 tillsynsbegäran mail.docx", "A 1278-2024")</f>
        <v/>
      </c>
    </row>
    <row r="43" ht="15" customHeight="1">
      <c r="A43" t="inlineStr">
        <is>
          <t>A 21926-2026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46254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HYPERLINK("https://klasma.github.io/Logging_2425/artfynd/A 21926-2026 artfynd.xlsx", "A 21926-2026")</f>
        <v/>
      </c>
      <c r="X43">
        <f>HYPERLINK("https://klasma.github.io/Logging_2425/kartor/A 21926-2026 karta.png", "A 21926-2026")</f>
        <v/>
      </c>
      <c r="Y43">
        <f>HYPERLINK("https://klasma.github.io/Logging_2425/kartor_geotiff/A 21926-2026 georefererad karta.tif", "A 21926-2026")</f>
        <v/>
      </c>
      <c r="AA43">
        <f>HYPERLINK("https://klasma.github.io/Logging_2425/klagomål/A 21926-2026 FSC-klagomål.docx", "A 21926-2026")</f>
        <v/>
      </c>
      <c r="AB43">
        <f>HYPERLINK("https://klasma.github.io/Logging_2425/klagomålsmail/A 21926-2026 FSC-klagomål mail.docx", "A 21926-2026")</f>
        <v/>
      </c>
      <c r="AC43">
        <f>HYPERLINK("https://klasma.github.io/Logging_2425/tillsyn/A 21926-2026 tillsynsbegäran.docx", "A 21926-2026")</f>
        <v/>
      </c>
      <c r="AD43">
        <f>HYPERLINK("https://klasma.github.io/Logging_2425/tillsynsmail/A 21926-2026 tillsynsbegäran mail.docx", "A 21926-2026")</f>
        <v/>
      </c>
    </row>
    <row r="44" ht="15" customHeight="1">
      <c r="A44" t="inlineStr">
        <is>
          <t>A 25980-2026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46254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40.2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HYPERLINK("https://klasma.github.io/Logging_2425/artfynd/A 25980-2026 artfynd.xlsx", "A 25980-2026")</f>
        <v/>
      </c>
      <c r="X44">
        <f>HYPERLINK("https://klasma.github.io/Logging_2425/kartor/A 25980-2026 karta.png", "A 25980-2026")</f>
        <v/>
      </c>
      <c r="Y44">
        <f>HYPERLINK("https://klasma.github.io/Logging_2425/kartor_geotiff/A 25980-2026 georefererad karta.tif", "A 25980-2026")</f>
        <v/>
      </c>
      <c r="AA44">
        <f>HYPERLINK("https://klasma.github.io/Logging_2425/klagomål/A 25980-2026 FSC-klagomål.docx", "A 25980-2026")</f>
        <v/>
      </c>
      <c r="AB44">
        <f>HYPERLINK("https://klasma.github.io/Logging_2425/klagomålsmail/A 25980-2026 FSC-klagomål mail.docx", "A 25980-2026")</f>
        <v/>
      </c>
      <c r="AC44">
        <f>HYPERLINK("https://klasma.github.io/Logging_2425/tillsyn/A 25980-2026 tillsynsbegäran.docx", "A 25980-2026")</f>
        <v/>
      </c>
      <c r="AD44">
        <f>HYPERLINK("https://klasma.github.io/Logging_2425/tillsynsmail/A 25980-2026 tillsynsbegäran mail.docx", "A 25980-2026")</f>
        <v/>
      </c>
    </row>
    <row r="45" ht="15" customHeight="1">
      <c r="A45" t="inlineStr">
        <is>
          <t>A 50530-2025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45945</v>
      </c>
      <c r="E45" s="1" t="n">
        <v>46254</v>
      </c>
      <c r="F45" t="inlineStr">
        <is>
          <t>VÄSTERBOTTENS LÄN</t>
        </is>
      </c>
      <c r="G45" t="inlineStr">
        <is>
          <t>DOROTEA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Ängsnycklar</t>
        </is>
      </c>
      <c r="W45">
        <f>HYPERLINK("https://klasma.github.io/Logging_2425/artfynd/A 50530-2025 artfynd.xlsx", "A 50530-2025")</f>
        <v/>
      </c>
      <c r="X45">
        <f>HYPERLINK("https://klasma.github.io/Logging_2425/kartor/A 50530-2025 karta.png", "A 50530-2025")</f>
        <v/>
      </c>
      <c r="Y45">
        <f>HYPERLINK("https://klasma.github.io/Logging_2425/kartor_geotiff/A 50530-2025 georefererad karta.tif", "A 50530-2025")</f>
        <v/>
      </c>
      <c r="AA45">
        <f>HYPERLINK("https://klasma.github.io/Logging_2425/klagomål/A 50530-2025 FSC-klagomål.docx", "A 50530-2025")</f>
        <v/>
      </c>
      <c r="AB45">
        <f>HYPERLINK("https://klasma.github.io/Logging_2425/klagomålsmail/A 50530-2025 FSC-klagomål mail.docx", "A 50530-2025")</f>
        <v/>
      </c>
      <c r="AC45">
        <f>HYPERLINK("https://klasma.github.io/Logging_2425/tillsyn/A 50530-2025 tillsynsbegäran.docx", "A 50530-2025")</f>
        <v/>
      </c>
      <c r="AD45">
        <f>HYPERLINK("https://klasma.github.io/Logging_2425/tillsynsmail/A 50530-2025 tillsynsbegäran mail.docx", "A 50530-2025")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46254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32331-2026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46238</v>
      </c>
      <c r="E47" s="1" t="n">
        <v>46254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Skrovellav</t>
        </is>
      </c>
      <c r="W47">
        <f>HYPERLINK("https://klasma.github.io/Logging_2425/artfynd/A 32331-2026 artfynd.xlsx", "A 32331-2026")</f>
        <v/>
      </c>
      <c r="X47">
        <f>HYPERLINK("https://klasma.github.io/Logging_2425/kartor/A 32331-2026 karta.png", "A 32331-2026")</f>
        <v/>
      </c>
      <c r="Y47">
        <f>HYPERLINK("https://klasma.github.io/Logging_2425/kartor_geotiff/A 32331-2026 georefererad karta.tif", "A 32331-2026")</f>
        <v/>
      </c>
      <c r="AA47">
        <f>HYPERLINK("https://klasma.github.io/Logging_2425/klagomål/A 32331-2026 FSC-klagomål.docx", "A 32331-2026")</f>
        <v/>
      </c>
      <c r="AB47">
        <f>HYPERLINK("https://klasma.github.io/Logging_2425/klagomålsmail/A 32331-2026 FSC-klagomål mail.docx", "A 32331-2026")</f>
        <v/>
      </c>
      <c r="AC47">
        <f>HYPERLINK("https://klasma.github.io/Logging_2425/tillsyn/A 32331-2026 tillsynsbegäran.docx", "A 32331-2026")</f>
        <v/>
      </c>
      <c r="AD47">
        <f>HYPERLINK("https://klasma.github.io/Logging_2425/tillsynsmail/A 32331-2026 tillsynsbegäran mail.docx", "A 32331-2026")</f>
        <v/>
      </c>
    </row>
    <row r="48" ht="15" customHeight="1">
      <c r="A48" t="inlineStr">
        <is>
          <t>A 30357-2026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46209</v>
      </c>
      <c r="E48" s="1" t="n">
        <v>46254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Tajgahumla</t>
        </is>
      </c>
      <c r="W48">
        <f>HYPERLINK("https://klasma.github.io/Logging_2425/artfynd/A 30357-2026 artfynd.xlsx", "A 30357-2026")</f>
        <v/>
      </c>
      <c r="X48">
        <f>HYPERLINK("https://klasma.github.io/Logging_2425/kartor/A 30357-2026 karta.png", "A 30357-2026")</f>
        <v/>
      </c>
      <c r="Y48">
        <f>HYPERLINK("https://klasma.github.io/Logging_2425/kartor_geotiff/A 30357-2026 georefererad karta.tif", "A 30357-2026")</f>
        <v/>
      </c>
      <c r="AA48">
        <f>HYPERLINK("https://klasma.github.io/Logging_2425/klagomål/A 30357-2026 FSC-klagomål.docx", "A 30357-2026")</f>
        <v/>
      </c>
      <c r="AB48">
        <f>HYPERLINK("https://klasma.github.io/Logging_2425/klagomålsmail/A 30357-2026 FSC-klagomål mail.docx", "A 30357-2026")</f>
        <v/>
      </c>
      <c r="AC48">
        <f>HYPERLINK("https://klasma.github.io/Logging_2425/tillsyn/A 30357-2026 tillsynsbegäran.docx", "A 30357-2026")</f>
        <v/>
      </c>
      <c r="AD48">
        <f>HYPERLINK("https://klasma.github.io/Logging_2425/tillsynsmail/A 30357-2026 tillsynsbegäran mail.docx", "A 30357-2026")</f>
        <v/>
      </c>
    </row>
    <row r="49" ht="15" customHeight="1">
      <c r="A49" t="inlineStr">
        <is>
          <t>A 57060-2024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46254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HYPERLINK("https://klasma.github.io/Logging_2425/artfynd/A 57060-2024 artfynd.xlsx", "A 57060-2024")</f>
        <v/>
      </c>
      <c r="X49">
        <f>HYPERLINK("https://klasma.github.io/Logging_2425/kartor/A 57060-2024 karta.png", "A 57060-2024")</f>
        <v/>
      </c>
      <c r="Y49">
        <f>HYPERLINK("https://klasma.github.io/Logging_2425/kartor_geotiff/A 57060-2024 georefererad karta.tif", "A 57060-2024")</f>
        <v/>
      </c>
      <c r="AA49">
        <f>HYPERLINK("https://klasma.github.io/Logging_2425/klagomål/A 57060-2024 FSC-klagomål.docx", "A 57060-2024")</f>
        <v/>
      </c>
      <c r="AB49">
        <f>HYPERLINK("https://klasma.github.io/Logging_2425/klagomålsmail/A 57060-2024 FSC-klagomål mail.docx", "A 57060-2024")</f>
        <v/>
      </c>
      <c r="AC49">
        <f>HYPERLINK("https://klasma.github.io/Logging_2425/tillsyn/A 57060-2024 tillsynsbegäran.docx", "A 57060-2024")</f>
        <v/>
      </c>
      <c r="AD49">
        <f>HYPERLINK("https://klasma.github.io/Logging_2425/tillsynsmail/A 57060-2024 tillsynsbegäran mail.docx", "A 57060-2024")</f>
        <v/>
      </c>
    </row>
    <row r="50" ht="15" customHeight="1">
      <c r="A50" t="inlineStr">
        <is>
          <t>A 20600-2023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45057</v>
      </c>
      <c r="E50" s="1" t="n">
        <v>46254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HYPERLINK("https://klasma.github.io/Logging_2425/artfynd/A 20600-2023 artfynd.xlsx", "A 20600-2023")</f>
        <v/>
      </c>
      <c r="X50">
        <f>HYPERLINK("https://klasma.github.io/Logging_2425/kartor/A 20600-2023 karta.png", "A 20600-2023")</f>
        <v/>
      </c>
      <c r="Y50">
        <f>HYPERLINK("https://klasma.github.io/Logging_2425/kartor_geotiff/A 20600-2023 georefererad karta.tif", "A 20600-2023")</f>
        <v/>
      </c>
      <c r="AA50">
        <f>HYPERLINK("https://klasma.github.io/Logging_2425/klagomål/A 20600-2023 FSC-klagomål.docx", "A 20600-2023")</f>
        <v/>
      </c>
      <c r="AB50">
        <f>HYPERLINK("https://klasma.github.io/Logging_2425/klagomålsmail/A 20600-2023 FSC-klagomål mail.docx", "A 20600-2023")</f>
        <v/>
      </c>
      <c r="AC50">
        <f>HYPERLINK("https://klasma.github.io/Logging_2425/tillsyn/A 20600-2023 tillsynsbegäran.docx", "A 20600-2023")</f>
        <v/>
      </c>
      <c r="AD50">
        <f>HYPERLINK("https://klasma.github.io/Logging_2425/tillsynsmail/A 20600-2023 tillsynsbegäran mail.docx", "A 20600-2023")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46254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46815-2023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45198</v>
      </c>
      <c r="E52" s="1" t="n">
        <v>46254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46815-2023 artfynd.xlsx", "A 46815-2023")</f>
        <v/>
      </c>
      <c r="X52">
        <f>HYPERLINK("https://klasma.github.io/Logging_2425/kartor/A 46815-2023 karta.png", "A 46815-2023")</f>
        <v/>
      </c>
      <c r="Y52">
        <f>HYPERLINK("https://klasma.github.io/Logging_2425/kartor_geotiff/A 46815-2023 georefererad karta.tif", "A 46815-2023")</f>
        <v/>
      </c>
      <c r="AA52">
        <f>HYPERLINK("https://klasma.github.io/Logging_2425/klagomål/A 46815-2023 FSC-klagomål.docx", "A 46815-2023")</f>
        <v/>
      </c>
      <c r="AB52">
        <f>HYPERLINK("https://klasma.github.io/Logging_2425/klagomålsmail/A 46815-2023 FSC-klagomål mail.docx", "A 46815-2023")</f>
        <v/>
      </c>
      <c r="AC52">
        <f>HYPERLINK("https://klasma.github.io/Logging_2425/tillsyn/A 46815-2023 tillsynsbegäran.docx", "A 46815-2023")</f>
        <v/>
      </c>
      <c r="AD52">
        <f>HYPERLINK("https://klasma.github.io/Logging_2425/tillsynsmail/A 46815-2023 tillsynsbegäran mail.docx", "A 46815-2023")</f>
        <v/>
      </c>
    </row>
    <row r="53" ht="15" customHeight="1">
      <c r="A53" t="inlineStr">
        <is>
          <t>A 26440-2025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45807</v>
      </c>
      <c r="E53" s="1" t="n">
        <v>46254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HYPERLINK("https://klasma.github.io/Logging_2425/artfynd/A 26440-2025 artfynd.xlsx", "A 26440-2025")</f>
        <v/>
      </c>
      <c r="X53">
        <f>HYPERLINK("https://klasma.github.io/Logging_2425/kartor/A 26440-2025 karta.png", "A 26440-2025")</f>
        <v/>
      </c>
      <c r="Y53">
        <f>HYPERLINK("https://klasma.github.io/Logging_2425/kartor_geotiff/A 26440-2025 georefererad karta.tif", "A 26440-2025")</f>
        <v/>
      </c>
      <c r="AA53">
        <f>HYPERLINK("https://klasma.github.io/Logging_2425/klagomål/A 26440-2025 FSC-klagomål.docx", "A 26440-2025")</f>
        <v/>
      </c>
      <c r="AB53">
        <f>HYPERLINK("https://klasma.github.io/Logging_2425/klagomålsmail/A 26440-2025 FSC-klagomål mail.docx", "A 26440-2025")</f>
        <v/>
      </c>
      <c r="AC53">
        <f>HYPERLINK("https://klasma.github.io/Logging_2425/tillsyn/A 26440-2025 tillsynsbegäran.docx", "A 26440-2025")</f>
        <v/>
      </c>
      <c r="AD53">
        <f>HYPERLINK("https://klasma.github.io/Logging_2425/tillsynsmail/A 26440-2025 tillsynsbegäran mail.docx", "A 26440-2025")</f>
        <v/>
      </c>
    </row>
    <row r="54" ht="15" customHeight="1">
      <c r="A54" t="inlineStr">
        <is>
          <t>S 877-2022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44606</v>
      </c>
      <c r="E54" s="1" t="n">
        <v>46254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598.1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Gammelgransskål</t>
        </is>
      </c>
      <c r="W54">
        <f>HYPERLINK("https://klasma.github.io/Logging_2425/artfynd/S 877-2022 artfynd.xlsx", "S 877-2022")</f>
        <v/>
      </c>
      <c r="X54">
        <f>HYPERLINK("https://klasma.github.io/Logging_2425/kartor/S 877-2022 karta.png", "S 877-2022")</f>
        <v/>
      </c>
      <c r="Y54">
        <f>HYPERLINK("https://klasma.github.io/Logging_2425/kartor_geotiff/S 877-2022 georefererad karta.tif", "S 877-2022")</f>
        <v/>
      </c>
      <c r="AA54">
        <f>HYPERLINK("https://klasma.github.io/Logging_2425/klagomål/S 877-2022 FSC-klagomål.docx", "S 877-2022")</f>
        <v/>
      </c>
      <c r="AB54">
        <f>HYPERLINK("https://klasma.github.io/Logging_2425/klagomålsmail/S 877-2022 FSC-klagomål mail.docx", "S 877-2022")</f>
        <v/>
      </c>
      <c r="AC54">
        <f>HYPERLINK("https://klasma.github.io/Logging_2425/tillsyn/S 877-2022 tillsynsbegäran.docx", "S 877-2022")</f>
        <v/>
      </c>
      <c r="AD54">
        <f>HYPERLINK("https://klasma.github.io/Logging_2425/tillsynsmail/S 877-2022 tillsynsbegäran mail.docx", "S 877-2022")</f>
        <v/>
      </c>
    </row>
    <row r="55" ht="15" customHeight="1">
      <c r="A55" t="inlineStr">
        <is>
          <t>S 1194-2025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45756</v>
      </c>
      <c r="E55" s="1" t="n">
        <v>46254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13.9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Stjärntagging</t>
        </is>
      </c>
      <c r="W55">
        <f>HYPERLINK("https://klasma.github.io/Logging_2425/artfynd/S 1194-2025 artfynd.xlsx", "S 1194-2025")</f>
        <v/>
      </c>
      <c r="X55">
        <f>HYPERLINK("https://klasma.github.io/Logging_2425/kartor/S 1194-2025 karta.png", "S 1194-2025")</f>
        <v/>
      </c>
      <c r="Y55">
        <f>HYPERLINK("https://klasma.github.io/Logging_2425/kartor_geotiff/S 1194-2025 georefererad karta.tif", "S 1194-2025")</f>
        <v/>
      </c>
      <c r="AA55">
        <f>HYPERLINK("https://klasma.github.io/Logging_2425/klagomål/S 1194-2025 FSC-klagomål.docx", "S 1194-2025")</f>
        <v/>
      </c>
      <c r="AB55">
        <f>HYPERLINK("https://klasma.github.io/Logging_2425/klagomålsmail/S 1194-2025 FSC-klagomål mail.docx", "S 1194-2025")</f>
        <v/>
      </c>
      <c r="AC55">
        <f>HYPERLINK("https://klasma.github.io/Logging_2425/tillsyn/S 1194-2025 tillsynsbegäran.docx", "S 1194-2025")</f>
        <v/>
      </c>
      <c r="AD55">
        <f>HYPERLINK("https://klasma.github.io/Logging_2425/tillsynsmail/S 1194-2025 tillsynsbegäran mail.docx", "S 1194-2025")</f>
        <v/>
      </c>
    </row>
    <row r="56" ht="15" customHeight="1">
      <c r="A56" t="inlineStr">
        <is>
          <t>A 64063-2021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46254</v>
      </c>
      <c r="F56" t="inlineStr">
        <is>
          <t>VÄSTERBOTTENS LÄN</t>
        </is>
      </c>
      <c r="G56" t="inlineStr">
        <is>
          <t>DOROTEA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46254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46254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43403-2022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46254</v>
      </c>
      <c r="F59" t="inlineStr">
        <is>
          <t>VÄSTERBOTTENS LÄN</t>
        </is>
      </c>
      <c r="G59" t="inlineStr">
        <is>
          <t>DOROTEA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46254</v>
      </c>
      <c r="F60" t="inlineStr">
        <is>
          <t>VÄSTERBOTTENS LÄN</t>
        </is>
      </c>
      <c r="G60" t="inlineStr">
        <is>
          <t>DOROTEA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46254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46254</v>
      </c>
      <c r="F62" t="inlineStr">
        <is>
          <t>VÄSTERBOTTENS LÄN</t>
        </is>
      </c>
      <c r="G62" t="inlineStr">
        <is>
          <t>DOROTEA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44851</v>
      </c>
      <c r="E63" s="1" t="n">
        <v>46254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44587</v>
      </c>
      <c r="E64" s="1" t="n">
        <v>46254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52362-2021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44465</v>
      </c>
      <c r="E65" s="1" t="n">
        <v>46254</v>
      </c>
      <c r="F65" t="inlineStr">
        <is>
          <t>VÄSTERBOTTENS LÄN</t>
        </is>
      </c>
      <c r="G65" t="inlineStr">
        <is>
          <t>DOROTEA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55549-2024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45622</v>
      </c>
      <c r="E66" s="1" t="n">
        <v>46254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8092-2023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46254</v>
      </c>
      <c r="F67" t="inlineStr">
        <is>
          <t>VÄSTERBOTTENS LÄN</t>
        </is>
      </c>
      <c r="G67" t="inlineStr">
        <is>
          <t>DOROTEA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41104-2023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45170</v>
      </c>
      <c r="E68" s="1" t="n">
        <v>46254</v>
      </c>
      <c r="F68" t="inlineStr">
        <is>
          <t>VÄSTERBOTTENS LÄN</t>
        </is>
      </c>
      <c r="G68" t="inlineStr">
        <is>
          <t>DOROTEA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45556</v>
      </c>
      <c r="E69" s="1" t="n">
        <v>46254</v>
      </c>
      <c r="F69" t="inlineStr">
        <is>
          <t>VÄSTERBOTTENS LÄN</t>
        </is>
      </c>
      <c r="G69" t="inlineStr">
        <is>
          <t>DOROTEA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45330</v>
      </c>
      <c r="E70" s="1" t="n">
        <v>46254</v>
      </c>
      <c r="F70" t="inlineStr">
        <is>
          <t>VÄSTERBOTTENS LÄN</t>
        </is>
      </c>
      <c r="G70" t="inlineStr">
        <is>
          <t>DOROTEA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45721</v>
      </c>
      <c r="E71" s="1" t="n">
        <v>46254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60015-2023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45257</v>
      </c>
      <c r="E72" s="1" t="n">
        <v>46254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45036</v>
      </c>
      <c r="E73" s="1" t="n">
        <v>46254</v>
      </c>
      <c r="F73" t="inlineStr">
        <is>
          <t>VÄSTERBOTTENS LÄN</t>
        </is>
      </c>
      <c r="G73" t="inlineStr">
        <is>
          <t>DOROTEA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44876</v>
      </c>
      <c r="E74" s="1" t="n">
        <v>46254</v>
      </c>
      <c r="F74" t="inlineStr">
        <is>
          <t>VÄSTERBOTTENS LÄN</t>
        </is>
      </c>
      <c r="G74" t="inlineStr">
        <is>
          <t>DOROTEA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27477-2023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45097</v>
      </c>
      <c r="E75" s="1" t="n">
        <v>46254</v>
      </c>
      <c r="F75" t="inlineStr">
        <is>
          <t>VÄSTERBOTTENS LÄN</t>
        </is>
      </c>
      <c r="G75" t="inlineStr">
        <is>
          <t>DOROTEA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45491</v>
      </c>
      <c r="E76" s="1" t="n">
        <v>46254</v>
      </c>
      <c r="F76" t="inlineStr">
        <is>
          <t>VÄSTERBOTTENS LÄN</t>
        </is>
      </c>
      <c r="G76" t="inlineStr">
        <is>
          <t>DOROTEA</t>
        </is>
      </c>
      <c r="H76" t="inlineStr">
        <is>
          <t>Sveaskog</t>
        </is>
      </c>
      <c r="I76" t="n">
        <v>13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46254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34101-2023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45125</v>
      </c>
      <c r="E78" s="1" t="n">
        <v>46254</v>
      </c>
      <c r="F78" t="inlineStr">
        <is>
          <t>VÄSTERBOTTENS LÄN</t>
        </is>
      </c>
      <c r="G78" t="inlineStr">
        <is>
          <t>DOROTEA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45125</v>
      </c>
      <c r="E79" s="1" t="n">
        <v>46254</v>
      </c>
      <c r="F79" t="inlineStr">
        <is>
          <t>VÄSTERBOTTENS LÄN</t>
        </is>
      </c>
      <c r="G79" t="inlineStr">
        <is>
          <t>DOROTEA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44889</v>
      </c>
      <c r="E80" s="1" t="n">
        <v>46254</v>
      </c>
      <c r="F80" t="inlineStr">
        <is>
          <t>VÄSTERBOTTENS LÄN</t>
        </is>
      </c>
      <c r="G80" t="inlineStr">
        <is>
          <t>DOROTEA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46254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46254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38700-2024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45547</v>
      </c>
      <c r="E83" s="1" t="n">
        <v>46254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46254</v>
      </c>
      <c r="F84" t="inlineStr">
        <is>
          <t>VÄSTERBOTTENS LÄN</t>
        </is>
      </c>
      <c r="G84" t="inlineStr">
        <is>
          <t>DOROTEA</t>
        </is>
      </c>
      <c r="H84" t="inlineStr">
        <is>
          <t>Sveaskog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25028-2024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45461</v>
      </c>
      <c r="E85" s="1" t="n">
        <v>46254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45735</v>
      </c>
      <c r="E86" s="1" t="n">
        <v>46254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46254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45036</v>
      </c>
      <c r="E88" s="1" t="n">
        <v>46254</v>
      </c>
      <c r="F88" t="inlineStr">
        <is>
          <t>VÄSTERBOTTENS LÄN</t>
        </is>
      </c>
      <c r="G88" t="inlineStr">
        <is>
          <t>DOROTEA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46254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48006-2023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45198</v>
      </c>
      <c r="E90" s="1" t="n">
        <v>46254</v>
      </c>
      <c r="F90" t="inlineStr">
        <is>
          <t>VÄSTERBOTTENS LÄN</t>
        </is>
      </c>
      <c r="G90" t="inlineStr">
        <is>
          <t>DOROTEA</t>
        </is>
      </c>
      <c r="H90" t="inlineStr">
        <is>
          <t>Övriga statliga verk och myndigheter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45228</v>
      </c>
      <c r="E91" s="1" t="n">
        <v>46254</v>
      </c>
      <c r="F91" t="inlineStr">
        <is>
          <t>VÄSTERBOTTENS LÄN</t>
        </is>
      </c>
      <c r="G91" t="inlineStr">
        <is>
          <t>DOROTEA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45228</v>
      </c>
      <c r="E92" s="1" t="n">
        <v>46254</v>
      </c>
      <c r="F92" t="inlineStr">
        <is>
          <t>VÄSTERBOTTENS LÄN</t>
        </is>
      </c>
      <c r="G92" t="inlineStr">
        <is>
          <t>DOROTEA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44582</v>
      </c>
      <c r="E93" s="1" t="n">
        <v>46254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10400-2025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45720</v>
      </c>
      <c r="E94" s="1" t="n">
        <v>46254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46965-2024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45586</v>
      </c>
      <c r="E95" s="1" t="n">
        <v>46254</v>
      </c>
      <c r="F95" t="inlineStr">
        <is>
          <t>VÄSTERBOTTENS LÄN</t>
        </is>
      </c>
      <c r="G95" t="inlineStr">
        <is>
          <t>DOROTEA</t>
        </is>
      </c>
      <c r="H95" t="inlineStr">
        <is>
          <t>Sveaskog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27558-2022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44742</v>
      </c>
      <c r="E96" s="1" t="n">
        <v>46254</v>
      </c>
      <c r="F96" t="inlineStr">
        <is>
          <t>VÄSTERBOTTENS LÄN</t>
        </is>
      </c>
      <c r="G96" t="inlineStr">
        <is>
          <t>DOROTEA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8852-2024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46254</v>
      </c>
      <c r="F97" t="inlineStr">
        <is>
          <t>VÄSTERBOTTENS LÄN</t>
        </is>
      </c>
      <c r="G97" t="inlineStr">
        <is>
          <t>DOROTEA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14806-2023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45013</v>
      </c>
      <c r="E98" s="1" t="n">
        <v>46254</v>
      </c>
      <c r="F98" t="inlineStr">
        <is>
          <t>VÄSTERBOTTENS LÄN</t>
        </is>
      </c>
      <c r="G98" t="inlineStr">
        <is>
          <t>DOROTEA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27305-2024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45471</v>
      </c>
      <c r="E99" s="1" t="n">
        <v>46254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43211-2021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44431</v>
      </c>
      <c r="E100" s="1" t="n">
        <v>46254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45331</v>
      </c>
      <c r="E101" s="1" t="n">
        <v>46254</v>
      </c>
      <c r="F101" t="inlineStr">
        <is>
          <t>VÄSTERBOTTENS LÄN</t>
        </is>
      </c>
      <c r="G101" t="inlineStr">
        <is>
          <t>DOROTEA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45140</v>
      </c>
      <c r="E102" s="1" t="n">
        <v>46254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44889</v>
      </c>
      <c r="E103" s="1" t="n">
        <v>46254</v>
      </c>
      <c r="F103" t="inlineStr">
        <is>
          <t>VÄSTERBOTTENS LÄN</t>
        </is>
      </c>
      <c r="G103" t="inlineStr">
        <is>
          <t>DOROTEA</t>
        </is>
      </c>
      <c r="I103" t="n">
        <v>15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46010</v>
      </c>
      <c r="E104" s="1" t="n">
        <v>46254</v>
      </c>
      <c r="F104" t="inlineStr">
        <is>
          <t>VÄSTERBOTTENS LÄN</t>
        </is>
      </c>
      <c r="G104" t="inlineStr">
        <is>
          <t>DOROTEA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46254</v>
      </c>
      <c r="F105" t="inlineStr">
        <is>
          <t>VÄSTERBOTTENS LÄN</t>
        </is>
      </c>
      <c r="G105" t="inlineStr">
        <is>
          <t>DOROTEA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46254</v>
      </c>
      <c r="F106" t="inlineStr">
        <is>
          <t>VÄSTERBOTTENS LÄN</t>
        </is>
      </c>
      <c r="G106" t="inlineStr">
        <is>
          <t>DOROTEA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46254</v>
      </c>
      <c r="F107" t="inlineStr">
        <is>
          <t>VÄSTERBOTTENS LÄN</t>
        </is>
      </c>
      <c r="G107" t="inlineStr">
        <is>
          <t>DOROTEA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20321-2026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46254</v>
      </c>
      <c r="F108" t="inlineStr">
        <is>
          <t>VÄSTERBOTTENS LÄN</t>
        </is>
      </c>
      <c r="G108" t="inlineStr">
        <is>
          <t>DOROTEA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45611</v>
      </c>
      <c r="E109" s="1" t="n">
        <v>46254</v>
      </c>
      <c r="F109" t="inlineStr">
        <is>
          <t>VÄSTERBOTTENS LÄN</t>
        </is>
      </c>
      <c r="G109" t="inlineStr">
        <is>
          <t>DOROTEA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46254</v>
      </c>
      <c r="F110" t="inlineStr">
        <is>
          <t>VÄSTERBOTTENS LÄN</t>
        </is>
      </c>
      <c r="G110" t="inlineStr">
        <is>
          <t>DOROTEA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46254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20286-2026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46136</v>
      </c>
      <c r="E112" s="1" t="n">
        <v>46254</v>
      </c>
      <c r="F112" t="inlineStr">
        <is>
          <t>VÄSTERBOTTENS LÄN</t>
        </is>
      </c>
      <c r="G112" t="inlineStr">
        <is>
          <t>DOROTEA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45893</v>
      </c>
      <c r="E113" s="1" t="n">
        <v>46254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45295</v>
      </c>
      <c r="E114" s="1" t="n">
        <v>46254</v>
      </c>
      <c r="F114" t="inlineStr">
        <is>
          <t>VÄSTERBOTTENS LÄN</t>
        </is>
      </c>
      <c r="G114" t="inlineStr">
        <is>
          <t>DOROTEA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46254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37282-2025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45876</v>
      </c>
      <c r="E116" s="1" t="n">
        <v>46254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46254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46254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20290-2026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46136</v>
      </c>
      <c r="E119" s="1" t="n">
        <v>46254</v>
      </c>
      <c r="F119" t="inlineStr">
        <is>
          <t>VÄSTERBOTTENS LÄN</t>
        </is>
      </c>
      <c r="G119" t="inlineStr">
        <is>
          <t>DOROTEA</t>
        </is>
      </c>
      <c r="I119" t="n">
        <v>17.8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45098</v>
      </c>
      <c r="E120" s="1" t="n">
        <v>46254</v>
      </c>
      <c r="F120" t="inlineStr">
        <is>
          <t>VÄSTERBOTTENS LÄN</t>
        </is>
      </c>
      <c r="G120" t="inlineStr">
        <is>
          <t>DOROTEA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20754-2026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46254</v>
      </c>
      <c r="F121" t="inlineStr">
        <is>
          <t>VÄSTERBOTTENS LÄN</t>
        </is>
      </c>
      <c r="G121" t="inlineStr">
        <is>
          <t>DOROTEA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46254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46254</v>
      </c>
      <c r="F123" t="inlineStr">
        <is>
          <t>VÄSTERBOTTENS LÄN</t>
        </is>
      </c>
      <c r="G123" t="inlineStr">
        <is>
          <t>DOROTEA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46254</v>
      </c>
      <c r="F124" t="inlineStr">
        <is>
          <t>VÄSTERBOTTENS LÄN</t>
        </is>
      </c>
      <c r="G124" t="inlineStr">
        <is>
          <t>DOROTEA</t>
        </is>
      </c>
      <c r="I124" t="n">
        <v>31.7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46254</v>
      </c>
      <c r="F125" t="inlineStr">
        <is>
          <t>VÄSTERBOTTENS LÄN</t>
        </is>
      </c>
      <c r="G125" t="inlineStr">
        <is>
          <t>DOROTEA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20231-2026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46254</v>
      </c>
      <c r="F126" t="inlineStr">
        <is>
          <t>VÄSTERBOTTENS LÄN</t>
        </is>
      </c>
      <c r="G126" t="inlineStr">
        <is>
          <t>DOROTEA</t>
        </is>
      </c>
      <c r="I126" t="n">
        <v>21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46254</v>
      </c>
      <c r="F127" t="inlineStr">
        <is>
          <t>VÄSTERBOTTENS LÄN</t>
        </is>
      </c>
      <c r="G127" t="inlineStr">
        <is>
          <t>DOROTEA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45866</v>
      </c>
      <c r="E128" s="1" t="n">
        <v>46254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44974</v>
      </c>
      <c r="E129" s="1" t="n">
        <v>46254</v>
      </c>
      <c r="F129" t="inlineStr">
        <is>
          <t>VÄSTERBOTTENS LÄN</t>
        </is>
      </c>
      <c r="G129" t="inlineStr">
        <is>
          <t>DOROTEA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45770</v>
      </c>
      <c r="E130" s="1" t="n">
        <v>46254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45898</v>
      </c>
      <c r="E131" s="1" t="n">
        <v>46254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46254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46147</v>
      </c>
      <c r="E133" s="1" t="n">
        <v>46254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46254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21332-2026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46147</v>
      </c>
      <c r="E135" s="1" t="n">
        <v>46254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46254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46254</v>
      </c>
      <c r="F137" t="inlineStr">
        <is>
          <t>VÄSTERBOTTENS LÄN</t>
        </is>
      </c>
      <c r="G137" t="inlineStr">
        <is>
          <t>DOROTEA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46254</v>
      </c>
      <c r="F138" t="inlineStr">
        <is>
          <t>VÄSTERBOTTENS LÄN</t>
        </is>
      </c>
      <c r="G138" t="inlineStr">
        <is>
          <t>DOROTEA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46254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46254</v>
      </c>
      <c r="F140" t="inlineStr">
        <is>
          <t>VÄSTERBOTTENS LÄN</t>
        </is>
      </c>
      <c r="G140" t="inlineStr">
        <is>
          <t>DOROTEA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45672</v>
      </c>
      <c r="E141" s="1" t="n">
        <v>46254</v>
      </c>
      <c r="F141" t="inlineStr">
        <is>
          <t>VÄSTERBOTTENS LÄN</t>
        </is>
      </c>
      <c r="G141" t="inlineStr">
        <is>
          <t>DOROTEA</t>
        </is>
      </c>
      <c r="H141" t="inlineStr">
        <is>
          <t>Kommuner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59394-2023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45253</v>
      </c>
      <c r="E142" s="1" t="n">
        <v>46254</v>
      </c>
      <c r="F142" t="inlineStr">
        <is>
          <t>VÄSTERBOTTENS LÄN</t>
        </is>
      </c>
      <c r="G142" t="inlineStr">
        <is>
          <t>DOROTEA</t>
        </is>
      </c>
      <c r="I142" t="n">
        <v>28.8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46254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45747</v>
      </c>
      <c r="E144" s="1" t="n">
        <v>46254</v>
      </c>
      <c r="F144" t="inlineStr">
        <is>
          <t>VÄSTERBOTTENS LÄN</t>
        </is>
      </c>
      <c r="G144" t="inlineStr">
        <is>
          <t>DOROTEA</t>
        </is>
      </c>
      <c r="I144" t="n">
        <v>10.3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46254</v>
      </c>
      <c r="F145" t="inlineStr">
        <is>
          <t>VÄSTERBOTTENS LÄN</t>
        </is>
      </c>
      <c r="G145" t="inlineStr">
        <is>
          <t>DOROTEA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46254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46150</v>
      </c>
      <c r="E147" s="1" t="n">
        <v>46254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46254</v>
      </c>
      <c r="F148" t="inlineStr">
        <is>
          <t>VÄSTERBOTTENS LÄN</t>
        </is>
      </c>
      <c r="G148" t="inlineStr">
        <is>
          <t>DOROTEA</t>
        </is>
      </c>
      <c r="H148" t="inlineStr">
        <is>
          <t>Övriga Aktiebolag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7429-2023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44971</v>
      </c>
      <c r="E149" s="1" t="n">
        <v>46254</v>
      </c>
      <c r="F149" t="inlineStr">
        <is>
          <t>VÄSTERBOTTENS LÄN</t>
        </is>
      </c>
      <c r="G149" t="inlineStr">
        <is>
          <t>DOROTEA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22128-2026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46254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21812-2026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46150</v>
      </c>
      <c r="E151" s="1" t="n">
        <v>46254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22214-2026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46254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22650-2026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46254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46254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46254</v>
      </c>
      <c r="F155" t="inlineStr">
        <is>
          <t>VÄSTERBOTTENS LÄN</t>
        </is>
      </c>
      <c r="G155" t="inlineStr">
        <is>
          <t>DOROTEA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44960</v>
      </c>
      <c r="E156" s="1" t="n">
        <v>46254</v>
      </c>
      <c r="F156" t="inlineStr">
        <is>
          <t>VÄSTERBOTTENS LÄN</t>
        </is>
      </c>
      <c r="G156" t="inlineStr">
        <is>
          <t>DOROTEA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45882</v>
      </c>
      <c r="E157" s="1" t="n">
        <v>46254</v>
      </c>
      <c r="F157" t="inlineStr">
        <is>
          <t>VÄSTERBOTTENS LÄN</t>
        </is>
      </c>
      <c r="G157" t="inlineStr">
        <is>
          <t>DOROTEA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15735-2026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46107</v>
      </c>
      <c r="E158" s="1" t="n">
        <v>46254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46254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44925</v>
      </c>
      <c r="E160" s="1" t="n">
        <v>46254</v>
      </c>
      <c r="F160" t="inlineStr">
        <is>
          <t>VÄSTERBOTTENS LÄN</t>
        </is>
      </c>
      <c r="G160" t="inlineStr">
        <is>
          <t>DOROTEA</t>
        </is>
      </c>
      <c r="I160" t="n">
        <v>22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45505</v>
      </c>
      <c r="E161" s="1" t="n">
        <v>46254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45912</v>
      </c>
      <c r="E162" s="1" t="n">
        <v>46254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46160</v>
      </c>
      <c r="E163" s="1" t="n">
        <v>46254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46254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30461-2024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45491</v>
      </c>
      <c r="E165" s="1" t="n">
        <v>46254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45962</v>
      </c>
      <c r="E166" s="1" t="n">
        <v>46254</v>
      </c>
      <c r="F166" t="inlineStr">
        <is>
          <t>VÄSTERBOTTENS LÄN</t>
        </is>
      </c>
      <c r="G166" t="inlineStr">
        <is>
          <t>DOROTEA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46254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45915</v>
      </c>
      <c r="E168" s="1" t="n">
        <v>46254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46254</v>
      </c>
      <c r="F169" t="inlineStr">
        <is>
          <t>VÄSTERBOTTENS LÄN</t>
        </is>
      </c>
      <c r="G169" t="inlineStr">
        <is>
          <t>DOROTEA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43876-2025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46254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45069</v>
      </c>
      <c r="E171" s="1" t="n">
        <v>46254</v>
      </c>
      <c r="F171" t="inlineStr">
        <is>
          <t>VÄSTERBOTTENS LÄN</t>
        </is>
      </c>
      <c r="G171" t="inlineStr">
        <is>
          <t>DOROTEA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46254</v>
      </c>
      <c r="F172" t="inlineStr">
        <is>
          <t>VÄSTERBOTTENS LÄN</t>
        </is>
      </c>
      <c r="G172" t="inlineStr">
        <is>
          <t>DOROTEA</t>
        </is>
      </c>
      <c r="I172" t="n">
        <v>26.5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45912</v>
      </c>
      <c r="E173" s="1" t="n">
        <v>46254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46254</v>
      </c>
      <c r="F174" t="inlineStr">
        <is>
          <t>VÄSTERBOTTENS LÄN</t>
        </is>
      </c>
      <c r="G174" t="inlineStr">
        <is>
          <t>DOROTEA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46254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45224</v>
      </c>
      <c r="E176" s="1" t="n">
        <v>46254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45713</v>
      </c>
      <c r="E177" s="1" t="n">
        <v>46254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46162</v>
      </c>
      <c r="E178" s="1" t="n">
        <v>46254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46254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44282-2025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45916</v>
      </c>
      <c r="E180" s="1" t="n">
        <v>46254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44357-2025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45916</v>
      </c>
      <c r="E181" s="1" t="n">
        <v>46254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46254</v>
      </c>
      <c r="F182" t="inlineStr">
        <is>
          <t>VÄSTERBOTTENS LÄN</t>
        </is>
      </c>
      <c r="G182" t="inlineStr">
        <is>
          <t>DOROTEA</t>
        </is>
      </c>
      <c r="H182" t="inlineStr">
        <is>
          <t>Övriga statliga verk och myndigheter</t>
        </is>
      </c>
      <c r="I182" t="n">
        <v>15.2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50582-2024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45600</v>
      </c>
      <c r="E183" s="1" t="n">
        <v>46254</v>
      </c>
      <c r="F183" t="inlineStr">
        <is>
          <t>VÄSTERBOTTENS LÄN</t>
        </is>
      </c>
      <c r="G183" t="inlineStr">
        <is>
          <t>DOROTEA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46254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52276-2023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45217</v>
      </c>
      <c r="E185" s="1" t="n">
        <v>46254</v>
      </c>
      <c r="F185" t="inlineStr">
        <is>
          <t>VÄSTERBOTTENS LÄN</t>
        </is>
      </c>
      <c r="G185" t="inlineStr">
        <is>
          <t>DOROTEA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8088-2023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46254</v>
      </c>
      <c r="F186" t="inlineStr">
        <is>
          <t>VÄSTERBOTTENS LÄN</t>
        </is>
      </c>
      <c r="G186" t="inlineStr">
        <is>
          <t>DOROTEA</t>
        </is>
      </c>
      <c r="I186" t="n">
        <v>14.8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46254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44956</v>
      </c>
      <c r="E188" s="1" t="n">
        <v>46254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45845</v>
      </c>
      <c r="E189" s="1" t="n">
        <v>46254</v>
      </c>
      <c r="F189" t="inlineStr">
        <is>
          <t>VÄSTERBOTTENS LÄN</t>
        </is>
      </c>
      <c r="G189" t="inlineStr">
        <is>
          <t>DOROTEA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45845</v>
      </c>
      <c r="E190" s="1" t="n">
        <v>46254</v>
      </c>
      <c r="F190" t="inlineStr">
        <is>
          <t>VÄSTERBOTTENS LÄN</t>
        </is>
      </c>
      <c r="G190" t="inlineStr">
        <is>
          <t>DOROTEA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46212</v>
      </c>
      <c r="E191" s="1" t="n">
        <v>46254</v>
      </c>
      <c r="F191" t="inlineStr">
        <is>
          <t>VÄSTERBOTTENS LÄN</t>
        </is>
      </c>
      <c r="G191" t="inlineStr">
        <is>
          <t>DOROTEA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46213</v>
      </c>
      <c r="E192" s="1" t="n">
        <v>46254</v>
      </c>
      <c r="F192" t="inlineStr">
        <is>
          <t>VÄSTERBOTTENS LÄN</t>
        </is>
      </c>
      <c r="G192" t="inlineStr">
        <is>
          <t>DOROTEA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46212</v>
      </c>
      <c r="E193" s="1" t="n">
        <v>46254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46213</v>
      </c>
      <c r="E194" s="1" t="n">
        <v>46254</v>
      </c>
      <c r="F194" t="inlineStr">
        <is>
          <t>VÄSTERBOTTENS LÄN</t>
        </is>
      </c>
      <c r="G194" t="inlineStr">
        <is>
          <t>DOROTEA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25373-2026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46254</v>
      </c>
      <c r="F195" t="inlineStr">
        <is>
          <t>VÄSTERBOTTENS LÄN</t>
        </is>
      </c>
      <c r="G195" t="inlineStr">
        <is>
          <t>DOROTEA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44979</v>
      </c>
      <c r="E196" s="1" t="n">
        <v>46254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31181-2026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46217</v>
      </c>
      <c r="E197" s="1" t="n">
        <v>46254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41771-2024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45561</v>
      </c>
      <c r="E198" s="1" t="n">
        <v>46254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46217</v>
      </c>
      <c r="E199" s="1" t="n">
        <v>46254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46254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45642</v>
      </c>
      <c r="E201" s="1" t="n">
        <v>46254</v>
      </c>
      <c r="F201" t="inlineStr">
        <is>
          <t>VÄSTERBOTTENS LÄN</t>
        </is>
      </c>
      <c r="G201" t="inlineStr">
        <is>
          <t>DOROTEA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45642</v>
      </c>
      <c r="E202" s="1" t="n">
        <v>46254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24839-2026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46254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46218</v>
      </c>
      <c r="E204" s="1" t="n">
        <v>46254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46218</v>
      </c>
      <c r="E205" s="1" t="n">
        <v>46254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46218</v>
      </c>
      <c r="E206" s="1" t="n">
        <v>46254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46176</v>
      </c>
      <c r="E207" s="1" t="n">
        <v>46254</v>
      </c>
      <c r="F207" t="inlineStr">
        <is>
          <t>VÄSTERBOTTENS LÄN</t>
        </is>
      </c>
      <c r="G207" t="inlineStr">
        <is>
          <t>DOROTEA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46254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44568</v>
      </c>
      <c r="E209" s="1" t="n">
        <v>46254</v>
      </c>
      <c r="F209" t="inlineStr">
        <is>
          <t>VÄSTERBOTTENS LÄN</t>
        </is>
      </c>
      <c r="G209" t="inlineStr">
        <is>
          <t>DOROTEA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45729</v>
      </c>
      <c r="E210" s="1" t="n">
        <v>46254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31439-2026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46220</v>
      </c>
      <c r="E211" s="1" t="n">
        <v>46254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14255-2026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46254</v>
      </c>
      <c r="F212" t="inlineStr">
        <is>
          <t>VÄSTERBOTTENS LÄN</t>
        </is>
      </c>
      <c r="G212" t="inlineStr">
        <is>
          <t>DOROTEA</t>
        </is>
      </c>
      <c r="I212" t="n">
        <v>26.2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46254</v>
      </c>
      <c r="F213" t="inlineStr">
        <is>
          <t>VÄSTERBOTTENS LÄN</t>
        </is>
      </c>
      <c r="G213" t="inlineStr">
        <is>
          <t>DOROTEA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46254</v>
      </c>
      <c r="F214" t="inlineStr">
        <is>
          <t>VÄSTERBOTTENS LÄN</t>
        </is>
      </c>
      <c r="G214" t="inlineStr">
        <is>
          <t>DOROTEA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46254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46254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46181</v>
      </c>
      <c r="E217" s="1" t="n">
        <v>46254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46254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9.800000000000001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26237-2026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46182</v>
      </c>
      <c r="E219" s="1" t="n">
        <v>46254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26255-2026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46182</v>
      </c>
      <c r="E220" s="1" t="n">
        <v>46254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46224</v>
      </c>
      <c r="E221" s="1" t="n">
        <v>46254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46224</v>
      </c>
      <c r="E222" s="1" t="n">
        <v>46254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31575-2026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46224</v>
      </c>
      <c r="E223" s="1" t="n">
        <v>46254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32821-2024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46254</v>
      </c>
      <c r="F224" t="inlineStr">
        <is>
          <t>VÄSTERBOTTENS LÄN</t>
        </is>
      </c>
      <c r="G224" t="inlineStr">
        <is>
          <t>DOROTEA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44980</v>
      </c>
      <c r="E225" s="1" t="n">
        <v>46254</v>
      </c>
      <c r="F225" t="inlineStr">
        <is>
          <t>VÄSTERBOTTENS LÄN</t>
        </is>
      </c>
      <c r="G225" t="inlineStr">
        <is>
          <t>DOROTEA</t>
        </is>
      </c>
      <c r="I225" t="n">
        <v>18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45475</v>
      </c>
      <c r="E226" s="1" t="n">
        <v>46254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46254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46254</v>
      </c>
      <c r="F228" t="inlineStr">
        <is>
          <t>VÄSTERBOTTENS LÄN</t>
        </is>
      </c>
      <c r="G228" t="inlineStr">
        <is>
          <t>DOROTEA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45399</v>
      </c>
      <c r="E229" s="1" t="n">
        <v>46254</v>
      </c>
      <c r="F229" t="inlineStr">
        <is>
          <t>VÄSTERBOTTENS LÄN</t>
        </is>
      </c>
      <c r="G229" t="inlineStr">
        <is>
          <t>DOROTEA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46254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44889</v>
      </c>
      <c r="E231" s="1" t="n">
        <v>46254</v>
      </c>
      <c r="F231" t="inlineStr">
        <is>
          <t>VÄSTERBOTTENS LÄN</t>
        </is>
      </c>
      <c r="G231" t="inlineStr">
        <is>
          <t>DOROTEA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45539</v>
      </c>
      <c r="E232" s="1" t="n">
        <v>46254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46254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67686-2021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44524</v>
      </c>
      <c r="E234" s="1" t="n">
        <v>46254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27738-2026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46191</v>
      </c>
      <c r="E235" s="1" t="n">
        <v>46254</v>
      </c>
      <c r="F235" t="inlineStr">
        <is>
          <t>VÄSTERBOTTENS LÄN</t>
        </is>
      </c>
      <c r="G235" t="inlineStr">
        <is>
          <t>DOROTEA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46254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16.2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46254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46195</v>
      </c>
      <c r="E238" s="1" t="n">
        <v>46254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28360-2026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46196</v>
      </c>
      <c r="E239" s="1" t="n">
        <v>46254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49.5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46254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39721-2024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45552</v>
      </c>
      <c r="E241" s="1" t="n">
        <v>46254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46254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46254</v>
      </c>
      <c r="F243" t="inlineStr">
        <is>
          <t>VÄSTERBOTTENS LÄN</t>
        </is>
      </c>
      <c r="G243" t="inlineStr">
        <is>
          <t>DOROTEA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28782-2026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46254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9102-2023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46254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9.4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28783-2026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46198</v>
      </c>
      <c r="E246" s="1" t="n">
        <v>46254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46254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44761</v>
      </c>
      <c r="E248" s="1" t="n">
        <v>46254</v>
      </c>
      <c r="F248" t="inlineStr">
        <is>
          <t>VÄSTERBOTTENS LÄN</t>
        </is>
      </c>
      <c r="G248" t="inlineStr">
        <is>
          <t>DOROTEA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28741-2026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46198</v>
      </c>
      <c r="E249" s="1" t="n">
        <v>46254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46254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46254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46254</v>
      </c>
      <c r="F252" t="inlineStr">
        <is>
          <t>VÄSTERBOTTENS LÄN</t>
        </is>
      </c>
      <c r="G252" t="inlineStr">
        <is>
          <t>DOROTEA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46212</v>
      </c>
      <c r="E253" s="1" t="n">
        <v>46254</v>
      </c>
      <c r="F253" t="inlineStr">
        <is>
          <t>VÄSTERBOTTENS LÄN</t>
        </is>
      </c>
      <c r="G253" t="inlineStr">
        <is>
          <t>DOROTEA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46204</v>
      </c>
      <c r="E254" s="1" t="n">
        <v>46254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9.300000000000001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14163-2024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45392</v>
      </c>
      <c r="E255" s="1" t="n">
        <v>46254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23213-2022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44719</v>
      </c>
      <c r="E256" s="1" t="n">
        <v>46254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40435-2023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45169</v>
      </c>
      <c r="E257" s="1" t="n">
        <v>46254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56556-2025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46254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46247</v>
      </c>
      <c r="E259" s="1" t="n">
        <v>46254</v>
      </c>
      <c r="F259" t="inlineStr">
        <is>
          <t>VÄSTERBOTTENS LÄN</t>
        </is>
      </c>
      <c r="G259" t="inlineStr">
        <is>
          <t>DOROTEA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46254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46209</v>
      </c>
      <c r="E261" s="1" t="n">
        <v>46254</v>
      </c>
      <c r="F261" t="inlineStr">
        <is>
          <t>VÄSTERBOTTENS LÄN</t>
        </is>
      </c>
      <c r="G261" t="inlineStr">
        <is>
          <t>DOROTEA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40434-2023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45169</v>
      </c>
      <c r="E262" s="1" t="n">
        <v>46254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4958-2023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44956</v>
      </c>
      <c r="E263" s="1" t="n">
        <v>46254</v>
      </c>
      <c r="F263" t="inlineStr">
        <is>
          <t>VÄSTERBOTTENS LÄN</t>
        </is>
      </c>
      <c r="G263" t="inlineStr">
        <is>
          <t>DOROTEA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45977</v>
      </c>
      <c r="E264" s="1" t="n">
        <v>46254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41353-2022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44824</v>
      </c>
      <c r="E265" s="1" t="n">
        <v>46254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46206</v>
      </c>
      <c r="E266" s="1" t="n">
        <v>46254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46254</v>
      </c>
      <c r="F267" t="inlineStr">
        <is>
          <t>VÄSTERBOTTENS LÄN</t>
        </is>
      </c>
      <c r="G267" t="inlineStr">
        <is>
          <t>DOROTEA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46254</v>
      </c>
      <c r="F268" t="inlineStr">
        <is>
          <t>VÄSTERBOTTENS LÄN</t>
        </is>
      </c>
      <c r="G268" t="inlineStr">
        <is>
          <t>DOROTEA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44910</v>
      </c>
      <c r="E269" s="1" t="n">
        <v>46254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33514-2026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46254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27199-2024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45471</v>
      </c>
      <c r="E271" s="1" t="n">
        <v>46254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45551</v>
      </c>
      <c r="E272" s="1" t="n">
        <v>46254</v>
      </c>
      <c r="F272" t="inlineStr">
        <is>
          <t>VÄSTERBOTTENS LÄN</t>
        </is>
      </c>
      <c r="G272" t="inlineStr">
        <is>
          <t>DOROTEA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45055</v>
      </c>
      <c r="E273" s="1" t="n">
        <v>46254</v>
      </c>
      <c r="F273" t="inlineStr">
        <is>
          <t>VÄSTERBOTTENS LÄN</t>
        </is>
      </c>
      <c r="G273" t="inlineStr">
        <is>
          <t>DOROTEA</t>
        </is>
      </c>
      <c r="H273" t="inlineStr">
        <is>
          <t>Övriga statliga verk och myndigheter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46254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7.8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45980</v>
      </c>
      <c r="E275" s="1" t="n">
        <v>46254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10.2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57480-2025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45980</v>
      </c>
      <c r="E276" s="1" t="n">
        <v>46254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46254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46254</v>
      </c>
      <c r="F278" t="inlineStr">
        <is>
          <t>VÄSTERBOTTENS LÄN</t>
        </is>
      </c>
      <c r="G278" t="inlineStr">
        <is>
          <t>DOROTEA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46254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40438-2023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45169</v>
      </c>
      <c r="E280" s="1" t="n">
        <v>46254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45315</v>
      </c>
      <c r="E281" s="1" t="n">
        <v>46254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46254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46253</v>
      </c>
      <c r="E283" s="1" t="n">
        <v>46254</v>
      </c>
      <c r="F283" t="inlineStr">
        <is>
          <t>VÄSTERBOTTENS LÄN</t>
        </is>
      </c>
      <c r="G283" t="inlineStr">
        <is>
          <t>DOROTEA</t>
        </is>
      </c>
      <c r="I283" t="n">
        <v>11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34187-2026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46253</v>
      </c>
      <c r="E284" s="1" t="n">
        <v>46254</v>
      </c>
      <c r="F284" t="inlineStr">
        <is>
          <t>VÄSTERBOTTENS LÄN</t>
        </is>
      </c>
      <c r="G284" t="inlineStr">
        <is>
          <t>DOROTEA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30645-2026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46211</v>
      </c>
      <c r="E285" s="1" t="n">
        <v>46254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46254</v>
      </c>
      <c r="F286" t="inlineStr">
        <is>
          <t>VÄSTERBOTTENS LÄN</t>
        </is>
      </c>
      <c r="G286" t="inlineStr">
        <is>
          <t>DOROTEA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46254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45982</v>
      </c>
      <c r="E288" s="1" t="n">
        <v>46254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46253</v>
      </c>
      <c r="E289" s="1" t="n">
        <v>46254</v>
      </c>
      <c r="F289" t="inlineStr">
        <is>
          <t>VÄSTERBOTTENS LÄN</t>
        </is>
      </c>
      <c r="G289" t="inlineStr">
        <is>
          <t>DOROTEA</t>
        </is>
      </c>
      <c r="I289" t="n">
        <v>13.6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46254</v>
      </c>
      <c r="F290" t="inlineStr">
        <is>
          <t>VÄSTERBOTTENS LÄN</t>
        </is>
      </c>
      <c r="G290" t="inlineStr">
        <is>
          <t>DOROTEA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30740-2026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46211</v>
      </c>
      <c r="E291" s="1" t="n">
        <v>46254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44958</v>
      </c>
      <c r="E292" s="1" t="n">
        <v>46254</v>
      </c>
      <c r="F292" t="inlineStr">
        <is>
          <t>VÄSTERBOTTENS LÄN</t>
        </is>
      </c>
      <c r="G292" t="inlineStr">
        <is>
          <t>DOROTEA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46254</v>
      </c>
      <c r="F293" t="inlineStr">
        <is>
          <t>VÄSTERBOTTENS LÄN</t>
        </is>
      </c>
      <c r="G293" t="inlineStr">
        <is>
          <t>DOROTEA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74013-2021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44557</v>
      </c>
      <c r="E294" s="1" t="n">
        <v>46254</v>
      </c>
      <c r="F294" t="inlineStr">
        <is>
          <t>VÄSTERBOTTENS LÄN</t>
        </is>
      </c>
      <c r="G294" t="inlineStr">
        <is>
          <t>DOROTEA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45988</v>
      </c>
      <c r="E295" s="1" t="n">
        <v>46254</v>
      </c>
      <c r="F295" t="inlineStr">
        <is>
          <t>VÄSTERBOTTENS LÄN</t>
        </is>
      </c>
      <c r="G295" t="inlineStr">
        <is>
          <t>DOROTEA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46254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46254</v>
      </c>
      <c r="F297" t="inlineStr">
        <is>
          <t>VÄSTERBOTTENS LÄN</t>
        </is>
      </c>
      <c r="G297" t="inlineStr">
        <is>
          <t>DOROTEA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45565</v>
      </c>
      <c r="E298" s="1" t="n">
        <v>46254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35937-2025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45862</v>
      </c>
      <c r="E299" s="1" t="n">
        <v>46254</v>
      </c>
      <c r="F299" t="inlineStr">
        <is>
          <t>VÄSTERBOTTENS LÄN</t>
        </is>
      </c>
      <c r="G299" t="inlineStr">
        <is>
          <t>DOROTEA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55919-2023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45239</v>
      </c>
      <c r="E300" s="1" t="n">
        <v>46254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45996</v>
      </c>
      <c r="E301" s="1" t="n">
        <v>46254</v>
      </c>
      <c r="F301" t="inlineStr">
        <is>
          <t>VÄSTERBOTTENS LÄN</t>
        </is>
      </c>
      <c r="G301" t="inlineStr">
        <is>
          <t>DOROTEA</t>
        </is>
      </c>
      <c r="I301" t="n">
        <v>23.9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46254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61831-2025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46254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62193-2025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46003</v>
      </c>
      <c r="E304" s="1" t="n">
        <v>46254</v>
      </c>
      <c r="F304" t="inlineStr">
        <is>
          <t>VÄSTERBOTTENS LÄN</t>
        </is>
      </c>
      <c r="G304" t="inlineStr">
        <is>
          <t>DOROTEA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52144-2023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45223</v>
      </c>
      <c r="E305" s="1" t="n">
        <v>46254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46254</v>
      </c>
      <c r="F306" t="inlineStr">
        <is>
          <t>VÄSTERBOTTENS LÄN</t>
        </is>
      </c>
      <c r="G306" t="inlineStr">
        <is>
          <t>DOROTEA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46254</v>
      </c>
      <c r="F307" t="inlineStr">
        <is>
          <t>VÄSTERBOTTENS LÄN</t>
        </is>
      </c>
      <c r="G307" t="inlineStr">
        <is>
          <t>DOROTEA</t>
        </is>
      </c>
      <c r="I307" t="n">
        <v>16.7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47494-2023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45202</v>
      </c>
      <c r="E308" s="1" t="n">
        <v>46254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46254</v>
      </c>
      <c r="F309" t="inlineStr">
        <is>
          <t>VÄSTERBOTTENS LÄN</t>
        </is>
      </c>
      <c r="G309" t="inlineStr">
        <is>
          <t>DOROTEA</t>
        </is>
      </c>
      <c r="I309" t="n">
        <v>13.2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17132-2025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45755</v>
      </c>
      <c r="E310" s="1" t="n">
        <v>46254</v>
      </c>
      <c r="F310" t="inlineStr">
        <is>
          <t>VÄSTERBOTTENS LÄN</t>
        </is>
      </c>
      <c r="G310" t="inlineStr">
        <is>
          <t>DOROTEA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22942-2024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45448</v>
      </c>
      <c r="E311" s="1" t="n">
        <v>46254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46254</v>
      </c>
      <c r="F312" t="inlineStr">
        <is>
          <t>VÄSTERBOTTENS LÄN</t>
        </is>
      </c>
      <c r="G312" t="inlineStr">
        <is>
          <t>DOROTEA</t>
        </is>
      </c>
      <c r="I312" t="n">
        <v>12.3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45036</v>
      </c>
      <c r="E313" s="1" t="n">
        <v>46254</v>
      </c>
      <c r="F313" t="inlineStr">
        <is>
          <t>VÄSTERBOTTENS LÄN</t>
        </is>
      </c>
      <c r="G313" t="inlineStr">
        <is>
          <t>DOROTEA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46254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37072-2024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45539</v>
      </c>
      <c r="E315" s="1" t="n">
        <v>46254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45565</v>
      </c>
      <c r="E316" s="1" t="n">
        <v>46254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63939-2025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46254</v>
      </c>
      <c r="F317" t="inlineStr">
        <is>
          <t>VÄSTERBOTTENS LÄN</t>
        </is>
      </c>
      <c r="G317" t="inlineStr">
        <is>
          <t>DOROTEA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57070-2023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45244</v>
      </c>
      <c r="E318" s="1" t="n">
        <v>46254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59007-2024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45636</v>
      </c>
      <c r="E319" s="1" t="n">
        <v>46254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45448</v>
      </c>
      <c r="E320" s="1" t="n">
        <v>46254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63745-2025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46017</v>
      </c>
      <c r="E321" s="1" t="n">
        <v>46254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33738-2024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45520</v>
      </c>
      <c r="E322" s="1" t="n">
        <v>46254</v>
      </c>
      <c r="F322" t="inlineStr">
        <is>
          <t>VÄSTERBOTTENS LÄN</t>
        </is>
      </c>
      <c r="G322" t="inlineStr">
        <is>
          <t>DOROTEA</t>
        </is>
      </c>
      <c r="I322" t="n">
        <v>11.1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45735</v>
      </c>
      <c r="E323" s="1" t="n">
        <v>46254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46254</v>
      </c>
      <c r="F324" t="inlineStr">
        <is>
          <t>VÄSTERBOTTENS LÄN</t>
        </is>
      </c>
      <c r="G324" t="inlineStr">
        <is>
          <t>DOROTEA</t>
        </is>
      </c>
      <c r="I324" t="n">
        <v>18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45566</v>
      </c>
      <c r="E325" s="1" t="n">
        <v>46254</v>
      </c>
      <c r="F325" t="inlineStr">
        <is>
          <t>VÄSTERBOTTENS LÄN</t>
        </is>
      </c>
      <c r="G325" t="inlineStr">
        <is>
          <t>DOROTEA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44942</v>
      </c>
      <c r="E326" s="1" t="n">
        <v>46254</v>
      </c>
      <c r="F326" t="inlineStr">
        <is>
          <t>VÄSTERBOTTENS LÄN</t>
        </is>
      </c>
      <c r="G326" t="inlineStr">
        <is>
          <t>DOROTEA</t>
        </is>
      </c>
      <c r="I326" t="n">
        <v>22.7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45632</v>
      </c>
      <c r="E327" s="1" t="n">
        <v>46254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46254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46254</v>
      </c>
      <c r="F329" t="inlineStr">
        <is>
          <t>VÄSTERBOTTENS LÄN</t>
        </is>
      </c>
      <c r="G329" t="inlineStr">
        <is>
          <t>DOROTEA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46038</v>
      </c>
      <c r="E330" s="1" t="n">
        <v>46254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46254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3559-2026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46042</v>
      </c>
      <c r="E332" s="1" t="n">
        <v>46254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45519</v>
      </c>
      <c r="E333" s="1" t="n">
        <v>46254</v>
      </c>
      <c r="F333" t="inlineStr">
        <is>
          <t>VÄSTERBOTTENS LÄN</t>
        </is>
      </c>
      <c r="G333" t="inlineStr">
        <is>
          <t>DOROTEA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46254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46254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46254</v>
      </c>
      <c r="F336" t="inlineStr">
        <is>
          <t>VÄSTERBOTTENS LÄN</t>
        </is>
      </c>
      <c r="G336" t="inlineStr">
        <is>
          <t>DOROTEA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46091</v>
      </c>
      <c r="E337" s="1" t="n">
        <v>46254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46036</v>
      </c>
      <c r="E338" s="1" t="n">
        <v>46254</v>
      </c>
      <c r="F338" t="inlineStr">
        <is>
          <t>VÄSTERBOTTENS LÄN</t>
        </is>
      </c>
      <c r="G338" t="inlineStr">
        <is>
          <t>DOROTEA</t>
        </is>
      </c>
      <c r="I338" t="n">
        <v>11.8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46051</v>
      </c>
      <c r="E339" s="1" t="n">
        <v>46254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46254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14320-2024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46254</v>
      </c>
      <c r="F341" t="inlineStr">
        <is>
          <t>VÄSTERBOTTENS LÄN</t>
        </is>
      </c>
      <c r="G341" t="inlineStr">
        <is>
          <t>DOROTEA</t>
        </is>
      </c>
      <c r="I341" t="n">
        <v>10.2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6381-2026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46254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59418-2023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45253</v>
      </c>
      <c r="E343" s="1" t="n">
        <v>46254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7.6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46054</v>
      </c>
      <c r="E344" s="1" t="n">
        <v>46254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46254</v>
      </c>
      <c r="F345" t="inlineStr">
        <is>
          <t>VÄSTERBOTTENS LÄN</t>
        </is>
      </c>
      <c r="G345" t="inlineStr">
        <is>
          <t>DOROTEA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46059</v>
      </c>
      <c r="E346" s="1" t="n">
        <v>46254</v>
      </c>
      <c r="F346" t="inlineStr">
        <is>
          <t>VÄSTERBOTTENS LÄN</t>
        </is>
      </c>
      <c r="G346" t="inlineStr">
        <is>
          <t>DOROTEA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46254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46254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46254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52148-2023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45223</v>
      </c>
      <c r="E350" s="1" t="n">
        <v>46254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4617-2023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44956</v>
      </c>
      <c r="E351" s="1" t="n">
        <v>46254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9796-2026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46072</v>
      </c>
      <c r="E352" s="1" t="n">
        <v>46254</v>
      </c>
      <c r="F352" t="inlineStr">
        <is>
          <t>VÄSTERBOTTENS LÄN</t>
        </is>
      </c>
      <c r="G352" t="inlineStr">
        <is>
          <t>DOROTEA</t>
        </is>
      </c>
      <c r="I352" t="n">
        <v>20.1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56807-2021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44481</v>
      </c>
      <c r="E353" s="1" t="n">
        <v>46254</v>
      </c>
      <c r="F353" t="inlineStr">
        <is>
          <t>VÄSTERBOTTENS LÄN</t>
        </is>
      </c>
      <c r="G353" t="inlineStr">
        <is>
          <t>DOROTEA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59395-2023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45253</v>
      </c>
      <c r="E354" s="1" t="n">
        <v>46254</v>
      </c>
      <c r="F354" t="inlineStr">
        <is>
          <t>VÄSTERBOTTENS LÄN</t>
        </is>
      </c>
      <c r="G354" t="inlineStr">
        <is>
          <t>DOROTEA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59397-2023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45253</v>
      </c>
      <c r="E355" s="1" t="n">
        <v>46254</v>
      </c>
      <c r="F355" t="inlineStr">
        <is>
          <t>VÄSTERBOTTENS LÄN</t>
        </is>
      </c>
      <c r="G355" t="inlineStr">
        <is>
          <t>DOROTEA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45148</v>
      </c>
      <c r="E356" s="1" t="n">
        <v>46254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46818-2023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46254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12082-2026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46086</v>
      </c>
      <c r="E358" s="1" t="n">
        <v>46254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11817-2026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46085</v>
      </c>
      <c r="E359" s="1" t="n">
        <v>46254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57955-2021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44484</v>
      </c>
      <c r="E360" s="1" t="n">
        <v>46254</v>
      </c>
      <c r="F360" t="inlineStr">
        <is>
          <t>VÄSTERBOTTENS LÄN</t>
        </is>
      </c>
      <c r="G360" t="inlineStr">
        <is>
          <t>DOROTEA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45852</v>
      </c>
      <c r="E361" s="1" t="n">
        <v>46254</v>
      </c>
      <c r="F361" t="inlineStr">
        <is>
          <t>VÄSTERBOTTENS LÄN</t>
        </is>
      </c>
      <c r="G361" t="inlineStr">
        <is>
          <t>DOROTEA</t>
        </is>
      </c>
      <c r="H361" t="inlineStr">
        <is>
          <t>Allmännings- och besparingsskogar</t>
        </is>
      </c>
      <c r="I361" t="n">
        <v>22.1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35203-2025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45852</v>
      </c>
      <c r="E362" s="1" t="n">
        <v>46254</v>
      </c>
      <c r="F362" t="inlineStr">
        <is>
          <t>VÄSTERBOTTENS LÄN</t>
        </is>
      </c>
      <c r="G362" t="inlineStr">
        <is>
          <t>DOROTEA</t>
        </is>
      </c>
      <c r="H362" t="inlineStr">
        <is>
          <t>Allmännings- och besparingsskogar</t>
        </is>
      </c>
      <c r="I362" t="n">
        <v>20.3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57071-2023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45244</v>
      </c>
      <c r="E363" s="1" t="n">
        <v>46254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45755</v>
      </c>
      <c r="E364" s="1" t="n">
        <v>46254</v>
      </c>
      <c r="F364" t="inlineStr">
        <is>
          <t>VÄSTERBOTTENS LÄN</t>
        </is>
      </c>
      <c r="G364" t="inlineStr">
        <is>
          <t>DOROTEA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46254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44494</v>
      </c>
      <c r="E366" s="1" t="n">
        <v>46254</v>
      </c>
      <c r="F366" t="inlineStr">
        <is>
          <t>VÄSTERBOTTENS LÄN</t>
        </is>
      </c>
      <c r="G366" t="inlineStr">
        <is>
          <t>DOROTEA</t>
        </is>
      </c>
      <c r="I366" t="n">
        <v>13.3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46254</v>
      </c>
      <c r="F367" t="inlineStr">
        <is>
          <t>VÄSTERBOTTENS LÄN</t>
        </is>
      </c>
      <c r="G367" t="inlineStr">
        <is>
          <t>DOROTEA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46254</v>
      </c>
      <c r="F368" t="inlineStr">
        <is>
          <t>VÄSTERBOTTENS LÄN</t>
        </is>
      </c>
      <c r="G368" t="inlineStr">
        <is>
          <t>DOROTEA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46254</v>
      </c>
      <c r="F369" t="inlineStr">
        <is>
          <t>VÄSTERBOTTENS LÄN</t>
        </is>
      </c>
      <c r="G369" t="inlineStr">
        <is>
          <t>DOROTEA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15901-2026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46107</v>
      </c>
      <c r="E370" s="1" t="n">
        <v>46254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46817-2022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44848</v>
      </c>
      <c r="E371" s="1" t="n">
        <v>46254</v>
      </c>
      <c r="F371" t="inlineStr">
        <is>
          <t>VÄSTERBOTTENS LÄN</t>
        </is>
      </c>
      <c r="G371" t="inlineStr">
        <is>
          <t>DOROTEA</t>
        </is>
      </c>
      <c r="I371" t="n">
        <v>29.8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13035-2024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45385</v>
      </c>
      <c r="E372" s="1" t="n">
        <v>46254</v>
      </c>
      <c r="F372" t="inlineStr">
        <is>
          <t>VÄSTERBOTTENS LÄN</t>
        </is>
      </c>
      <c r="G372" t="inlineStr">
        <is>
          <t>DOROTEA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16251-2026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46254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46254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16352-2026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46254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33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46966-2024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45586</v>
      </c>
      <c r="E376" s="1" t="n">
        <v>46254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Sveaskog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16985-2026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46114</v>
      </c>
      <c r="E377" s="1" t="n">
        <v>46254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45075</v>
      </c>
      <c r="E378" s="1" t="n">
        <v>46254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44748</v>
      </c>
      <c r="E379" s="1" t="n">
        <v>46254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45488</v>
      </c>
      <c r="E380" s="1" t="n">
        <v>46254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46113</v>
      </c>
      <c r="E381" s="1" t="n">
        <v>46254</v>
      </c>
      <c r="F381" t="inlineStr">
        <is>
          <t>VÄSTERBOTTENS LÄN</t>
        </is>
      </c>
      <c r="G381" t="inlineStr">
        <is>
          <t>DOROTEA</t>
        </is>
      </c>
      <c r="H381" t="inlineStr">
        <is>
          <t>Kommuner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43092-2023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45182</v>
      </c>
      <c r="E382" s="1" t="n">
        <v>46254</v>
      </c>
      <c r="F382" t="inlineStr">
        <is>
          <t>VÄSTERBOTTENS LÄN</t>
        </is>
      </c>
      <c r="G382" t="inlineStr">
        <is>
          <t>DOROTEA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46254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8.6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17623-2026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46254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20.3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18310-2026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46126</v>
      </c>
      <c r="E385" s="1" t="n">
        <v>46254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17971-2026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46123</v>
      </c>
      <c r="E386" s="1" t="n">
        <v>46254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46125</v>
      </c>
      <c r="E387" s="1" t="n">
        <v>46254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18.3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18254-2026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46254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18157-2026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46125</v>
      </c>
      <c r="E389" s="1" t="n">
        <v>46254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18143-2026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46125</v>
      </c>
      <c r="E390" s="1" t="n">
        <v>46254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46254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46133</v>
      </c>
      <c r="E392" s="1" t="n">
        <v>46254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19445-2026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46133</v>
      </c>
      <c r="E393" s="1" t="n">
        <v>46254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19446-2026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46254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45572</v>
      </c>
      <c r="E395" s="1" t="n">
        <v>46254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45478</v>
      </c>
      <c r="E396" s="1" t="n">
        <v>46254</v>
      </c>
      <c r="F396" t="inlineStr">
        <is>
          <t>VÄSTERBOTTENS LÄN</t>
        </is>
      </c>
      <c r="G396" t="inlineStr">
        <is>
          <t>DOROTEA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53382-2024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45614</v>
      </c>
      <c r="E397" s="1" t="n">
        <v>46254</v>
      </c>
      <c r="F397" t="inlineStr">
        <is>
          <t>VÄSTERBOTTENS LÄN</t>
        </is>
      </c>
      <c r="G397" t="inlineStr">
        <is>
          <t>DOROTEA</t>
        </is>
      </c>
      <c r="I397" t="n">
        <v>11.2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45846</v>
      </c>
      <c r="E398" s="1" t="n">
        <v>46254</v>
      </c>
      <c r="F398" t="inlineStr">
        <is>
          <t>VÄSTERBOTTENS LÄN</t>
        </is>
      </c>
      <c r="G398" t="inlineStr">
        <is>
          <t>DOROTEA</t>
        </is>
      </c>
      <c r="I398" t="n">
        <v>14.7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20316-2026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46136</v>
      </c>
      <c r="E399" s="1" t="n">
        <v>46254</v>
      </c>
      <c r="F399" t="inlineStr">
        <is>
          <t>VÄSTERBOTTENS LÄN</t>
        </is>
      </c>
      <c r="G399" t="inlineStr">
        <is>
          <t>DOROTEA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20333-2026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46136</v>
      </c>
      <c r="E400" s="1" t="n">
        <v>46254</v>
      </c>
      <c r="F400" t="inlineStr">
        <is>
          <t>VÄSTERBOTTENS LÄN</t>
        </is>
      </c>
      <c r="G400" t="inlineStr">
        <is>
          <t>DOROTEA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42104-2024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45562</v>
      </c>
      <c r="E401" s="1" t="n">
        <v>46254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44888</v>
      </c>
      <c r="E402" s="1" t="n">
        <v>46254</v>
      </c>
      <c r="F402" t="inlineStr">
        <is>
          <t>VÄSTERBOTTENS LÄN</t>
        </is>
      </c>
      <c r="G402" t="inlineStr">
        <is>
          <t>DOROTEA</t>
        </is>
      </c>
      <c r="I402" t="n">
        <v>15.8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45705</v>
      </c>
      <c r="E403" s="1" t="n">
        <v>46254</v>
      </c>
      <c r="F403" t="inlineStr">
        <is>
          <t>VÄSTERBOTTENS LÄN</t>
        </is>
      </c>
      <c r="G403" t="inlineStr">
        <is>
          <t>DOROTEA</t>
        </is>
      </c>
      <c r="I403" t="n">
        <v>13.3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20390-2026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46139</v>
      </c>
      <c r="E404" s="1" t="n">
        <v>46254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45351</v>
      </c>
      <c r="E405" s="1" t="n">
        <v>46254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22774-2025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45789</v>
      </c>
      <c r="E406" s="1" t="n">
        <v>46254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20332-2026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46136</v>
      </c>
      <c r="E407" s="1" t="n">
        <v>46254</v>
      </c>
      <c r="F407" t="inlineStr">
        <is>
          <t>VÄSTERBOTTENS LÄN</t>
        </is>
      </c>
      <c r="G407" t="inlineStr">
        <is>
          <t>DOROTEA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46136</v>
      </c>
      <c r="E408" s="1" t="n">
        <v>46254</v>
      </c>
      <c r="F408" t="inlineStr">
        <is>
          <t>VÄSTERBOTTENS LÄN</t>
        </is>
      </c>
      <c r="G408" t="inlineStr">
        <is>
          <t>DOROTEA</t>
        </is>
      </c>
      <c r="I408" t="n">
        <v>6.1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13451-2022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44645</v>
      </c>
      <c r="E409" s="1" t="n">
        <v>46254</v>
      </c>
      <c r="F409" t="inlineStr">
        <is>
          <t>VÄSTERBOTTENS LÄN</t>
        </is>
      </c>
      <c r="G409" t="inlineStr">
        <is>
          <t>DOROTEA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19889-2025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45771</v>
      </c>
      <c r="E410" s="1" t="n">
        <v>46254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46254</v>
      </c>
      <c r="F411" t="inlineStr">
        <is>
          <t>VÄSTERBOTTENS LÄN</t>
        </is>
      </c>
      <c r="G411" t="inlineStr">
        <is>
          <t>DOROTEA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29737-2024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45485</v>
      </c>
      <c r="E412" s="1" t="n">
        <v>46254</v>
      </c>
      <c r="F412" t="inlineStr">
        <is>
          <t>VÄSTERBOTTENS LÄN</t>
        </is>
      </c>
      <c r="G412" t="inlineStr">
        <is>
          <t>DOROTEA</t>
        </is>
      </c>
      <c r="I412" t="n">
        <v>10.2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45792</v>
      </c>
      <c r="E413" s="1" t="n">
        <v>46254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39470-2024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45551</v>
      </c>
      <c r="E414" s="1" t="n">
        <v>46254</v>
      </c>
      <c r="F414" t="inlineStr">
        <is>
          <t>VÄSTERBOTTENS LÄN</t>
        </is>
      </c>
      <c r="G414" t="inlineStr">
        <is>
          <t>DOROTEA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45517</v>
      </c>
      <c r="E415" s="1" t="n">
        <v>46254</v>
      </c>
      <c r="F415" t="inlineStr">
        <is>
          <t>VÄSTERBOTTENS LÄN</t>
        </is>
      </c>
      <c r="G415" t="inlineStr">
        <is>
          <t>DOROTEA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53380-2024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45614</v>
      </c>
      <c r="E416" s="1" t="n">
        <v>46254</v>
      </c>
      <c r="F416" t="inlineStr">
        <is>
          <t>VÄSTERBOTTENS LÄN</t>
        </is>
      </c>
      <c r="G416" t="inlineStr">
        <is>
          <t>DOROTEA</t>
        </is>
      </c>
      <c r="I416" t="n">
        <v>12.8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45803</v>
      </c>
      <c r="E417" s="1" t="n">
        <v>46254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25356-2025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45800</v>
      </c>
      <c r="E418" s="1" t="n">
        <v>46254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45805</v>
      </c>
      <c r="E419" s="1" t="n">
        <v>46254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26481-2025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45807</v>
      </c>
      <c r="E420" s="1" t="n">
        <v>46254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26480-2025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45807</v>
      </c>
      <c r="E421" s="1" t="n">
        <v>46254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45664</v>
      </c>
      <c r="E422" s="1" t="n">
        <v>46254</v>
      </c>
      <c r="F422" t="inlineStr">
        <is>
          <t>VÄSTERBOTTENS LÄN</t>
        </is>
      </c>
      <c r="G422" t="inlineStr">
        <is>
          <t>DOROTEA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14759-2025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45742</v>
      </c>
      <c r="E423" s="1" t="n">
        <v>46254</v>
      </c>
      <c r="F423" t="inlineStr">
        <is>
          <t>VÄSTERBOTTENS LÄN</t>
        </is>
      </c>
      <c r="G423" t="inlineStr">
        <is>
          <t>DOROTEA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26904-2025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46254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45817</v>
      </c>
      <c r="E425" s="1" t="n">
        <v>46254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45824</v>
      </c>
      <c r="E426" s="1" t="n">
        <v>46254</v>
      </c>
      <c r="F426" t="inlineStr">
        <is>
          <t>VÄSTERBOTTENS LÄN</t>
        </is>
      </c>
      <c r="G426" t="inlineStr">
        <is>
          <t>DOROTEA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45833</v>
      </c>
      <c r="E427" s="1" t="n">
        <v>46254</v>
      </c>
      <c r="F427" t="inlineStr">
        <is>
          <t>VÄSTERBOTTENS LÄN</t>
        </is>
      </c>
      <c r="G427" t="inlineStr">
        <is>
          <t>DOROTEA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31510-2025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45833</v>
      </c>
      <c r="E428" s="1" t="n">
        <v>46254</v>
      </c>
      <c r="F428" t="inlineStr">
        <is>
          <t>VÄSTERBOTTENS LÄN</t>
        </is>
      </c>
      <c r="G428" t="inlineStr">
        <is>
          <t>DOROTEA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33267-2025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45840</v>
      </c>
      <c r="E429" s="1" t="n">
        <v>46254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45847</v>
      </c>
      <c r="E430" s="1" t="n">
        <v>46254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45846</v>
      </c>
      <c r="E431" s="1" t="n">
        <v>46254</v>
      </c>
      <c r="F431" t="inlineStr">
        <is>
          <t>VÄSTERBOTTENS LÄN</t>
        </is>
      </c>
      <c r="G431" t="inlineStr">
        <is>
          <t>DOROTEA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45848</v>
      </c>
      <c r="E432" s="1" t="n">
        <v>46254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34856-2025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45849</v>
      </c>
      <c r="E433" s="1" t="n">
        <v>46254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45852</v>
      </c>
      <c r="E434" s="1" t="n">
        <v>46254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45855</v>
      </c>
      <c r="E435" s="1" t="n">
        <v>46254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35456-2025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45855</v>
      </c>
      <c r="E436" s="1" t="n">
        <v>46254</v>
      </c>
      <c r="F436" t="inlineStr">
        <is>
          <t>VÄSTERBOTTENS LÄN</t>
        </is>
      </c>
      <c r="G436" t="inlineStr">
        <is>
          <t>DOROTEA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35438-2025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45855</v>
      </c>
      <c r="E437" s="1" t="n">
        <v>46254</v>
      </c>
      <c r="F437" t="inlineStr">
        <is>
          <t>VÄSTERBOTTENS LÄN</t>
        </is>
      </c>
      <c r="G437" t="inlineStr">
        <is>
          <t>DOROTEA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35458-2025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45855</v>
      </c>
      <c r="E438" s="1" t="n">
        <v>46254</v>
      </c>
      <c r="F438" t="inlineStr">
        <is>
          <t>VÄSTERBOTTENS LÄN</t>
        </is>
      </c>
      <c r="G438" t="inlineStr">
        <is>
          <t>DOROTEA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36111-2025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45866</v>
      </c>
      <c r="E439" s="1" t="n">
        <v>46254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45866</v>
      </c>
      <c r="E440" s="1" t="n">
        <v>46254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36845-2025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45874</v>
      </c>
      <c r="E441" s="1" t="n">
        <v>46254</v>
      </c>
      <c r="F441" t="inlineStr">
        <is>
          <t>VÄSTERBOTTENS LÄN</t>
        </is>
      </c>
      <c r="G441" t="inlineStr">
        <is>
          <t>DOROTEA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36844-2025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45874</v>
      </c>
      <c r="E442" s="1" t="n">
        <v>46254</v>
      </c>
      <c r="F442" t="inlineStr">
        <is>
          <t>VÄSTERBOTTENS LÄN</t>
        </is>
      </c>
      <c r="G442" t="inlineStr">
        <is>
          <t>DOROTEA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45875</v>
      </c>
      <c r="E443" s="1" t="n">
        <v>46254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37259-2025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45876</v>
      </c>
      <c r="E444" s="1" t="n">
        <v>46254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45877</v>
      </c>
      <c r="E445" s="1" t="n">
        <v>46254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37276-2025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45876</v>
      </c>
      <c r="E446" s="1" t="n">
        <v>46254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38099-2025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45882</v>
      </c>
      <c r="E447" s="1" t="n">
        <v>46254</v>
      </c>
      <c r="F447" t="inlineStr">
        <is>
          <t>VÄSTERBOTTENS LÄN</t>
        </is>
      </c>
      <c r="G447" t="inlineStr">
        <is>
          <t>DOROTEA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38100-2025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45882</v>
      </c>
      <c r="E448" s="1" t="n">
        <v>46254</v>
      </c>
      <c r="F448" t="inlineStr">
        <is>
          <t>VÄSTERBOTTENS LÄN</t>
        </is>
      </c>
      <c r="G448" t="inlineStr">
        <is>
          <t>DOROTEA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38097-2025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45882</v>
      </c>
      <c r="E449" s="1" t="n">
        <v>46254</v>
      </c>
      <c r="F449" t="inlineStr">
        <is>
          <t>VÄSTERBOTTENS LÄN</t>
        </is>
      </c>
      <c r="G449" t="inlineStr">
        <is>
          <t>DOROTEA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38098-2025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45882</v>
      </c>
      <c r="E450" s="1" t="n">
        <v>46254</v>
      </c>
      <c r="F450" t="inlineStr">
        <is>
          <t>VÄSTERBOTTENS LÄN</t>
        </is>
      </c>
      <c r="G450" t="inlineStr">
        <is>
          <t>DOROTEA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38227-2025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45883</v>
      </c>
      <c r="E451" s="1" t="n">
        <v>46254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45883</v>
      </c>
      <c r="E452" s="1" t="n">
        <v>46254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38101-2025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45882</v>
      </c>
      <c r="E453" s="1" t="n">
        <v>46254</v>
      </c>
      <c r="F453" t="inlineStr">
        <is>
          <t>VÄSTERBOTTENS LÄN</t>
        </is>
      </c>
      <c r="G453" t="inlineStr">
        <is>
          <t>DOROTEA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8709-2025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45712</v>
      </c>
      <c r="E454" s="1" t="n">
        <v>46254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2945-2024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45506</v>
      </c>
      <c r="E455" s="1" t="n">
        <v>46254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1058-2025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45749</v>
      </c>
      <c r="E456" s="1" t="n">
        <v>46254</v>
      </c>
      <c r="F456" t="inlineStr">
        <is>
          <t>VÄSTERBOTTENS LÄN</t>
        </is>
      </c>
      <c r="G456" t="inlineStr">
        <is>
          <t>DOROTEA</t>
        </is>
      </c>
      <c r="I456" t="n">
        <v>10.9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844-2025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45733</v>
      </c>
      <c r="E457" s="1" t="n">
        <v>46254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1293.5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2195-2025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45858</v>
      </c>
      <c r="E458" s="1" t="n">
        <v>46254</v>
      </c>
      <c r="F458" t="inlineStr">
        <is>
          <t>VÄSTERBOTTENS LÄN</t>
        </is>
      </c>
      <c r="G458" t="inlineStr">
        <is>
          <t>DOROTEA</t>
        </is>
      </c>
      <c r="I458" t="n">
        <v>27.4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2283-2025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45876</v>
      </c>
      <c r="E459" s="1" t="n">
        <v>46254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2360-2025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45889</v>
      </c>
      <c r="E460" s="1" t="n">
        <v>46254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>
      <c r="A461" t="inlineStr">
        <is>
          <t>S 1763-2026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46189</v>
      </c>
      <c r="E461" s="1" t="n">
        <v>46254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2026-08-20T01:47:31Z</dcterms:created>
  <dcterms:modified xmlns:dcterms="http://purl.org/dc/terms/" xmlns:xsi="http://www.w3.org/2001/XMLSchema-instance" xsi:type="dcterms:W3CDTF">2026-08-20T01:47:32Z</dcterms:modified>
</cp:coreProperties>
</file>