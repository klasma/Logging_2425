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45842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45842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45842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45842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45842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45842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45842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45842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45842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45842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45842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45842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45842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45842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45842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45842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45842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45842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45842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45842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45842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45842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45842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45842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45842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45842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45842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45842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45842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45842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45842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45842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45842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45842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45842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45842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45842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45842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45842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45842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45842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45842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45842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45842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45842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45842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33263-2025</t>
        </is>
      </c>
      <c r="B48" s="1" t="n">
        <v>45840</v>
      </c>
      <c r="C48" s="1" t="n">
        <v>45842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15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Vedticka</t>
        </is>
      </c>
      <c r="S48">
        <f>HYPERLINK("https://klasma.github.io/Logging_242425/artfynd/A 33263-2025 artfynd.xlsx", "A 33263-2025")</f>
        <v/>
      </c>
      <c r="T48">
        <f>HYPERLINK("https://klasma.github.io/Logging_242425/kartor/A 33263-2025 karta.png", "A 33263-2025")</f>
        <v/>
      </c>
      <c r="V48">
        <f>HYPERLINK("https://klasma.github.io/Logging_242425/klagomål/A 33263-2025 FSC-klagomål.docx", "A 33263-2025")</f>
        <v/>
      </c>
      <c r="W48">
        <f>HYPERLINK("https://klasma.github.io/Logging_242425/klagomålsmail/A 33263-2025 FSC-klagomål mail.docx", "A 33263-2025")</f>
        <v/>
      </c>
      <c r="X48">
        <f>HYPERLINK("https://klasma.github.io/Logging_242425/tillsyn/A 33263-2025 tillsynsbegäran.docx", "A 33263-2025")</f>
        <v/>
      </c>
      <c r="Y48">
        <f>HYPERLINK("https://klasma.github.io/Logging_242425/tillsynsmail/A 33263-2025 tillsynsbegäran mail.docx", "A 33263-2025")</f>
        <v/>
      </c>
    </row>
    <row r="49" ht="15" customHeight="1">
      <c r="A49" t="inlineStr">
        <is>
          <t>A 23064-2019</t>
        </is>
      </c>
      <c r="B49" s="1" t="n">
        <v>43591</v>
      </c>
      <c r="C49" s="1" t="n">
        <v>45842</v>
      </c>
      <c r="D49" t="inlineStr">
        <is>
          <t>VÄSTERBOTTENS LÄN</t>
        </is>
      </c>
      <c r="E49" t="inlineStr">
        <is>
          <t>DOROTEA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23064-2019 artfynd.xlsx", "A 23064-2019")</f>
        <v/>
      </c>
      <c r="T49">
        <f>HYPERLINK("https://klasma.github.io/Logging_2425/kartor/A 23064-2019 karta.png", "A 23064-2019")</f>
        <v/>
      </c>
      <c r="V49">
        <f>HYPERLINK("https://klasma.github.io/Logging_2425/klagomål/A 23064-2019 FSC-klagomål.docx", "A 23064-2019")</f>
        <v/>
      </c>
      <c r="W49">
        <f>HYPERLINK("https://klasma.github.io/Logging_2425/klagomålsmail/A 23064-2019 FSC-klagomål mail.docx", "A 23064-2019")</f>
        <v/>
      </c>
      <c r="X49">
        <f>HYPERLINK("https://klasma.github.io/Logging_2425/tillsyn/A 23064-2019 tillsynsbegäran.docx", "A 23064-2019")</f>
        <v/>
      </c>
      <c r="Y49">
        <f>HYPERLINK("https://klasma.github.io/Logging_2425/tillsynsmail/A 23064-2019 tillsynsbegäran mail.docx", "A 23064-2019")</f>
        <v/>
      </c>
    </row>
    <row r="50" ht="15" customHeight="1">
      <c r="A50" t="inlineStr">
        <is>
          <t>A 1978-2020</t>
        </is>
      </c>
      <c r="B50" s="1" t="n">
        <v>43838</v>
      </c>
      <c r="C50" s="1" t="n">
        <v>45842</v>
      </c>
      <c r="D50" t="inlineStr">
        <is>
          <t>VÄSTERBOTTENS LÄN</t>
        </is>
      </c>
      <c r="E50" t="inlineStr">
        <is>
          <t>DOROTEA</t>
        </is>
      </c>
      <c r="G50" t="n">
        <v>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Rosenfink</t>
        </is>
      </c>
      <c r="S50">
        <f>HYPERLINK("https://klasma.github.io/Logging_2425/artfynd/A 1978-2020 artfynd.xlsx", "A 1978-2020")</f>
        <v/>
      </c>
      <c r="T50">
        <f>HYPERLINK("https://klasma.github.io/Logging_2425/kartor/A 1978-2020 karta.png", "A 1978-2020")</f>
        <v/>
      </c>
      <c r="V50">
        <f>HYPERLINK("https://klasma.github.io/Logging_2425/klagomål/A 1978-2020 FSC-klagomål.docx", "A 1978-2020")</f>
        <v/>
      </c>
      <c r="W50">
        <f>HYPERLINK("https://klasma.github.io/Logging_2425/klagomålsmail/A 1978-2020 FSC-klagomål mail.docx", "A 1978-2020")</f>
        <v/>
      </c>
      <c r="X50">
        <f>HYPERLINK("https://klasma.github.io/Logging_2425/tillsyn/A 1978-2020 tillsynsbegäran.docx", "A 1978-2020")</f>
        <v/>
      </c>
      <c r="Y50">
        <f>HYPERLINK("https://klasma.github.io/Logging_2425/tillsynsmail/A 1978-2020 tillsynsbegäran mail.docx", "A 1978-2020")</f>
        <v/>
      </c>
      <c r="Z50">
        <f>HYPERLINK("https://klasma.github.io/Logging_2425/fåglar/A 1978-2020 prioriterade fågelarter.docx", "A 1978-2020")</f>
        <v/>
      </c>
    </row>
    <row r="51" ht="15" customHeight="1">
      <c r="A51" t="inlineStr">
        <is>
          <t>A 49683-2020</t>
        </is>
      </c>
      <c r="B51" s="1" t="n">
        <v>44104</v>
      </c>
      <c r="C51" s="1" t="n">
        <v>45842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HYPERLINK("https://klasma.github.io/Logging_2425/artfynd/A 49683-2020 artfynd.xlsx", "A 49683-2020")</f>
        <v/>
      </c>
      <c r="T51">
        <f>HYPERLINK("https://klasma.github.io/Logging_2425/kartor/A 49683-2020 karta.png", "A 49683-2020")</f>
        <v/>
      </c>
      <c r="V51">
        <f>HYPERLINK("https://klasma.github.io/Logging_2425/klagomål/A 49683-2020 FSC-klagomål.docx", "A 49683-2020")</f>
        <v/>
      </c>
      <c r="W51">
        <f>HYPERLINK("https://klasma.github.io/Logging_2425/klagomålsmail/A 49683-2020 FSC-klagomål mail.docx", "A 49683-2020")</f>
        <v/>
      </c>
      <c r="X51">
        <f>HYPERLINK("https://klasma.github.io/Logging_2425/tillsyn/A 49683-2020 tillsynsbegäran.docx", "A 49683-2020")</f>
        <v/>
      </c>
      <c r="Y51">
        <f>HYPERLINK("https://klasma.github.io/Logging_2425/tillsynsmail/A 49683-2020 tillsynsbegäran mail.docx", "A 49683-2020")</f>
        <v/>
      </c>
    </row>
    <row r="52" ht="15" customHeight="1">
      <c r="A52" t="inlineStr">
        <is>
          <t>A 67790-2021</t>
        </is>
      </c>
      <c r="B52" s="1" t="n">
        <v>44526</v>
      </c>
      <c r="C52" s="1" t="n">
        <v>45842</v>
      </c>
      <c r="D52" t="inlineStr">
        <is>
          <t>VÄSTERBOTTENS LÄN</t>
        </is>
      </c>
      <c r="E52" t="inlineStr">
        <is>
          <t>DOROTEA</t>
        </is>
      </c>
      <c r="F52" t="inlineStr">
        <is>
          <t>Övriga statliga verk och myndigheter</t>
        </is>
      </c>
      <c r="G52" t="n">
        <v>3.2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HYPERLINK("https://klasma.github.io/Logging_2425/artfynd/A 67790-2021 artfynd.xlsx", "A 67790-2021")</f>
        <v/>
      </c>
      <c r="T52">
        <f>HYPERLINK("https://klasma.github.io/Logging_2425/kartor/A 67790-2021 karta.png", "A 67790-2021")</f>
        <v/>
      </c>
      <c r="V52">
        <f>HYPERLINK("https://klasma.github.io/Logging_2425/klagomål/A 67790-2021 FSC-klagomål.docx", "A 67790-2021")</f>
        <v/>
      </c>
      <c r="W52">
        <f>HYPERLINK("https://klasma.github.io/Logging_2425/klagomålsmail/A 67790-2021 FSC-klagomål mail.docx", "A 67790-2021")</f>
        <v/>
      </c>
      <c r="X52">
        <f>HYPERLINK("https://klasma.github.io/Logging_2425/tillsyn/A 67790-2021 tillsynsbegäran.docx", "A 67790-2021")</f>
        <v/>
      </c>
      <c r="Y52">
        <f>HYPERLINK("https://klasma.github.io/Logging_2425/tillsynsmail/A 67790-2021 tillsynsbegäran mail.docx", "A 67790-2021")</f>
        <v/>
      </c>
      <c r="Z52">
        <f>HYPERLINK("https://klasma.github.io/Logging_2425/fåglar/A 67790-2021 prioriterade fågelarter.docx", "A 67790-2021")</f>
        <v/>
      </c>
    </row>
    <row r="53" ht="15" customHeight="1">
      <c r="A53" t="inlineStr">
        <is>
          <t>A 44036-2022</t>
        </is>
      </c>
      <c r="B53" s="1" t="n">
        <v>44838</v>
      </c>
      <c r="C53" s="1" t="n">
        <v>45842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HYPERLINK("https://klasma.github.io/Logging_2425/artfynd/A 44036-2022 artfynd.xlsx", "A 44036-2022")</f>
        <v/>
      </c>
      <c r="T53">
        <f>HYPERLINK("https://klasma.github.io/Logging_2425/kartor/A 44036-2022 karta.png", "A 44036-2022")</f>
        <v/>
      </c>
      <c r="V53">
        <f>HYPERLINK("https://klasma.github.io/Logging_2425/klagomål/A 44036-2022 FSC-klagomål.docx", "A 44036-2022")</f>
        <v/>
      </c>
      <c r="W53">
        <f>HYPERLINK("https://klasma.github.io/Logging_2425/klagomålsmail/A 44036-2022 FSC-klagomål mail.docx", "A 44036-2022")</f>
        <v/>
      </c>
      <c r="X53">
        <f>HYPERLINK("https://klasma.github.io/Logging_2425/tillsyn/A 44036-2022 tillsynsbegäran.docx", "A 44036-2022")</f>
        <v/>
      </c>
      <c r="Y53">
        <f>HYPERLINK("https://klasma.github.io/Logging_2425/tillsynsmail/A 44036-2022 tillsynsbegäran mail.docx", "A 44036-2022")</f>
        <v/>
      </c>
    </row>
    <row r="54" ht="15" customHeight="1">
      <c r="A54" t="inlineStr">
        <is>
          <t>A 44389-2022</t>
        </is>
      </c>
      <c r="B54" s="1" t="n">
        <v>44838</v>
      </c>
      <c r="C54" s="1" t="n">
        <v>45842</v>
      </c>
      <c r="D54" t="inlineStr">
        <is>
          <t>VÄSTERBOTTENS LÄN</t>
        </is>
      </c>
      <c r="E54" t="inlineStr">
        <is>
          <t>DOROTEA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HYPERLINK("https://klasma.github.io/Logging_2425/artfynd/A 44389-2022 artfynd.xlsx", "A 44389-2022")</f>
        <v/>
      </c>
      <c r="T54">
        <f>HYPERLINK("https://klasma.github.io/Logging_2425/kartor/A 44389-2022 karta.png", "A 44389-2022")</f>
        <v/>
      </c>
      <c r="V54">
        <f>HYPERLINK("https://klasma.github.io/Logging_2425/klagomål/A 44389-2022 FSC-klagomål.docx", "A 44389-2022")</f>
        <v/>
      </c>
      <c r="W54">
        <f>HYPERLINK("https://klasma.github.io/Logging_2425/klagomålsmail/A 44389-2022 FSC-klagomål mail.docx", "A 44389-2022")</f>
        <v/>
      </c>
      <c r="X54">
        <f>HYPERLINK("https://klasma.github.io/Logging_2425/tillsyn/A 44389-2022 tillsynsbegäran.docx", "A 44389-2022")</f>
        <v/>
      </c>
      <c r="Y54">
        <f>HYPERLINK("https://klasma.github.io/Logging_2425/tillsynsmail/A 44389-2022 tillsynsbegäran mail.docx", "A 44389-2022")</f>
        <v/>
      </c>
    </row>
    <row r="55" ht="15" customHeight="1">
      <c r="A55" t="inlineStr">
        <is>
          <t>A 48089-2022</t>
        </is>
      </c>
      <c r="B55" s="1" t="n">
        <v>44855</v>
      </c>
      <c r="C55" s="1" t="n">
        <v>45842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9.199999999999999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HYPERLINK("https://klasma.github.io/Logging_2425/artfynd/A 48089-2022 artfynd.xlsx", "A 48089-2022")</f>
        <v/>
      </c>
      <c r="T55">
        <f>HYPERLINK("https://klasma.github.io/Logging_2425/kartor/A 48089-2022 karta.png", "A 48089-2022")</f>
        <v/>
      </c>
      <c r="V55">
        <f>HYPERLINK("https://klasma.github.io/Logging_2425/klagomål/A 48089-2022 FSC-klagomål.docx", "A 48089-2022")</f>
        <v/>
      </c>
      <c r="W55">
        <f>HYPERLINK("https://klasma.github.io/Logging_2425/klagomålsmail/A 48089-2022 FSC-klagomål mail.docx", "A 48089-2022")</f>
        <v/>
      </c>
      <c r="X55">
        <f>HYPERLINK("https://klasma.github.io/Logging_2425/tillsyn/A 48089-2022 tillsynsbegäran.docx", "A 48089-2022")</f>
        <v/>
      </c>
      <c r="Y55">
        <f>HYPERLINK("https://klasma.github.io/Logging_2425/tillsynsmail/A 48089-2022 tillsynsbegäran mail.docx", "A 48089-2022")</f>
        <v/>
      </c>
    </row>
    <row r="56" ht="15" customHeight="1">
      <c r="A56" t="inlineStr">
        <is>
          <t>A 53309-2022</t>
        </is>
      </c>
      <c r="B56" s="1" t="n">
        <v>44878</v>
      </c>
      <c r="C56" s="1" t="n">
        <v>45842</v>
      </c>
      <c r="D56" t="inlineStr">
        <is>
          <t>VÄSTERBOTTENS LÄN</t>
        </is>
      </c>
      <c r="E56" t="inlineStr">
        <is>
          <t>DOROTEA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Göktyta</t>
        </is>
      </c>
      <c r="S56">
        <f>HYPERLINK("https://klasma.github.io/Logging_2425/artfynd/A 53309-2022 artfynd.xlsx", "A 53309-2022")</f>
        <v/>
      </c>
      <c r="T56">
        <f>HYPERLINK("https://klasma.github.io/Logging_2425/kartor/A 53309-2022 karta.png", "A 53309-2022")</f>
        <v/>
      </c>
      <c r="V56">
        <f>HYPERLINK("https://klasma.github.io/Logging_2425/klagomål/A 53309-2022 FSC-klagomål.docx", "A 53309-2022")</f>
        <v/>
      </c>
      <c r="W56">
        <f>HYPERLINK("https://klasma.github.io/Logging_2425/klagomålsmail/A 53309-2022 FSC-klagomål mail.docx", "A 53309-2022")</f>
        <v/>
      </c>
      <c r="X56">
        <f>HYPERLINK("https://klasma.github.io/Logging_2425/tillsyn/A 53309-2022 tillsynsbegäran.docx", "A 53309-2022")</f>
        <v/>
      </c>
      <c r="Y56">
        <f>HYPERLINK("https://klasma.github.io/Logging_2425/tillsynsmail/A 53309-2022 tillsynsbegäran mail.docx", "A 53309-2022")</f>
        <v/>
      </c>
      <c r="Z56">
        <f>HYPERLINK("https://klasma.github.io/Logging_2425/fåglar/A 53309-2022 prioriterade fågelarter.docx", "A 53309-2022")</f>
        <v/>
      </c>
    </row>
    <row r="57" ht="15" customHeight="1">
      <c r="A57" t="inlineStr">
        <is>
          <t>A 4341-2023</t>
        </is>
      </c>
      <c r="B57" s="1" t="n">
        <v>44953</v>
      </c>
      <c r="C57" s="1" t="n">
        <v>45842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Luddlav</t>
        </is>
      </c>
      <c r="S57">
        <f>HYPERLINK("https://klasma.github.io/Logging_2425/artfynd/A 4341-2023 artfynd.xlsx", "A 4341-2023")</f>
        <v/>
      </c>
      <c r="T57">
        <f>HYPERLINK("https://klasma.github.io/Logging_2425/kartor/A 4341-2023 karta.png", "A 4341-2023")</f>
        <v/>
      </c>
      <c r="V57">
        <f>HYPERLINK("https://klasma.github.io/Logging_2425/klagomål/A 4341-2023 FSC-klagomål.docx", "A 4341-2023")</f>
        <v/>
      </c>
      <c r="W57">
        <f>HYPERLINK("https://klasma.github.io/Logging_2425/klagomålsmail/A 4341-2023 FSC-klagomål mail.docx", "A 4341-2023")</f>
        <v/>
      </c>
      <c r="X57">
        <f>HYPERLINK("https://klasma.github.io/Logging_2425/tillsyn/A 4341-2023 tillsynsbegäran.docx", "A 4341-2023")</f>
        <v/>
      </c>
      <c r="Y57">
        <f>HYPERLINK("https://klasma.github.io/Logging_2425/tillsynsmail/A 4341-2023 tillsynsbegäran mail.docx", "A 4341-2023")</f>
        <v/>
      </c>
    </row>
    <row r="58" ht="15" customHeight="1">
      <c r="A58" t="inlineStr">
        <is>
          <t>A 28716-2023</t>
        </is>
      </c>
      <c r="B58" s="1" t="n">
        <v>45103</v>
      </c>
      <c r="C58" s="1" t="n">
        <v>45842</v>
      </c>
      <c r="D58" t="inlineStr">
        <is>
          <t>VÄSTERBOTTENS LÄN</t>
        </is>
      </c>
      <c r="E58" t="inlineStr">
        <is>
          <t>DOROTEA</t>
        </is>
      </c>
      <c r="F58" t="inlineStr">
        <is>
          <t>Sveaskog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Bårdlav</t>
        </is>
      </c>
      <c r="S58">
        <f>HYPERLINK("https://klasma.github.io/Logging_2425/artfynd/A 28716-2023 artfynd.xlsx", "A 28716-2023")</f>
        <v/>
      </c>
      <c r="T58">
        <f>HYPERLINK("https://klasma.github.io/Logging_2425/kartor/A 28716-2023 karta.png", "A 28716-2023")</f>
        <v/>
      </c>
      <c r="V58">
        <f>HYPERLINK("https://klasma.github.io/Logging_2425/klagomål/A 28716-2023 FSC-klagomål.docx", "A 28716-2023")</f>
        <v/>
      </c>
      <c r="W58">
        <f>HYPERLINK("https://klasma.github.io/Logging_2425/klagomålsmail/A 28716-2023 FSC-klagomål mail.docx", "A 28716-2023")</f>
        <v/>
      </c>
      <c r="X58">
        <f>HYPERLINK("https://klasma.github.io/Logging_2425/tillsyn/A 28716-2023 tillsynsbegäran.docx", "A 28716-2023")</f>
        <v/>
      </c>
      <c r="Y58">
        <f>HYPERLINK("https://klasma.github.io/Logging_2425/tillsynsmail/A 28716-2023 tillsynsbegäran mail.docx", "A 28716-2023")</f>
        <v/>
      </c>
    </row>
    <row r="59" ht="15" customHeight="1">
      <c r="A59" t="inlineStr">
        <is>
          <t>A 46815-2023</t>
        </is>
      </c>
      <c r="B59" s="1" t="n">
        <v>45198</v>
      </c>
      <c r="C59" s="1" t="n">
        <v>45842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HYPERLINK("https://klasma.github.io/Logging_2425/artfynd/A 46815-2023 artfynd.xlsx", "A 46815-2023")</f>
        <v/>
      </c>
      <c r="T59">
        <f>HYPERLINK("https://klasma.github.io/Logging_2425/kartor/A 46815-2023 karta.png", "A 46815-2023")</f>
        <v/>
      </c>
      <c r="V59">
        <f>HYPERLINK("https://klasma.github.io/Logging_2425/klagomål/A 46815-2023 FSC-klagomål.docx", "A 46815-2023")</f>
        <v/>
      </c>
      <c r="W59">
        <f>HYPERLINK("https://klasma.github.io/Logging_2425/klagomålsmail/A 46815-2023 FSC-klagomål mail.docx", "A 46815-2023")</f>
        <v/>
      </c>
      <c r="X59">
        <f>HYPERLINK("https://klasma.github.io/Logging_2425/tillsyn/A 46815-2023 tillsynsbegäran.docx", "A 46815-2023")</f>
        <v/>
      </c>
      <c r="Y59">
        <f>HYPERLINK("https://klasma.github.io/Logging_2425/tillsynsmail/A 46815-2023 tillsynsbegäran mail.docx", "A 46815-2023")</f>
        <v/>
      </c>
    </row>
    <row r="60" ht="15" customHeight="1">
      <c r="A60" t="inlineStr">
        <is>
          <t>A 18973-2024</t>
        </is>
      </c>
      <c r="B60" s="1" t="n">
        <v>45427</v>
      </c>
      <c r="C60" s="1" t="n">
        <v>45842</v>
      </c>
      <c r="D60" t="inlineStr">
        <is>
          <t>VÄSTERBOTTENS LÄN</t>
        </is>
      </c>
      <c r="E60" t="inlineStr">
        <is>
          <t>DOROTEA</t>
        </is>
      </c>
      <c r="G60" t="n">
        <v>19.7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Brudsporre</t>
        </is>
      </c>
      <c r="S60">
        <f>HYPERLINK("https://klasma.github.io/Logging_2425/artfynd/A 18973-2024 artfynd.xlsx", "A 18973-2024")</f>
        <v/>
      </c>
      <c r="T60">
        <f>HYPERLINK("https://klasma.github.io/Logging_2425/kartor/A 18973-2024 karta.png", "A 18973-2024")</f>
        <v/>
      </c>
      <c r="V60">
        <f>HYPERLINK("https://klasma.github.io/Logging_2425/klagomål/A 18973-2024 FSC-klagomål.docx", "A 18973-2024")</f>
        <v/>
      </c>
      <c r="W60">
        <f>HYPERLINK("https://klasma.github.io/Logging_2425/klagomålsmail/A 18973-2024 FSC-klagomål mail.docx", "A 18973-2024")</f>
        <v/>
      </c>
      <c r="X60">
        <f>HYPERLINK("https://klasma.github.io/Logging_2425/tillsyn/A 18973-2024 tillsynsbegäran.docx", "A 18973-2024")</f>
        <v/>
      </c>
      <c r="Y60">
        <f>HYPERLINK("https://klasma.github.io/Logging_2425/tillsynsmail/A 18973-2024 tillsynsbegäran mail.docx", "A 18973-2024")</f>
        <v/>
      </c>
    </row>
    <row r="61" ht="15" customHeight="1">
      <c r="A61" t="inlineStr">
        <is>
          <t>A 27234-2024</t>
        </is>
      </c>
      <c r="B61" s="1" t="n">
        <v>45471</v>
      </c>
      <c r="C61" s="1" t="n">
        <v>45842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HYPERLINK("https://klasma.github.io/Logging_2425/artfynd/A 27234-2024 artfynd.xlsx", "A 27234-2024")</f>
        <v/>
      </c>
      <c r="T61">
        <f>HYPERLINK("https://klasma.github.io/Logging_2425/kartor/A 27234-2024 karta.png", "A 27234-2024")</f>
        <v/>
      </c>
      <c r="V61">
        <f>HYPERLINK("https://klasma.github.io/Logging_2425/klagomål/A 27234-2024 FSC-klagomål.docx", "A 27234-2024")</f>
        <v/>
      </c>
      <c r="W61">
        <f>HYPERLINK("https://klasma.github.io/Logging_2425/klagomålsmail/A 27234-2024 FSC-klagomål mail.docx", "A 27234-2024")</f>
        <v/>
      </c>
      <c r="X61">
        <f>HYPERLINK("https://klasma.github.io/Logging_2425/tillsyn/A 27234-2024 tillsynsbegäran.docx", "A 27234-2024")</f>
        <v/>
      </c>
      <c r="Y61">
        <f>HYPERLINK("https://klasma.github.io/Logging_2425/tillsynsmail/A 27234-2024 tillsynsbegäran mail.docx", "A 27234-2024")</f>
        <v/>
      </c>
    </row>
    <row r="62" ht="15" customHeight="1">
      <c r="A62" t="inlineStr">
        <is>
          <t>A 30373-2024</t>
        </is>
      </c>
      <c r="B62" s="1" t="n">
        <v>45491</v>
      </c>
      <c r="C62" s="1" t="n">
        <v>45842</v>
      </c>
      <c r="D62" t="inlineStr">
        <is>
          <t>VÄSTERBOTTENS LÄN</t>
        </is>
      </c>
      <c r="E62" t="inlineStr">
        <is>
          <t>DOROTEA</t>
        </is>
      </c>
      <c r="F62" t="inlineStr">
        <is>
          <t>Sveaskog</t>
        </is>
      </c>
      <c r="G62" t="n">
        <v>13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HYPERLINK("https://klasma.github.io/Logging_2425/artfynd/A 30373-2024 artfynd.xlsx", "A 30373-2024")</f>
        <v/>
      </c>
      <c r="T62">
        <f>HYPERLINK("https://klasma.github.io/Logging_2425/kartor/A 30373-2024 karta.png", "A 30373-2024")</f>
        <v/>
      </c>
      <c r="V62">
        <f>HYPERLINK("https://klasma.github.io/Logging_2425/klagomål/A 30373-2024 FSC-klagomål.docx", "A 30373-2024")</f>
        <v/>
      </c>
      <c r="W62">
        <f>HYPERLINK("https://klasma.github.io/Logging_2425/klagomålsmail/A 30373-2024 FSC-klagomål mail.docx", "A 30373-2024")</f>
        <v/>
      </c>
      <c r="X62">
        <f>HYPERLINK("https://klasma.github.io/Logging_2425/tillsyn/A 30373-2024 tillsynsbegäran.docx", "A 30373-2024")</f>
        <v/>
      </c>
      <c r="Y62">
        <f>HYPERLINK("https://klasma.github.io/Logging_2425/tillsynsmail/A 30373-2024 tillsynsbegäran mail.docx", "A 30373-2024")</f>
        <v/>
      </c>
    </row>
    <row r="63" ht="15" customHeight="1">
      <c r="A63" t="inlineStr">
        <is>
          <t>A 34750-2024</t>
        </is>
      </c>
      <c r="B63" s="1" t="n">
        <v>45526</v>
      </c>
      <c r="C63" s="1" t="n">
        <v>45842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HYPERLINK("https://klasma.github.io/Logging_2425/artfynd/A 34750-2024 artfynd.xlsx", "A 34750-2024")</f>
        <v/>
      </c>
      <c r="T63">
        <f>HYPERLINK("https://klasma.github.io/Logging_2425/kartor/A 34750-2024 karta.png", "A 34750-2024")</f>
        <v/>
      </c>
      <c r="V63">
        <f>HYPERLINK("https://klasma.github.io/Logging_2425/klagomål/A 34750-2024 FSC-klagomål.docx", "A 34750-2024")</f>
        <v/>
      </c>
      <c r="W63">
        <f>HYPERLINK("https://klasma.github.io/Logging_2425/klagomålsmail/A 34750-2024 FSC-klagomål mail.docx", "A 34750-2024")</f>
        <v/>
      </c>
      <c r="X63">
        <f>HYPERLINK("https://klasma.github.io/Logging_2425/tillsyn/A 34750-2024 tillsynsbegäran.docx", "A 34750-2024")</f>
        <v/>
      </c>
      <c r="Y63">
        <f>HYPERLINK("https://klasma.github.io/Logging_2425/tillsynsmail/A 34750-2024 tillsynsbegäran mail.docx", "A 34750-2024")</f>
        <v/>
      </c>
    </row>
    <row r="64" ht="15" customHeight="1">
      <c r="A64" t="inlineStr">
        <is>
          <t>A 36318-2024</t>
        </is>
      </c>
      <c r="B64" s="1" t="n">
        <v>45534</v>
      </c>
      <c r="C64" s="1" t="n">
        <v>45842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HYPERLINK("https://klasma.github.io/Logging_2425/artfynd/A 36318-2024 artfynd.xlsx", "A 36318-2024")</f>
        <v/>
      </c>
      <c r="T64">
        <f>HYPERLINK("https://klasma.github.io/Logging_2425/kartor/A 36318-2024 karta.png", "A 36318-2024")</f>
        <v/>
      </c>
      <c r="V64">
        <f>HYPERLINK("https://klasma.github.io/Logging_2425/klagomål/A 36318-2024 FSC-klagomål.docx", "A 36318-2024")</f>
        <v/>
      </c>
      <c r="W64">
        <f>HYPERLINK("https://klasma.github.io/Logging_2425/klagomålsmail/A 36318-2024 FSC-klagomål mail.docx", "A 36318-2024")</f>
        <v/>
      </c>
      <c r="X64">
        <f>HYPERLINK("https://klasma.github.io/Logging_2425/tillsyn/A 36318-2024 tillsynsbegäran.docx", "A 36318-2024")</f>
        <v/>
      </c>
      <c r="Y64">
        <f>HYPERLINK("https://klasma.github.io/Logging_2425/tillsynsmail/A 36318-2024 tillsynsbegäran mail.docx", "A 36318-2024")</f>
        <v/>
      </c>
    </row>
    <row r="65" ht="15" customHeight="1">
      <c r="A65" t="inlineStr">
        <is>
          <t>A 46836-2024</t>
        </is>
      </c>
      <c r="B65" s="1" t="n">
        <v>45583</v>
      </c>
      <c r="C65" s="1" t="n">
        <v>45842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HYPERLINK("https://klasma.github.io/Logging_2425/artfynd/A 46836-2024 artfynd.xlsx", "A 46836-2024")</f>
        <v/>
      </c>
      <c r="T65">
        <f>HYPERLINK("https://klasma.github.io/Logging_2425/kartor/A 46836-2024 karta.png", "A 46836-2024")</f>
        <v/>
      </c>
      <c r="V65">
        <f>HYPERLINK("https://klasma.github.io/Logging_2425/klagomål/A 46836-2024 FSC-klagomål.docx", "A 46836-2024")</f>
        <v/>
      </c>
      <c r="W65">
        <f>HYPERLINK("https://klasma.github.io/Logging_2425/klagomålsmail/A 46836-2024 FSC-klagomål mail.docx", "A 46836-2024")</f>
        <v/>
      </c>
      <c r="X65">
        <f>HYPERLINK("https://klasma.github.io/Logging_2425/tillsyn/A 46836-2024 tillsynsbegäran.docx", "A 46836-2024")</f>
        <v/>
      </c>
      <c r="Y65">
        <f>HYPERLINK("https://klasma.github.io/Logging_2425/tillsynsmail/A 46836-2024 tillsynsbegäran mail.docx", "A 46836-2024")</f>
        <v/>
      </c>
    </row>
    <row r="66" ht="15" customHeight="1">
      <c r="A66" t="inlineStr">
        <is>
          <t>A 55658-2024</t>
        </is>
      </c>
      <c r="B66" s="1" t="n">
        <v>45622</v>
      </c>
      <c r="C66" s="1" t="n">
        <v>45842</v>
      </c>
      <c r="D66" t="inlineStr">
        <is>
          <t>VÄSTERBOTTENS LÄN</t>
        </is>
      </c>
      <c r="E66" t="inlineStr">
        <is>
          <t>DOROTEA</t>
        </is>
      </c>
      <c r="F66" t="inlineStr">
        <is>
          <t>Övriga Aktiebolag</t>
        </is>
      </c>
      <c r="G66" t="n">
        <v>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Källpraktmossa</t>
        </is>
      </c>
      <c r="S66">
        <f>HYPERLINK("https://klasma.github.io/Logging_2425/artfynd/A 55658-2024 artfynd.xlsx", "A 55658-2024")</f>
        <v/>
      </c>
      <c r="T66">
        <f>HYPERLINK("https://klasma.github.io/Logging_2425/kartor/A 55658-2024 karta.png", "A 55658-2024")</f>
        <v/>
      </c>
      <c r="V66">
        <f>HYPERLINK("https://klasma.github.io/Logging_2425/klagomål/A 55658-2024 FSC-klagomål.docx", "A 55658-2024")</f>
        <v/>
      </c>
      <c r="W66">
        <f>HYPERLINK("https://klasma.github.io/Logging_2425/klagomålsmail/A 55658-2024 FSC-klagomål mail.docx", "A 55658-2024")</f>
        <v/>
      </c>
      <c r="X66">
        <f>HYPERLINK("https://klasma.github.io/Logging_2425/tillsyn/A 55658-2024 tillsynsbegäran.docx", "A 55658-2024")</f>
        <v/>
      </c>
      <c r="Y66">
        <f>HYPERLINK("https://klasma.github.io/Logging_2425/tillsynsmail/A 55658-2024 tillsynsbegäran mail.docx", "A 55658-2024")</f>
        <v/>
      </c>
    </row>
    <row r="67" ht="15" customHeight="1">
      <c r="A67" t="inlineStr">
        <is>
          <t>A 56202-2024</t>
        </is>
      </c>
      <c r="B67" s="1" t="n">
        <v>45624</v>
      </c>
      <c r="C67" s="1" t="n">
        <v>45842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6.2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HYPERLINK("https://klasma.github.io/Logging_2425/artfynd/A 56202-2024 artfynd.xlsx", "A 56202-2024")</f>
        <v/>
      </c>
      <c r="T67">
        <f>HYPERLINK("https://klasma.github.io/Logging_2425/kartor/A 56202-2024 karta.png", "A 56202-2024")</f>
        <v/>
      </c>
      <c r="V67">
        <f>HYPERLINK("https://klasma.github.io/Logging_2425/klagomål/A 56202-2024 FSC-klagomål.docx", "A 56202-2024")</f>
        <v/>
      </c>
      <c r="W67">
        <f>HYPERLINK("https://klasma.github.io/Logging_2425/klagomålsmail/A 56202-2024 FSC-klagomål mail.docx", "A 56202-2024")</f>
        <v/>
      </c>
      <c r="X67">
        <f>HYPERLINK("https://klasma.github.io/Logging_2425/tillsyn/A 56202-2024 tillsynsbegäran.docx", "A 56202-2024")</f>
        <v/>
      </c>
      <c r="Y67">
        <f>HYPERLINK("https://klasma.github.io/Logging_2425/tillsynsmail/A 56202-2024 tillsynsbegäran mail.docx", "A 56202-2024")</f>
        <v/>
      </c>
    </row>
    <row r="68" ht="15" customHeight="1">
      <c r="A68" t="inlineStr">
        <is>
          <t>A 57058-2024</t>
        </is>
      </c>
      <c r="B68" s="1" t="n">
        <v>45629</v>
      </c>
      <c r="C68" s="1" t="n">
        <v>45842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HYPERLINK("https://klasma.github.io/Logging_2425/artfynd/A 57058-2024 artfynd.xlsx", "A 57058-2024")</f>
        <v/>
      </c>
      <c r="T68">
        <f>HYPERLINK("https://klasma.github.io/Logging_2425/kartor/A 57058-2024 karta.png", "A 57058-2024")</f>
        <v/>
      </c>
      <c r="V68">
        <f>HYPERLINK("https://klasma.github.io/Logging_2425/klagomål/A 57058-2024 FSC-klagomål.docx", "A 57058-2024")</f>
        <v/>
      </c>
      <c r="W68">
        <f>HYPERLINK("https://klasma.github.io/Logging_2425/klagomålsmail/A 57058-2024 FSC-klagomål mail.docx", "A 57058-2024")</f>
        <v/>
      </c>
      <c r="X68">
        <f>HYPERLINK("https://klasma.github.io/Logging_2425/tillsyn/A 57058-2024 tillsynsbegäran.docx", "A 57058-2024")</f>
        <v/>
      </c>
      <c r="Y68">
        <f>HYPERLINK("https://klasma.github.io/Logging_2425/tillsynsmail/A 57058-2024 tillsynsbegäran mail.docx", "A 57058-2024")</f>
        <v/>
      </c>
    </row>
    <row r="69" ht="15" customHeight="1">
      <c r="A69" t="inlineStr">
        <is>
          <t>A 25257-2025</t>
        </is>
      </c>
      <c r="B69" s="1" t="n">
        <v>45800</v>
      </c>
      <c r="C69" s="1" t="n">
        <v>45842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10.6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HYPERLINK("https://klasma.github.io/Logging_242425/artfynd/A 25257-2025 artfynd.xlsx", "A 25257-2025")</f>
        <v/>
      </c>
      <c r="T69">
        <f>HYPERLINK("https://klasma.github.io/Logging_242425/kartor/A 25257-2025 karta.png", "A 25257-2025")</f>
        <v/>
      </c>
      <c r="V69">
        <f>HYPERLINK("https://klasma.github.io/Logging_242425/klagomål/A 25257-2025 FSC-klagomål.docx", "A 25257-2025")</f>
        <v/>
      </c>
      <c r="W69">
        <f>HYPERLINK("https://klasma.github.io/Logging_242425/klagomålsmail/A 25257-2025 FSC-klagomål mail.docx", "A 25257-2025")</f>
        <v/>
      </c>
      <c r="X69">
        <f>HYPERLINK("https://klasma.github.io/Logging_242425/tillsyn/A 25257-2025 tillsynsbegäran.docx", "A 25257-2025")</f>
        <v/>
      </c>
      <c r="Y69">
        <f>HYPERLINK("https://klasma.github.io/Logging_242425/tillsynsmail/A 25257-2025 tillsynsbegäran mail.docx", "A 25257-2025")</f>
        <v/>
      </c>
    </row>
    <row r="70" ht="15" customHeight="1">
      <c r="A70" t="inlineStr">
        <is>
          <t>A 30756-2025</t>
        </is>
      </c>
      <c r="B70" s="1" t="n">
        <v>45831</v>
      </c>
      <c r="C70" s="1" t="n">
        <v>45842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Luddlav</t>
        </is>
      </c>
      <c r="S70">
        <f>HYPERLINK("https://klasma.github.io/Logging_242425/artfynd/A 30756-2025 artfynd.xlsx", "A 30756-2025")</f>
        <v/>
      </c>
      <c r="T70">
        <f>HYPERLINK("https://klasma.github.io/Logging_242425/kartor/A 30756-2025 karta.png", "A 30756-2025")</f>
        <v/>
      </c>
      <c r="V70">
        <f>HYPERLINK("https://klasma.github.io/Logging_242425/klagomål/A 30756-2025 FSC-klagomål.docx", "A 30756-2025")</f>
        <v/>
      </c>
      <c r="W70">
        <f>HYPERLINK("https://klasma.github.io/Logging_242425/klagomålsmail/A 30756-2025 FSC-klagomål mail.docx", "A 30756-2025")</f>
        <v/>
      </c>
      <c r="X70">
        <f>HYPERLINK("https://klasma.github.io/Logging_242425/tillsyn/A 30756-2025 tillsynsbegäran.docx", "A 30756-2025")</f>
        <v/>
      </c>
      <c r="Y70">
        <f>HYPERLINK("https://klasma.github.io/Logging_242425/tillsynsmail/A 30756-2025 tillsynsbegäran mail.docx", "A 30756-2025")</f>
        <v/>
      </c>
    </row>
    <row r="71" ht="15" customHeight="1">
      <c r="A71" t="inlineStr">
        <is>
          <t>A 18757-2019</t>
        </is>
      </c>
      <c r="B71" s="1" t="n">
        <v>43560</v>
      </c>
      <c r="C71" s="1" t="n">
        <v>45842</v>
      </c>
      <c r="D71" t="inlineStr">
        <is>
          <t>VÄSTERBOTTENS LÄN</t>
        </is>
      </c>
      <c r="E71" t="inlineStr">
        <is>
          <t>DOROTEA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19709-2019</t>
        </is>
      </c>
      <c r="B72" s="1" t="n">
        <v>43566</v>
      </c>
      <c r="C72" s="1" t="n">
        <v>45842</v>
      </c>
      <c r="D72" t="inlineStr">
        <is>
          <t>VÄSTERBOTTENS LÄN</t>
        </is>
      </c>
      <c r="E72" t="inlineStr">
        <is>
          <t>DOROTEA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22272-2019</t>
        </is>
      </c>
      <c r="B73" s="1" t="n">
        <v>43585</v>
      </c>
      <c r="C73" s="1" t="n">
        <v>45842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22590-2019</t>
        </is>
      </c>
      <c r="B74" s="1" t="n">
        <v>43587</v>
      </c>
      <c r="C74" s="1" t="n">
        <v>45842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23508-2019</t>
        </is>
      </c>
      <c r="B75" s="1" t="n">
        <v>43593</v>
      </c>
      <c r="C75" s="1" t="n">
        <v>45842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25717-2019</t>
        </is>
      </c>
      <c r="B76" s="1" t="n">
        <v>43607</v>
      </c>
      <c r="C76" s="1" t="n">
        <v>45842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26020-2019</t>
        </is>
      </c>
      <c r="B77" s="1" t="n">
        <v>43608</v>
      </c>
      <c r="C77" s="1" t="n">
        <v>45842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26019-2019</t>
        </is>
      </c>
      <c r="B78" s="1" t="n">
        <v>43608</v>
      </c>
      <c r="C78" s="1" t="n">
        <v>45842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26942-2019</t>
        </is>
      </c>
      <c r="B79" s="1" t="n">
        <v>43613</v>
      </c>
      <c r="C79" s="1" t="n">
        <v>45842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28219-2019</t>
        </is>
      </c>
      <c r="B80" s="1" t="n">
        <v>43621</v>
      </c>
      <c r="C80" s="1" t="n">
        <v>45842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30300-2019</t>
        </is>
      </c>
      <c r="B81" s="1" t="n">
        <v>43633</v>
      </c>
      <c r="C81" s="1" t="n">
        <v>45842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32374-2019</t>
        </is>
      </c>
      <c r="B82" s="1" t="n">
        <v>43636</v>
      </c>
      <c r="C82" s="1" t="n">
        <v>45842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32496-2019</t>
        </is>
      </c>
      <c r="B83" s="1" t="n">
        <v>43644</v>
      </c>
      <c r="C83" s="1" t="n">
        <v>45842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35571-2019</t>
        </is>
      </c>
      <c r="B84" s="1" t="n">
        <v>43664</v>
      </c>
      <c r="C84" s="1" t="n">
        <v>45842</v>
      </c>
      <c r="D84" t="inlineStr">
        <is>
          <t>VÄSTERBOTTENS LÄN</t>
        </is>
      </c>
      <c r="E84" t="inlineStr">
        <is>
          <t>DOROTEA</t>
        </is>
      </c>
      <c r="F84" t="inlineStr">
        <is>
          <t>Sveaskog</t>
        </is>
      </c>
      <c r="G84" t="n">
        <v>30.2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35732-2019</t>
        </is>
      </c>
      <c r="B85" s="1" t="n">
        <v>43664</v>
      </c>
      <c r="C85" s="1" t="n">
        <v>45842</v>
      </c>
      <c r="D85" t="inlineStr">
        <is>
          <t>VÄSTERBOTTENS LÄN</t>
        </is>
      </c>
      <c r="E85" t="inlineStr">
        <is>
          <t>DOROTEA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37844-2019</t>
        </is>
      </c>
      <c r="B86" s="1" t="n">
        <v>43682</v>
      </c>
      <c r="C86" s="1" t="n">
        <v>45842</v>
      </c>
      <c r="D86" t="inlineStr">
        <is>
          <t>VÄSTERBOTTENS LÄN</t>
        </is>
      </c>
      <c r="E86" t="inlineStr">
        <is>
          <t>DOROTEA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40501-2019</t>
        </is>
      </c>
      <c r="B87" s="1" t="n">
        <v>43696</v>
      </c>
      <c r="C87" s="1" t="n">
        <v>45842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43176-2019</t>
        </is>
      </c>
      <c r="B88" s="1" t="n">
        <v>43705</v>
      </c>
      <c r="C88" s="1" t="n">
        <v>45842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43175-2019</t>
        </is>
      </c>
      <c r="B89" s="1" t="n">
        <v>43705</v>
      </c>
      <c r="C89" s="1" t="n">
        <v>45842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19.3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43177-2019</t>
        </is>
      </c>
      <c r="B90" s="1" t="n">
        <v>43705</v>
      </c>
      <c r="C90" s="1" t="n">
        <v>45842</v>
      </c>
      <c r="D90" t="inlineStr">
        <is>
          <t>VÄSTERBOTTENS LÄN</t>
        </is>
      </c>
      <c r="E90" t="inlineStr">
        <is>
          <t>DOROTEA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44555-2019</t>
        </is>
      </c>
      <c r="B91" s="1" t="n">
        <v>43706</v>
      </c>
      <c r="C91" s="1" t="n">
        <v>45842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43952-2019</t>
        </is>
      </c>
      <c r="B92" s="1" t="n">
        <v>43707</v>
      </c>
      <c r="C92" s="1" t="n">
        <v>45842</v>
      </c>
      <c r="D92" t="inlineStr">
        <is>
          <t>VÄSTERBOTTENS LÄN</t>
        </is>
      </c>
      <c r="E92" t="inlineStr">
        <is>
          <t>DOROTEA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45921-2019</t>
        </is>
      </c>
      <c r="B93" s="1" t="n">
        <v>43717</v>
      </c>
      <c r="C93" s="1" t="n">
        <v>45842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46748-2019</t>
        </is>
      </c>
      <c r="B94" s="1" t="n">
        <v>43719</v>
      </c>
      <c r="C94" s="1" t="n">
        <v>45842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46746-2019</t>
        </is>
      </c>
      <c r="B95" s="1" t="n">
        <v>43719</v>
      </c>
      <c r="C95" s="1" t="n">
        <v>45842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47784-2019</t>
        </is>
      </c>
      <c r="B96" s="1" t="n">
        <v>43724</v>
      </c>
      <c r="C96" s="1" t="n">
        <v>45842</v>
      </c>
      <c r="D96" t="inlineStr">
        <is>
          <t>VÄSTERBOTTENS LÄN</t>
        </is>
      </c>
      <c r="E96" t="inlineStr">
        <is>
          <t>DOROTEA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48506-2019</t>
        </is>
      </c>
      <c r="B97" s="1" t="n">
        <v>43727</v>
      </c>
      <c r="C97" s="1" t="n">
        <v>45842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49360-2019</t>
        </is>
      </c>
      <c r="B98" s="1" t="n">
        <v>43731</v>
      </c>
      <c r="C98" s="1" t="n">
        <v>45842</v>
      </c>
      <c r="D98" t="inlineStr">
        <is>
          <t>VÄSTERBOTTENS LÄN</t>
        </is>
      </c>
      <c r="E98" t="inlineStr">
        <is>
          <t>DOROTEA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53754-2019</t>
        </is>
      </c>
      <c r="B99" s="1" t="n">
        <v>43749</v>
      </c>
      <c r="C99" s="1" t="n">
        <v>45842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54426-2019</t>
        </is>
      </c>
      <c r="B100" s="1" t="n">
        <v>43754</v>
      </c>
      <c r="C100" s="1" t="n">
        <v>45842</v>
      </c>
      <c r="D100" t="inlineStr">
        <is>
          <t>VÄSTERBOTTENS LÄN</t>
        </is>
      </c>
      <c r="E100" t="inlineStr">
        <is>
          <t>DOROTEA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55251-2019</t>
        </is>
      </c>
      <c r="B101" s="1" t="n">
        <v>43755</v>
      </c>
      <c r="C101" s="1" t="n">
        <v>45842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57264-2019</t>
        </is>
      </c>
      <c r="B102" s="1" t="n">
        <v>43759</v>
      </c>
      <c r="C102" s="1" t="n">
        <v>45842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57129-2019</t>
        </is>
      </c>
      <c r="B103" s="1" t="n">
        <v>43759</v>
      </c>
      <c r="C103" s="1" t="n">
        <v>45842</v>
      </c>
      <c r="D103" t="inlineStr">
        <is>
          <t>VÄSTERBOTTENS LÄN</t>
        </is>
      </c>
      <c r="E103" t="inlineStr">
        <is>
          <t>DOROTEA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55899-2019</t>
        </is>
      </c>
      <c r="B104" s="1" t="n">
        <v>43761</v>
      </c>
      <c r="C104" s="1" t="n">
        <v>45842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55895-2019</t>
        </is>
      </c>
      <c r="B105" s="1" t="n">
        <v>43761</v>
      </c>
      <c r="C105" s="1" t="n">
        <v>45842</v>
      </c>
      <c r="D105" t="inlineStr">
        <is>
          <t>VÄSTERBOTTENS LÄN</t>
        </is>
      </c>
      <c r="E105" t="inlineStr">
        <is>
          <t>DOROTEA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56120-2019</t>
        </is>
      </c>
      <c r="B106" s="1" t="n">
        <v>43761</v>
      </c>
      <c r="C106" s="1" t="n">
        <v>45842</v>
      </c>
      <c r="D106" t="inlineStr">
        <is>
          <t>VÄSTERBOTTENS LÄN</t>
        </is>
      </c>
      <c r="E106" t="inlineStr">
        <is>
          <t>DOROTEA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59008-2019</t>
        </is>
      </c>
      <c r="B107" s="1" t="n">
        <v>43768</v>
      </c>
      <c r="C107" s="1" t="n">
        <v>45842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59071-2019</t>
        </is>
      </c>
      <c r="B108" s="1" t="n">
        <v>43774</v>
      </c>
      <c r="C108" s="1" t="n">
        <v>45842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62526-2019</t>
        </is>
      </c>
      <c r="B109" s="1" t="n">
        <v>43783</v>
      </c>
      <c r="C109" s="1" t="n">
        <v>45842</v>
      </c>
      <c r="D109" t="inlineStr">
        <is>
          <t>VÄSTERBOTTENS LÄN</t>
        </is>
      </c>
      <c r="E109" t="inlineStr">
        <is>
          <t>DOROTEA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63896-2019</t>
        </is>
      </c>
      <c r="B110" s="1" t="n">
        <v>43795</v>
      </c>
      <c r="C110" s="1" t="n">
        <v>45842</v>
      </c>
      <c r="D110" t="inlineStr">
        <is>
          <t>VÄSTERBOTTENS LÄN</t>
        </is>
      </c>
      <c r="E110" t="inlineStr">
        <is>
          <t>DOROTEA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64464-2019</t>
        </is>
      </c>
      <c r="B111" s="1" t="n">
        <v>43797</v>
      </c>
      <c r="C111" s="1" t="n">
        <v>45842</v>
      </c>
      <c r="D111" t="inlineStr">
        <is>
          <t>VÄSTERBOTTENS LÄN</t>
        </is>
      </c>
      <c r="E111" t="inlineStr">
        <is>
          <t>DOROTEA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66150-2019</t>
        </is>
      </c>
      <c r="B112" s="1" t="n">
        <v>43801</v>
      </c>
      <c r="C112" s="1" t="n">
        <v>45842</v>
      </c>
      <c r="D112" t="inlineStr">
        <is>
          <t>VÄSTERBOTTENS LÄN</t>
        </is>
      </c>
      <c r="E112" t="inlineStr">
        <is>
          <t>DOROTEA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65557-2019</t>
        </is>
      </c>
      <c r="B113" s="1" t="n">
        <v>43803</v>
      </c>
      <c r="C113" s="1" t="n">
        <v>45842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65556-2019</t>
        </is>
      </c>
      <c r="B114" s="1" t="n">
        <v>43803</v>
      </c>
      <c r="C114" s="1" t="n">
        <v>45842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66922-2019</t>
        </is>
      </c>
      <c r="B115" s="1" t="n">
        <v>43804</v>
      </c>
      <c r="C115" s="1" t="n">
        <v>45842</v>
      </c>
      <c r="D115" t="inlineStr">
        <is>
          <t>VÄSTERBOTTENS LÄN</t>
        </is>
      </c>
      <c r="E115" t="inlineStr">
        <is>
          <t>DOROTEA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66382-2019</t>
        </is>
      </c>
      <c r="B116" s="1" t="n">
        <v>43808</v>
      </c>
      <c r="C116" s="1" t="n">
        <v>45842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67223-2019</t>
        </is>
      </c>
      <c r="B117" s="1" t="n">
        <v>43811</v>
      </c>
      <c r="C117" s="1" t="n">
        <v>45842</v>
      </c>
      <c r="D117" t="inlineStr">
        <is>
          <t>VÄSTERBOTTENS LÄN</t>
        </is>
      </c>
      <c r="E117" t="inlineStr">
        <is>
          <t>DOROTEA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293-2020</t>
        </is>
      </c>
      <c r="B118" s="1" t="n">
        <v>43837</v>
      </c>
      <c r="C118" s="1" t="n">
        <v>45842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1276-2020</t>
        </is>
      </c>
      <c r="B119" s="1" t="n">
        <v>43841</v>
      </c>
      <c r="C119" s="1" t="n">
        <v>45842</v>
      </c>
      <c r="D119" t="inlineStr">
        <is>
          <t>VÄSTERBOTTENS LÄN</t>
        </is>
      </c>
      <c r="E119" t="inlineStr">
        <is>
          <t>DOROTEA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3770-2020</t>
        </is>
      </c>
      <c r="B120" s="1" t="n">
        <v>43854</v>
      </c>
      <c r="C120" s="1" t="n">
        <v>45842</v>
      </c>
      <c r="D120" t="inlineStr">
        <is>
          <t>VÄSTERBOTTENS LÄN</t>
        </is>
      </c>
      <c r="E120" t="inlineStr">
        <is>
          <t>DOROTEA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6570-2020</t>
        </is>
      </c>
      <c r="B121" s="1" t="n">
        <v>43864</v>
      </c>
      <c r="C121" s="1" t="n">
        <v>45842</v>
      </c>
      <c r="D121" t="inlineStr">
        <is>
          <t>VÄSTERBOTTENS LÄN</t>
        </is>
      </c>
      <c r="E121" t="inlineStr">
        <is>
          <t>DOROTEA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10073-2020</t>
        </is>
      </c>
      <c r="B122" s="1" t="n">
        <v>43884</v>
      </c>
      <c r="C122" s="1" t="n">
        <v>45842</v>
      </c>
      <c r="D122" t="inlineStr">
        <is>
          <t>VÄSTERBOTTENS LÄN</t>
        </is>
      </c>
      <c r="E122" t="inlineStr">
        <is>
          <t>DOROTEA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12589-2020</t>
        </is>
      </c>
      <c r="B123" s="1" t="n">
        <v>43899</v>
      </c>
      <c r="C123" s="1" t="n">
        <v>45842</v>
      </c>
      <c r="D123" t="inlineStr">
        <is>
          <t>VÄSTERBOTTENS LÄN</t>
        </is>
      </c>
      <c r="E123" t="inlineStr">
        <is>
          <t>DOROTEA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12870-2020</t>
        </is>
      </c>
      <c r="B124" s="1" t="n">
        <v>43899</v>
      </c>
      <c r="C124" s="1" t="n">
        <v>45842</v>
      </c>
      <c r="D124" t="inlineStr">
        <is>
          <t>VÄSTERBOTTENS LÄN</t>
        </is>
      </c>
      <c r="E124" t="inlineStr">
        <is>
          <t>DOROTEA</t>
        </is>
      </c>
      <c r="G124" t="n">
        <v>22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21025-2020</t>
        </is>
      </c>
      <c r="B125" s="1" t="n">
        <v>43950</v>
      </c>
      <c r="C125" s="1" t="n">
        <v>45842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21398-2020</t>
        </is>
      </c>
      <c r="B126" s="1" t="n">
        <v>43955</v>
      </c>
      <c r="C126" s="1" t="n">
        <v>45842</v>
      </c>
      <c r="D126" t="inlineStr">
        <is>
          <t>VÄSTERBOTTENS LÄN</t>
        </is>
      </c>
      <c r="E126" t="inlineStr">
        <is>
          <t>DOROTEA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28210-2020</t>
        </is>
      </c>
      <c r="B127" s="1" t="n">
        <v>43997</v>
      </c>
      <c r="C127" s="1" t="n">
        <v>45842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28790-2020</t>
        </is>
      </c>
      <c r="B128" s="1" t="n">
        <v>44000</v>
      </c>
      <c r="C128" s="1" t="n">
        <v>45842</v>
      </c>
      <c r="D128" t="inlineStr">
        <is>
          <t>VÄSTERBOTTENS LÄN</t>
        </is>
      </c>
      <c r="E128" t="inlineStr">
        <is>
          <t>DOROTEA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29468-2020</t>
        </is>
      </c>
      <c r="B129" s="1" t="n">
        <v>44004</v>
      </c>
      <c r="C129" s="1" t="n">
        <v>45842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29778-2020</t>
        </is>
      </c>
      <c r="B130" s="1" t="n">
        <v>44005</v>
      </c>
      <c r="C130" s="1" t="n">
        <v>45842</v>
      </c>
      <c r="D130" t="inlineStr">
        <is>
          <t>VÄSTERBOTTENS LÄN</t>
        </is>
      </c>
      <c r="E130" t="inlineStr">
        <is>
          <t>DOROTEA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29799-2020</t>
        </is>
      </c>
      <c r="B131" s="1" t="n">
        <v>44005</v>
      </c>
      <c r="C131" s="1" t="n">
        <v>45842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31019-2020</t>
        </is>
      </c>
      <c r="B132" s="1" t="n">
        <v>44011</v>
      </c>
      <c r="C132" s="1" t="n">
        <v>45842</v>
      </c>
      <c r="D132" t="inlineStr">
        <is>
          <t>VÄSTERBOTTENS LÄN</t>
        </is>
      </c>
      <c r="E132" t="inlineStr">
        <is>
          <t>DOROTEA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31017-2020</t>
        </is>
      </c>
      <c r="B133" s="1" t="n">
        <v>44011</v>
      </c>
      <c r="C133" s="1" t="n">
        <v>45842</v>
      </c>
      <c r="D133" t="inlineStr">
        <is>
          <t>VÄSTERBOTTENS LÄN</t>
        </is>
      </c>
      <c r="E133" t="inlineStr">
        <is>
          <t>DOROTEA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31296-2020</t>
        </is>
      </c>
      <c r="B134" s="1" t="n">
        <v>44012</v>
      </c>
      <c r="C134" s="1" t="n">
        <v>45842</v>
      </c>
      <c r="D134" t="inlineStr">
        <is>
          <t>VÄSTERBOTTENS LÄN</t>
        </is>
      </c>
      <c r="E134" t="inlineStr">
        <is>
          <t>DOROTEA</t>
        </is>
      </c>
      <c r="G134" t="n">
        <v>31.1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32298-2020</t>
        </is>
      </c>
      <c r="B135" s="1" t="n">
        <v>44015</v>
      </c>
      <c r="C135" s="1" t="n">
        <v>45842</v>
      </c>
      <c r="D135" t="inlineStr">
        <is>
          <t>VÄSTERBOTTENS LÄN</t>
        </is>
      </c>
      <c r="E135" t="inlineStr">
        <is>
          <t>DOROTEA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40417-2020</t>
        </is>
      </c>
      <c r="B136" s="1" t="n">
        <v>44068</v>
      </c>
      <c r="C136" s="1" t="n">
        <v>45842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43616-2020</t>
        </is>
      </c>
      <c r="B137" s="1" t="n">
        <v>44078</v>
      </c>
      <c r="C137" s="1" t="n">
        <v>45842</v>
      </c>
      <c r="D137" t="inlineStr">
        <is>
          <t>VÄSTERBOTTENS LÄN</t>
        </is>
      </c>
      <c r="E137" t="inlineStr">
        <is>
          <t>DOROTEA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44250-2020</t>
        </is>
      </c>
      <c r="B138" s="1" t="n">
        <v>44082</v>
      </c>
      <c r="C138" s="1" t="n">
        <v>45842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Övriga statliga verk och myndigheter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46761-2020</t>
        </is>
      </c>
      <c r="B139" s="1" t="n">
        <v>44095</v>
      </c>
      <c r="C139" s="1" t="n">
        <v>45842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46762-2020</t>
        </is>
      </c>
      <c r="B140" s="1" t="n">
        <v>44095</v>
      </c>
      <c r="C140" s="1" t="n">
        <v>45842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49150-2020</t>
        </is>
      </c>
      <c r="B141" s="1" t="n">
        <v>44104</v>
      </c>
      <c r="C141" s="1" t="n">
        <v>45842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49675-2020</t>
        </is>
      </c>
      <c r="B142" s="1" t="n">
        <v>44104</v>
      </c>
      <c r="C142" s="1" t="n">
        <v>45842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52575-2020</t>
        </is>
      </c>
      <c r="B143" s="1" t="n">
        <v>44118</v>
      </c>
      <c r="C143" s="1" t="n">
        <v>45842</v>
      </c>
      <c r="D143" t="inlineStr">
        <is>
          <t>VÄSTERBOTTENS LÄN</t>
        </is>
      </c>
      <c r="E143" t="inlineStr">
        <is>
          <t>DOROTEA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52969-2020</t>
        </is>
      </c>
      <c r="B144" s="1" t="n">
        <v>44120</v>
      </c>
      <c r="C144" s="1" t="n">
        <v>45842</v>
      </c>
      <c r="D144" t="inlineStr">
        <is>
          <t>VÄSTERBOTTENS LÄN</t>
        </is>
      </c>
      <c r="E144" t="inlineStr">
        <is>
          <t>DOROTEA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55930-2020</t>
        </is>
      </c>
      <c r="B145" s="1" t="n">
        <v>44132</v>
      </c>
      <c r="C145" s="1" t="n">
        <v>45842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56560-2020</t>
        </is>
      </c>
      <c r="B146" s="1" t="n">
        <v>44133</v>
      </c>
      <c r="C146" s="1" t="n">
        <v>45842</v>
      </c>
      <c r="D146" t="inlineStr">
        <is>
          <t>VÄSTERBOTTENS LÄN</t>
        </is>
      </c>
      <c r="E146" t="inlineStr">
        <is>
          <t>DOROTEA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60041-2020</t>
        </is>
      </c>
      <c r="B147" s="1" t="n">
        <v>44151</v>
      </c>
      <c r="C147" s="1" t="n">
        <v>45842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60399-2020</t>
        </is>
      </c>
      <c r="B148" s="1" t="n">
        <v>44152</v>
      </c>
      <c r="C148" s="1" t="n">
        <v>45842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60398-2020</t>
        </is>
      </c>
      <c r="B149" s="1" t="n">
        <v>44152</v>
      </c>
      <c r="C149" s="1" t="n">
        <v>45842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64473-2020</t>
        </is>
      </c>
      <c r="B150" s="1" t="n">
        <v>44168</v>
      </c>
      <c r="C150" s="1" t="n">
        <v>45842</v>
      </c>
      <c r="D150" t="inlineStr">
        <is>
          <t>VÄSTERBOTTENS LÄN</t>
        </is>
      </c>
      <c r="E150" t="inlineStr">
        <is>
          <t>DOROTEA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64497-2020</t>
        </is>
      </c>
      <c r="B151" s="1" t="n">
        <v>44168</v>
      </c>
      <c r="C151" s="1" t="n">
        <v>45842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64496-2020</t>
        </is>
      </c>
      <c r="B152" s="1" t="n">
        <v>44168</v>
      </c>
      <c r="C152" s="1" t="n">
        <v>45842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65441-2020</t>
        </is>
      </c>
      <c r="B153" s="1" t="n">
        <v>44169</v>
      </c>
      <c r="C153" s="1" t="n">
        <v>45842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4164-2021</t>
        </is>
      </c>
      <c r="B154" s="1" t="n">
        <v>44223</v>
      </c>
      <c r="C154" s="1" t="n">
        <v>45842</v>
      </c>
      <c r="D154" t="inlineStr">
        <is>
          <t>VÄSTERBOTTENS LÄN</t>
        </is>
      </c>
      <c r="E154" t="inlineStr">
        <is>
          <t>DOROTEA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6489-2021</t>
        </is>
      </c>
      <c r="B155" s="1" t="n">
        <v>44235</v>
      </c>
      <c r="C155" s="1" t="n">
        <v>45842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11707-2021</t>
        </is>
      </c>
      <c r="B156" s="1" t="n">
        <v>44264</v>
      </c>
      <c r="C156" s="1" t="n">
        <v>45842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13059-2021</t>
        </is>
      </c>
      <c r="B157" s="1" t="n">
        <v>44271</v>
      </c>
      <c r="C157" s="1" t="n">
        <v>45842</v>
      </c>
      <c r="D157" t="inlineStr">
        <is>
          <t>VÄSTERBOTTENS LÄN</t>
        </is>
      </c>
      <c r="E157" t="inlineStr">
        <is>
          <t>DOROTEA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16777-2021</t>
        </is>
      </c>
      <c r="B158" s="1" t="n">
        <v>44294</v>
      </c>
      <c r="C158" s="1" t="n">
        <v>45842</v>
      </c>
      <c r="D158" t="inlineStr">
        <is>
          <t>VÄSTERBOTTENS LÄN</t>
        </is>
      </c>
      <c r="E158" t="inlineStr">
        <is>
          <t>DOROTEA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24203-2021</t>
        </is>
      </c>
      <c r="B159" s="1" t="n">
        <v>44336</v>
      </c>
      <c r="C159" s="1" t="n">
        <v>45842</v>
      </c>
      <c r="D159" t="inlineStr">
        <is>
          <t>VÄSTERBOTTENS LÄN</t>
        </is>
      </c>
      <c r="E159" t="inlineStr">
        <is>
          <t>DOROTEA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24207-2021</t>
        </is>
      </c>
      <c r="B160" s="1" t="n">
        <v>44336</v>
      </c>
      <c r="C160" s="1" t="n">
        <v>45842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24206-2021</t>
        </is>
      </c>
      <c r="B161" s="1" t="n">
        <v>44336</v>
      </c>
      <c r="C161" s="1" t="n">
        <v>45842</v>
      </c>
      <c r="D161" t="inlineStr">
        <is>
          <t>VÄSTERBOTTENS LÄN</t>
        </is>
      </c>
      <c r="E161" t="inlineStr">
        <is>
          <t>DOROTEA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24364-2021</t>
        </is>
      </c>
      <c r="B162" s="1" t="n">
        <v>44337</v>
      </c>
      <c r="C162" s="1" t="n">
        <v>45842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27506-2021</t>
        </is>
      </c>
      <c r="B163" s="1" t="n">
        <v>44351</v>
      </c>
      <c r="C163" s="1" t="n">
        <v>45842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27511-2021</t>
        </is>
      </c>
      <c r="B164" s="1" t="n">
        <v>44351</v>
      </c>
      <c r="C164" s="1" t="n">
        <v>45842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27503-2021</t>
        </is>
      </c>
      <c r="B165" s="1" t="n">
        <v>44351</v>
      </c>
      <c r="C165" s="1" t="n">
        <v>45842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27509-2021</t>
        </is>
      </c>
      <c r="B166" s="1" t="n">
        <v>44351</v>
      </c>
      <c r="C166" s="1" t="n">
        <v>45842</v>
      </c>
      <c r="D166" t="inlineStr">
        <is>
          <t>VÄSTERBOTTENS LÄN</t>
        </is>
      </c>
      <c r="E166" t="inlineStr">
        <is>
          <t>DOROTEA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27508-2021</t>
        </is>
      </c>
      <c r="B167" s="1" t="n">
        <v>44351</v>
      </c>
      <c r="C167" s="1" t="n">
        <v>45842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27514-2021</t>
        </is>
      </c>
      <c r="B168" s="1" t="n">
        <v>44351</v>
      </c>
      <c r="C168" s="1" t="n">
        <v>45842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Kommuner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33218-2021</t>
        </is>
      </c>
      <c r="B169" s="1" t="n">
        <v>44377</v>
      </c>
      <c r="C169" s="1" t="n">
        <v>45842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33286-2021</t>
        </is>
      </c>
      <c r="B170" s="1" t="n">
        <v>44377</v>
      </c>
      <c r="C170" s="1" t="n">
        <v>45842</v>
      </c>
      <c r="D170" t="inlineStr">
        <is>
          <t>VÄSTERBOTTENS LÄN</t>
        </is>
      </c>
      <c r="E170" t="inlineStr">
        <is>
          <t>DOROTEA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33292-2021</t>
        </is>
      </c>
      <c r="B171" s="1" t="n">
        <v>44377</v>
      </c>
      <c r="C171" s="1" t="n">
        <v>45842</v>
      </c>
      <c r="D171" t="inlineStr">
        <is>
          <t>VÄSTERBOTTENS LÄN</t>
        </is>
      </c>
      <c r="E171" t="inlineStr">
        <is>
          <t>DOROTEA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33294-2021</t>
        </is>
      </c>
      <c r="B172" s="1" t="n">
        <v>44377</v>
      </c>
      <c r="C172" s="1" t="n">
        <v>45842</v>
      </c>
      <c r="D172" t="inlineStr">
        <is>
          <t>VÄSTERBOTTENS LÄN</t>
        </is>
      </c>
      <c r="E172" t="inlineStr">
        <is>
          <t>DOROTEA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35040-2021</t>
        </is>
      </c>
      <c r="B173" s="1" t="n">
        <v>44383</v>
      </c>
      <c r="C173" s="1" t="n">
        <v>45842</v>
      </c>
      <c r="D173" t="inlineStr">
        <is>
          <t>VÄSTERBOTTENS LÄN</t>
        </is>
      </c>
      <c r="E173" t="inlineStr">
        <is>
          <t>DOROTEA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38781-2021</t>
        </is>
      </c>
      <c r="B174" s="1" t="n">
        <v>44410</v>
      </c>
      <c r="C174" s="1" t="n">
        <v>45842</v>
      </c>
      <c r="D174" t="inlineStr">
        <is>
          <t>VÄSTERBOTTENS LÄN</t>
        </is>
      </c>
      <c r="E174" t="inlineStr">
        <is>
          <t>DOROTEA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39603-2021</t>
        </is>
      </c>
      <c r="B175" s="1" t="n">
        <v>44417</v>
      </c>
      <c r="C175" s="1" t="n">
        <v>45842</v>
      </c>
      <c r="D175" t="inlineStr">
        <is>
          <t>VÄSTERBOTTENS LÄN</t>
        </is>
      </c>
      <c r="E175" t="inlineStr">
        <is>
          <t>DOROTEA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43210-2021</t>
        </is>
      </c>
      <c r="B176" s="1" t="n">
        <v>44432</v>
      </c>
      <c r="C176" s="1" t="n">
        <v>45842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43211-2021</t>
        </is>
      </c>
      <c r="B177" s="1" t="n">
        <v>44431</v>
      </c>
      <c r="C177" s="1" t="n">
        <v>45842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52361-2021</t>
        </is>
      </c>
      <c r="B178" s="1" t="n">
        <v>44465</v>
      </c>
      <c r="C178" s="1" t="n">
        <v>45842</v>
      </c>
      <c r="D178" t="inlineStr">
        <is>
          <t>VÄSTERBOTTENS LÄN</t>
        </is>
      </c>
      <c r="E178" t="inlineStr">
        <is>
          <t>DOROTEA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52362-2021</t>
        </is>
      </c>
      <c r="B179" s="1" t="n">
        <v>44465</v>
      </c>
      <c r="C179" s="1" t="n">
        <v>45842</v>
      </c>
      <c r="D179" t="inlineStr">
        <is>
          <t>VÄSTERBOTTENS LÄN</t>
        </is>
      </c>
      <c r="E179" t="inlineStr">
        <is>
          <t>DOROTEA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52363-2021</t>
        </is>
      </c>
      <c r="B180" s="1" t="n">
        <v>44465</v>
      </c>
      <c r="C180" s="1" t="n">
        <v>45842</v>
      </c>
      <c r="D180" t="inlineStr">
        <is>
          <t>VÄSTERBOTTENS LÄN</t>
        </is>
      </c>
      <c r="E180" t="inlineStr">
        <is>
          <t>DOROTEA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56807-2021</t>
        </is>
      </c>
      <c r="B181" s="1" t="n">
        <v>44481</v>
      </c>
      <c r="C181" s="1" t="n">
        <v>45842</v>
      </c>
      <c r="D181" t="inlineStr">
        <is>
          <t>VÄSTERBOTTENS LÄN</t>
        </is>
      </c>
      <c r="E181" t="inlineStr">
        <is>
          <t>DOROTEA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57573-2021</t>
        </is>
      </c>
      <c r="B182" s="1" t="n">
        <v>44482</v>
      </c>
      <c r="C182" s="1" t="n">
        <v>45842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57580-2021</t>
        </is>
      </c>
      <c r="B183" s="1" t="n">
        <v>44482</v>
      </c>
      <c r="C183" s="1" t="n">
        <v>45842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57585-2021</t>
        </is>
      </c>
      <c r="B184" s="1" t="n">
        <v>44483</v>
      </c>
      <c r="C184" s="1" t="n">
        <v>45842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57579-2021</t>
        </is>
      </c>
      <c r="B185" s="1" t="n">
        <v>44483</v>
      </c>
      <c r="C185" s="1" t="n">
        <v>45842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22.9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57955-2021</t>
        </is>
      </c>
      <c r="B186" s="1" t="n">
        <v>44484</v>
      </c>
      <c r="C186" s="1" t="n">
        <v>45842</v>
      </c>
      <c r="D186" t="inlineStr">
        <is>
          <t>VÄSTERBOTTENS LÄN</t>
        </is>
      </c>
      <c r="E186" t="inlineStr">
        <is>
          <t>DOROTEA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57974-2021</t>
        </is>
      </c>
      <c r="B187" s="1" t="n">
        <v>44487</v>
      </c>
      <c r="C187" s="1" t="n">
        <v>45842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60145-2021</t>
        </is>
      </c>
      <c r="B188" s="1" t="n">
        <v>44494</v>
      </c>
      <c r="C188" s="1" t="n">
        <v>45842</v>
      </c>
      <c r="D188" t="inlineStr">
        <is>
          <t>VÄSTERBOTTENS LÄN</t>
        </is>
      </c>
      <c r="E188" t="inlineStr">
        <is>
          <t>DOROTEA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63152-2021</t>
        </is>
      </c>
      <c r="B189" s="1" t="n">
        <v>44505</v>
      </c>
      <c r="C189" s="1" t="n">
        <v>45842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64077-2021</t>
        </is>
      </c>
      <c r="B190" s="1" t="n">
        <v>44509</v>
      </c>
      <c r="C190" s="1" t="n">
        <v>45842</v>
      </c>
      <c r="D190" t="inlineStr">
        <is>
          <t>VÄSTERBOTTENS LÄN</t>
        </is>
      </c>
      <c r="E190" t="inlineStr">
        <is>
          <t>DOROTEA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64063-2021</t>
        </is>
      </c>
      <c r="B191" s="1" t="n">
        <v>44509</v>
      </c>
      <c r="C191" s="1" t="n">
        <v>45842</v>
      </c>
      <c r="D191" t="inlineStr">
        <is>
          <t>VÄSTERBOTTENS LÄN</t>
        </is>
      </c>
      <c r="E191" t="inlineStr">
        <is>
          <t>DOROTEA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65903-2021</t>
        </is>
      </c>
      <c r="B192" s="1" t="n">
        <v>44517</v>
      </c>
      <c r="C192" s="1" t="n">
        <v>45842</v>
      </c>
      <c r="D192" t="inlineStr">
        <is>
          <t>VÄSTERBOTTENS LÄN</t>
        </is>
      </c>
      <c r="E192" t="inlineStr">
        <is>
          <t>DOROTEA</t>
        </is>
      </c>
      <c r="G192" t="n">
        <v>15.9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67686-2021</t>
        </is>
      </c>
      <c r="B193" s="1" t="n">
        <v>44524</v>
      </c>
      <c r="C193" s="1" t="n">
        <v>45842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70182-2021</t>
        </is>
      </c>
      <c r="B194" s="1" t="n">
        <v>44533</v>
      </c>
      <c r="C194" s="1" t="n">
        <v>45842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70519-2021</t>
        </is>
      </c>
      <c r="B195" s="1" t="n">
        <v>44536</v>
      </c>
      <c r="C195" s="1" t="n">
        <v>45842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74013-2021</t>
        </is>
      </c>
      <c r="B196" s="1" t="n">
        <v>44557</v>
      </c>
      <c r="C196" s="1" t="n">
        <v>45842</v>
      </c>
      <c r="D196" t="inlineStr">
        <is>
          <t>VÄSTERBOTTENS LÄN</t>
        </is>
      </c>
      <c r="E196" t="inlineStr">
        <is>
          <t>DOROTEA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745-2022</t>
        </is>
      </c>
      <c r="B197" s="1" t="n">
        <v>44568</v>
      </c>
      <c r="C197" s="1" t="n">
        <v>45842</v>
      </c>
      <c r="D197" t="inlineStr">
        <is>
          <t>VÄSTERBOTTENS LÄN</t>
        </is>
      </c>
      <c r="E197" t="inlineStr">
        <is>
          <t>DOROTEA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2474-2022</t>
        </is>
      </c>
      <c r="B198" s="1" t="n">
        <v>44579</v>
      </c>
      <c r="C198" s="1" t="n">
        <v>45842</v>
      </c>
      <c r="D198" t="inlineStr">
        <is>
          <t>VÄSTERBOTTENS LÄN</t>
        </is>
      </c>
      <c r="E198" t="inlineStr">
        <is>
          <t>DOROTEA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3241-2022</t>
        </is>
      </c>
      <c r="B199" s="1" t="n">
        <v>44582</v>
      </c>
      <c r="C199" s="1" t="n">
        <v>45842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3240-2022</t>
        </is>
      </c>
      <c r="B200" s="1" t="n">
        <v>44582</v>
      </c>
      <c r="C200" s="1" t="n">
        <v>45842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4019-2022</t>
        </is>
      </c>
      <c r="B201" s="1" t="n">
        <v>44587</v>
      </c>
      <c r="C201" s="1" t="n">
        <v>45842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4518-2022</t>
        </is>
      </c>
      <c r="B202" s="1" t="n">
        <v>44589</v>
      </c>
      <c r="C202" s="1" t="n">
        <v>45842</v>
      </c>
      <c r="D202" t="inlineStr">
        <is>
          <t>VÄSTERBOTTENS LÄN</t>
        </is>
      </c>
      <c r="E202" t="inlineStr">
        <is>
          <t>DOROTEA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8983-2022</t>
        </is>
      </c>
      <c r="B203" s="1" t="n">
        <v>44614</v>
      </c>
      <c r="C203" s="1" t="n">
        <v>45842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8982-2022</t>
        </is>
      </c>
      <c r="B204" s="1" t="n">
        <v>44614</v>
      </c>
      <c r="C204" s="1" t="n">
        <v>45842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10316-2022</t>
        </is>
      </c>
      <c r="B205" s="1" t="n">
        <v>44622</v>
      </c>
      <c r="C205" s="1" t="n">
        <v>45842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10318-2022</t>
        </is>
      </c>
      <c r="B206" s="1" t="n">
        <v>44622</v>
      </c>
      <c r="C206" s="1" t="n">
        <v>45842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11309-2022</t>
        </is>
      </c>
      <c r="B207" s="1" t="n">
        <v>44629</v>
      </c>
      <c r="C207" s="1" t="n">
        <v>45842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13451-2022</t>
        </is>
      </c>
      <c r="B208" s="1" t="n">
        <v>44645</v>
      </c>
      <c r="C208" s="1" t="n">
        <v>45842</v>
      </c>
      <c r="D208" t="inlineStr">
        <is>
          <t>VÄSTERBOTTENS LÄN</t>
        </is>
      </c>
      <c r="E208" t="inlineStr">
        <is>
          <t>DOROTEA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13749-2022</t>
        </is>
      </c>
      <c r="B209" s="1" t="n">
        <v>44648</v>
      </c>
      <c r="C209" s="1" t="n">
        <v>45842</v>
      </c>
      <c r="D209" t="inlineStr">
        <is>
          <t>VÄSTERBOTTENS LÄN</t>
        </is>
      </c>
      <c r="E209" t="inlineStr">
        <is>
          <t>DOROTEA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18004-2022</t>
        </is>
      </c>
      <c r="B210" s="1" t="n">
        <v>44684</v>
      </c>
      <c r="C210" s="1" t="n">
        <v>45842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19204-2022</t>
        </is>
      </c>
      <c r="B211" s="1" t="n">
        <v>44692</v>
      </c>
      <c r="C211" s="1" t="n">
        <v>45842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19406-2022</t>
        </is>
      </c>
      <c r="B212" s="1" t="n">
        <v>44692</v>
      </c>
      <c r="C212" s="1" t="n">
        <v>45842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23213-2022</t>
        </is>
      </c>
      <c r="B213" s="1" t="n">
        <v>44720</v>
      </c>
      <c r="C213" s="1" t="n">
        <v>45842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23187-2022</t>
        </is>
      </c>
      <c r="B214" s="1" t="n">
        <v>44719</v>
      </c>
      <c r="C214" s="1" t="n">
        <v>45842</v>
      </c>
      <c r="D214" t="inlineStr">
        <is>
          <t>VÄSTERBOTTENS LÄN</t>
        </is>
      </c>
      <c r="E214" t="inlineStr">
        <is>
          <t>DOROTEA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23522-2022</t>
        </is>
      </c>
      <c r="B215" s="1" t="n">
        <v>44721</v>
      </c>
      <c r="C215" s="1" t="n">
        <v>45842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Övriga statliga verk och myndigheter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24183-2022</t>
        </is>
      </c>
      <c r="B216" s="1" t="n">
        <v>44725</v>
      </c>
      <c r="C216" s="1" t="n">
        <v>45842</v>
      </c>
      <c r="D216" t="inlineStr">
        <is>
          <t>VÄSTERBOTTENS LÄN</t>
        </is>
      </c>
      <c r="E216" t="inlineStr">
        <is>
          <t>DOROTEA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26419-2022</t>
        </is>
      </c>
      <c r="B217" s="1" t="n">
        <v>44736</v>
      </c>
      <c r="C217" s="1" t="n">
        <v>45842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27138-2022</t>
        </is>
      </c>
      <c r="B218" s="1" t="n">
        <v>44741</v>
      </c>
      <c r="C218" s="1" t="n">
        <v>45842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27558-2022</t>
        </is>
      </c>
      <c r="B219" s="1" t="n">
        <v>44742</v>
      </c>
      <c r="C219" s="1" t="n">
        <v>45842</v>
      </c>
      <c r="D219" t="inlineStr">
        <is>
          <t>VÄSTERBOTTENS LÄN</t>
        </is>
      </c>
      <c r="E219" t="inlineStr">
        <is>
          <t>DOROTEA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27590-2022</t>
        </is>
      </c>
      <c r="B220" s="1" t="n">
        <v>44742</v>
      </c>
      <c r="C220" s="1" t="n">
        <v>45842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27589-2022</t>
        </is>
      </c>
      <c r="B221" s="1" t="n">
        <v>44742</v>
      </c>
      <c r="C221" s="1" t="n">
        <v>45842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28717-2022</t>
        </is>
      </c>
      <c r="B222" s="1" t="n">
        <v>44749</v>
      </c>
      <c r="C222" s="1" t="n">
        <v>45842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29048-2022</t>
        </is>
      </c>
      <c r="B223" s="1" t="n">
        <v>44750</v>
      </c>
      <c r="C223" s="1" t="n">
        <v>45842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29862-2022</t>
        </is>
      </c>
      <c r="B224" s="1" t="n">
        <v>44756</v>
      </c>
      <c r="C224" s="1" t="n">
        <v>45842</v>
      </c>
      <c r="D224" t="inlineStr">
        <is>
          <t>VÄSTERBOTTENS LÄN</t>
        </is>
      </c>
      <c r="E224" t="inlineStr">
        <is>
          <t>DOROTEA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30050-2022</t>
        </is>
      </c>
      <c r="B225" s="1" t="n">
        <v>44756</v>
      </c>
      <c r="C225" s="1" t="n">
        <v>45842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30049-2022</t>
        </is>
      </c>
      <c r="B226" s="1" t="n">
        <v>44757</v>
      </c>
      <c r="C226" s="1" t="n">
        <v>45842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30245-2022</t>
        </is>
      </c>
      <c r="B227" s="1" t="n">
        <v>44757</v>
      </c>
      <c r="C227" s="1" t="n">
        <v>45842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30456-2022</t>
        </is>
      </c>
      <c r="B228" s="1" t="n">
        <v>44761</v>
      </c>
      <c r="C228" s="1" t="n">
        <v>45842</v>
      </c>
      <c r="D228" t="inlineStr">
        <is>
          <t>VÄSTERBOTTENS LÄN</t>
        </is>
      </c>
      <c r="E228" t="inlineStr">
        <is>
          <t>DOROTEA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33521-2022</t>
        </is>
      </c>
      <c r="B229" s="1" t="n">
        <v>44789</v>
      </c>
      <c r="C229" s="1" t="n">
        <v>45842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34006-2022</t>
        </is>
      </c>
      <c r="B230" s="1" t="n">
        <v>44791</v>
      </c>
      <c r="C230" s="1" t="n">
        <v>45842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35476-2022</t>
        </is>
      </c>
      <c r="B231" s="1" t="n">
        <v>44799</v>
      </c>
      <c r="C231" s="1" t="n">
        <v>45842</v>
      </c>
      <c r="D231" t="inlineStr">
        <is>
          <t>VÄSTERBOTTENS LÄN</t>
        </is>
      </c>
      <c r="E231" t="inlineStr">
        <is>
          <t>DOROTEA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35748-2022</t>
        </is>
      </c>
      <c r="B232" s="1" t="n">
        <v>44799</v>
      </c>
      <c r="C232" s="1" t="n">
        <v>45842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36102-2022</t>
        </is>
      </c>
      <c r="B233" s="1" t="n">
        <v>44803</v>
      </c>
      <c r="C233" s="1" t="n">
        <v>45842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36103-2022</t>
        </is>
      </c>
      <c r="B234" s="1" t="n">
        <v>44802</v>
      </c>
      <c r="C234" s="1" t="n">
        <v>45842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37833-2022</t>
        </is>
      </c>
      <c r="B235" s="1" t="n">
        <v>44811</v>
      </c>
      <c r="C235" s="1" t="n">
        <v>45842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38469-2022</t>
        </is>
      </c>
      <c r="B236" s="1" t="n">
        <v>44813</v>
      </c>
      <c r="C236" s="1" t="n">
        <v>45842</v>
      </c>
      <c r="D236" t="inlineStr">
        <is>
          <t>VÄSTERBOTTENS LÄN</t>
        </is>
      </c>
      <c r="E236" t="inlineStr">
        <is>
          <t>DOROTEA</t>
        </is>
      </c>
      <c r="G236" t="n">
        <v>18.9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38968-2022</t>
        </is>
      </c>
      <c r="B237" s="1" t="n">
        <v>44816</v>
      </c>
      <c r="C237" s="1" t="n">
        <v>45842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39375-2022</t>
        </is>
      </c>
      <c r="B238" s="1" t="n">
        <v>44817</v>
      </c>
      <c r="C238" s="1" t="n">
        <v>45842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41353-2022</t>
        </is>
      </c>
      <c r="B239" s="1" t="n">
        <v>44824</v>
      </c>
      <c r="C239" s="1" t="n">
        <v>45842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43138-2022</t>
        </is>
      </c>
      <c r="B240" s="1" t="n">
        <v>44834</v>
      </c>
      <c r="C240" s="1" t="n">
        <v>45842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43403-2022</t>
        </is>
      </c>
      <c r="B241" s="1" t="n">
        <v>44834</v>
      </c>
      <c r="C241" s="1" t="n">
        <v>45842</v>
      </c>
      <c r="D241" t="inlineStr">
        <is>
          <t>VÄSTERBOTTENS LÄN</t>
        </is>
      </c>
      <c r="E241" t="inlineStr">
        <is>
          <t>DOROTEA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43508-2022</t>
        </is>
      </c>
      <c r="B242" s="1" t="n">
        <v>44837</v>
      </c>
      <c r="C242" s="1" t="n">
        <v>45842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43503-2022</t>
        </is>
      </c>
      <c r="B243" s="1" t="n">
        <v>44837</v>
      </c>
      <c r="C243" s="1" t="n">
        <v>45842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Kyrkan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43776-2022</t>
        </is>
      </c>
      <c r="B244" s="1" t="n">
        <v>44837</v>
      </c>
      <c r="C244" s="1" t="n">
        <v>45842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44037-2022</t>
        </is>
      </c>
      <c r="B245" s="1" t="n">
        <v>44838</v>
      </c>
      <c r="C245" s="1" t="n">
        <v>45842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44386-2022</t>
        </is>
      </c>
      <c r="B246" s="1" t="n">
        <v>44838</v>
      </c>
      <c r="C246" s="1" t="n">
        <v>45842</v>
      </c>
      <c r="D246" t="inlineStr">
        <is>
          <t>VÄSTERBOTTENS LÄN</t>
        </is>
      </c>
      <c r="E246" t="inlineStr">
        <is>
          <t>DOROTEA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44392-2022</t>
        </is>
      </c>
      <c r="B247" s="1" t="n">
        <v>44838</v>
      </c>
      <c r="C247" s="1" t="n">
        <v>45842</v>
      </c>
      <c r="D247" t="inlineStr">
        <is>
          <t>VÄSTERBOTTENS LÄN</t>
        </is>
      </c>
      <c r="E247" t="inlineStr">
        <is>
          <t>DOROTEA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44380-2022</t>
        </is>
      </c>
      <c r="B248" s="1" t="n">
        <v>44838</v>
      </c>
      <c r="C248" s="1" t="n">
        <v>45842</v>
      </c>
      <c r="D248" t="inlineStr">
        <is>
          <t>VÄSTERBOTTENS LÄN</t>
        </is>
      </c>
      <c r="E248" t="inlineStr">
        <is>
          <t>DOROTEA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44440-2022</t>
        </is>
      </c>
      <c r="B249" s="1" t="n">
        <v>44839</v>
      </c>
      <c r="C249" s="1" t="n">
        <v>45842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45080-2022</t>
        </is>
      </c>
      <c r="B250" s="1" t="n">
        <v>44841</v>
      </c>
      <c r="C250" s="1" t="n">
        <v>45842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46163-2022</t>
        </is>
      </c>
      <c r="B251" s="1" t="n">
        <v>44845</v>
      </c>
      <c r="C251" s="1" t="n">
        <v>45842</v>
      </c>
      <c r="D251" t="inlineStr">
        <is>
          <t>VÄSTERBOTTENS LÄN</t>
        </is>
      </c>
      <c r="E251" t="inlineStr">
        <is>
          <t>DOROTEA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45834-2022</t>
        </is>
      </c>
      <c r="B252" s="1" t="n">
        <v>44846</v>
      </c>
      <c r="C252" s="1" t="n">
        <v>45842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46817-2022</t>
        </is>
      </c>
      <c r="B253" s="1" t="n">
        <v>44848</v>
      </c>
      <c r="C253" s="1" t="n">
        <v>45842</v>
      </c>
      <c r="D253" t="inlineStr">
        <is>
          <t>VÄSTERBOTTENS LÄN</t>
        </is>
      </c>
      <c r="E253" t="inlineStr">
        <is>
          <t>DOROTEA</t>
        </is>
      </c>
      <c r="G253" t="n">
        <v>29.8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46978-2022</t>
        </is>
      </c>
      <c r="B254" s="1" t="n">
        <v>44851</v>
      </c>
      <c r="C254" s="1" t="n">
        <v>45842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46982-2022</t>
        </is>
      </c>
      <c r="B255" s="1" t="n">
        <v>44851</v>
      </c>
      <c r="C255" s="1" t="n">
        <v>45842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47266-2022</t>
        </is>
      </c>
      <c r="B256" s="1" t="n">
        <v>44852</v>
      </c>
      <c r="C256" s="1" t="n">
        <v>45842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47263-2022</t>
        </is>
      </c>
      <c r="B257" s="1" t="n">
        <v>44853</v>
      </c>
      <c r="C257" s="1" t="n">
        <v>45842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47572-2022</t>
        </is>
      </c>
      <c r="B258" s="1" t="n">
        <v>44853</v>
      </c>
      <c r="C258" s="1" t="n">
        <v>45842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48087-2022</t>
        </is>
      </c>
      <c r="B259" s="1" t="n">
        <v>44856</v>
      </c>
      <c r="C259" s="1" t="n">
        <v>45842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48935-2022</t>
        </is>
      </c>
      <c r="B260" s="1" t="n">
        <v>44859</v>
      </c>
      <c r="C260" s="1" t="n">
        <v>45842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49077-2022</t>
        </is>
      </c>
      <c r="B261" s="1" t="n">
        <v>44860</v>
      </c>
      <c r="C261" s="1" t="n">
        <v>45842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49536-2022</t>
        </is>
      </c>
      <c r="B262" s="1" t="n">
        <v>44861</v>
      </c>
      <c r="C262" s="1" t="n">
        <v>45842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49517-2022</t>
        </is>
      </c>
      <c r="B263" s="1" t="n">
        <v>44862</v>
      </c>
      <c r="C263" s="1" t="n">
        <v>45842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49534-2022</t>
        </is>
      </c>
      <c r="B264" s="1" t="n">
        <v>44861</v>
      </c>
      <c r="C264" s="1" t="n">
        <v>45842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49535-2022</t>
        </is>
      </c>
      <c r="B265" s="1" t="n">
        <v>44861</v>
      </c>
      <c r="C265" s="1" t="n">
        <v>45842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50769-2022</t>
        </is>
      </c>
      <c r="B266" s="1" t="n">
        <v>44867</v>
      </c>
      <c r="C266" s="1" t="n">
        <v>45842</v>
      </c>
      <c r="D266" t="inlineStr">
        <is>
          <t>VÄSTERBOTTENS LÄN</t>
        </is>
      </c>
      <c r="E266" t="inlineStr">
        <is>
          <t>DOROTEA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52343-2022</t>
        </is>
      </c>
      <c r="B267" s="1" t="n">
        <v>44873</v>
      </c>
      <c r="C267" s="1" t="n">
        <v>45842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53795-2022</t>
        </is>
      </c>
      <c r="B268" s="1" t="n">
        <v>44876</v>
      </c>
      <c r="C268" s="1" t="n">
        <v>45842</v>
      </c>
      <c r="D268" t="inlineStr">
        <is>
          <t>VÄSTERBOTTENS LÄN</t>
        </is>
      </c>
      <c r="E268" t="inlineStr">
        <is>
          <t>DOROTEA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55210-2022</t>
        </is>
      </c>
      <c r="B269" s="1" t="n">
        <v>44886</v>
      </c>
      <c r="C269" s="1" t="n">
        <v>45842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55888-2022</t>
        </is>
      </c>
      <c r="B270" s="1" t="n">
        <v>44888</v>
      </c>
      <c r="C270" s="1" t="n">
        <v>45842</v>
      </c>
      <c r="D270" t="inlineStr">
        <is>
          <t>VÄSTERBOTTENS LÄN</t>
        </is>
      </c>
      <c r="E270" t="inlineStr">
        <is>
          <t>DOROTEA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55889-2022</t>
        </is>
      </c>
      <c r="B271" s="1" t="n">
        <v>44888</v>
      </c>
      <c r="C271" s="1" t="n">
        <v>45842</v>
      </c>
      <c r="D271" t="inlineStr">
        <is>
          <t>VÄSTERBOTTENS LÄN</t>
        </is>
      </c>
      <c r="E271" t="inlineStr">
        <is>
          <t>DOROTEA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57431-2022</t>
        </is>
      </c>
      <c r="B272" s="1" t="n">
        <v>44889</v>
      </c>
      <c r="C272" s="1" t="n">
        <v>45842</v>
      </c>
      <c r="D272" t="inlineStr">
        <is>
          <t>VÄSTERBOTTENS LÄN</t>
        </is>
      </c>
      <c r="E272" t="inlineStr">
        <is>
          <t>DOROTEA</t>
        </is>
      </c>
      <c r="G272" t="n">
        <v>15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57236-2022</t>
        </is>
      </c>
      <c r="B273" s="1" t="n">
        <v>44889</v>
      </c>
      <c r="C273" s="1" t="n">
        <v>45842</v>
      </c>
      <c r="D273" t="inlineStr">
        <is>
          <t>VÄSTERBOTTENS LÄN</t>
        </is>
      </c>
      <c r="E273" t="inlineStr">
        <is>
          <t>DOROTEA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57376-2022</t>
        </is>
      </c>
      <c r="B274" s="1" t="n">
        <v>44889</v>
      </c>
      <c r="C274" s="1" t="n">
        <v>45842</v>
      </c>
      <c r="D274" t="inlineStr">
        <is>
          <t>VÄSTERBOTTENS LÄN</t>
        </is>
      </c>
      <c r="E274" t="inlineStr">
        <is>
          <t>DOROTEA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56738-2022</t>
        </is>
      </c>
      <c r="B275" s="1" t="n">
        <v>44893</v>
      </c>
      <c r="C275" s="1" t="n">
        <v>45842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73.2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58168-2022</t>
        </is>
      </c>
      <c r="B276" s="1" t="n">
        <v>44900</v>
      </c>
      <c r="C276" s="1" t="n">
        <v>45842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58719-2022</t>
        </is>
      </c>
      <c r="B277" s="1" t="n">
        <v>44902</v>
      </c>
      <c r="C277" s="1" t="n">
        <v>45842</v>
      </c>
      <c r="D277" t="inlineStr">
        <is>
          <t>VÄSTERBOTTENS LÄN</t>
        </is>
      </c>
      <c r="E277" t="inlineStr">
        <is>
          <t>DOROTEA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60304-2022</t>
        </is>
      </c>
      <c r="B278" s="1" t="n">
        <v>44910</v>
      </c>
      <c r="C278" s="1" t="n">
        <v>45842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60686-2022</t>
        </is>
      </c>
      <c r="B279" s="1" t="n">
        <v>44911</v>
      </c>
      <c r="C279" s="1" t="n">
        <v>45842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61393-2022</t>
        </is>
      </c>
      <c r="B280" s="1" t="n">
        <v>44915</v>
      </c>
      <c r="C280" s="1" t="n">
        <v>45842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62657-2022</t>
        </is>
      </c>
      <c r="B281" s="1" t="n">
        <v>44925</v>
      </c>
      <c r="C281" s="1" t="n">
        <v>45842</v>
      </c>
      <c r="D281" t="inlineStr">
        <is>
          <t>VÄSTERBOTTENS LÄN</t>
        </is>
      </c>
      <c r="E281" t="inlineStr">
        <is>
          <t>DOROTEA</t>
        </is>
      </c>
      <c r="G281" t="n">
        <v>22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711-2023</t>
        </is>
      </c>
      <c r="B282" s="1" t="n">
        <v>44930</v>
      </c>
      <c r="C282" s="1" t="n">
        <v>45842</v>
      </c>
      <c r="D282" t="inlineStr">
        <is>
          <t>VÄSTERBOTTENS LÄN</t>
        </is>
      </c>
      <c r="E282" t="inlineStr">
        <is>
          <t>DOROTEA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914-2023</t>
        </is>
      </c>
      <c r="B283" s="1" t="n">
        <v>44931</v>
      </c>
      <c r="C283" s="1" t="n">
        <v>45842</v>
      </c>
      <c r="D283" t="inlineStr">
        <is>
          <t>VÄSTERBOTTENS LÄN</t>
        </is>
      </c>
      <c r="E283" t="inlineStr">
        <is>
          <t>DOROTEA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912-2023</t>
        </is>
      </c>
      <c r="B284" s="1" t="n">
        <v>44931</v>
      </c>
      <c r="C284" s="1" t="n">
        <v>45842</v>
      </c>
      <c r="D284" t="inlineStr">
        <is>
          <t>VÄSTERBOTTENS LÄN</t>
        </is>
      </c>
      <c r="E284" t="inlineStr">
        <is>
          <t>DOROTEA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1218-2023</t>
        </is>
      </c>
      <c r="B285" s="1" t="n">
        <v>44935</v>
      </c>
      <c r="C285" s="1" t="n">
        <v>45842</v>
      </c>
      <c r="D285" t="inlineStr">
        <is>
          <t>VÄSTERBOTTENS LÄN</t>
        </is>
      </c>
      <c r="E285" t="inlineStr">
        <is>
          <t>DOROTEA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1648-2023</t>
        </is>
      </c>
      <c r="B286" s="1" t="n">
        <v>44937</v>
      </c>
      <c r="C286" s="1" t="n">
        <v>45842</v>
      </c>
      <c r="D286" t="inlineStr">
        <is>
          <t>VÄSTERBOTTENS LÄN</t>
        </is>
      </c>
      <c r="E286" t="inlineStr">
        <is>
          <t>DOROTEA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1862-2023</t>
        </is>
      </c>
      <c r="B287" s="1" t="n">
        <v>44938</v>
      </c>
      <c r="C287" s="1" t="n">
        <v>45842</v>
      </c>
      <c r="D287" t="inlineStr">
        <is>
          <t>VÄSTERBOTTENS LÄN</t>
        </is>
      </c>
      <c r="E287" t="inlineStr">
        <is>
          <t>DOROTEA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1865-2023</t>
        </is>
      </c>
      <c r="B288" s="1" t="n">
        <v>44938</v>
      </c>
      <c r="C288" s="1" t="n">
        <v>45842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1861-2023</t>
        </is>
      </c>
      <c r="B289" s="1" t="n">
        <v>44938</v>
      </c>
      <c r="C289" s="1" t="n">
        <v>45842</v>
      </c>
      <c r="D289" t="inlineStr">
        <is>
          <t>VÄSTERBOTTENS LÄN</t>
        </is>
      </c>
      <c r="E289" t="inlineStr">
        <is>
          <t>DOROTEA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2665-2023</t>
        </is>
      </c>
      <c r="B290" s="1" t="n">
        <v>44942</v>
      </c>
      <c r="C290" s="1" t="n">
        <v>45842</v>
      </c>
      <c r="D290" t="inlineStr">
        <is>
          <t>VÄSTERBOTTENS LÄN</t>
        </is>
      </c>
      <c r="E290" t="inlineStr">
        <is>
          <t>DOROTEA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2683-2023</t>
        </is>
      </c>
      <c r="B291" s="1" t="n">
        <v>44942</v>
      </c>
      <c r="C291" s="1" t="n">
        <v>45842</v>
      </c>
      <c r="D291" t="inlineStr">
        <is>
          <t>VÄSTERBOTTENS LÄN</t>
        </is>
      </c>
      <c r="E291" t="inlineStr">
        <is>
          <t>DOROTEA</t>
        </is>
      </c>
      <c r="G291" t="n">
        <v>22.7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4618-2023</t>
        </is>
      </c>
      <c r="B292" s="1" t="n">
        <v>44956</v>
      </c>
      <c r="C292" s="1" t="n">
        <v>45842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4616-2023</t>
        </is>
      </c>
      <c r="B293" s="1" t="n">
        <v>44956</v>
      </c>
      <c r="C293" s="1" t="n">
        <v>45842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4617-2023</t>
        </is>
      </c>
      <c r="B294" s="1" t="n">
        <v>44956</v>
      </c>
      <c r="C294" s="1" t="n">
        <v>45842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4958-2023</t>
        </is>
      </c>
      <c r="B295" s="1" t="n">
        <v>44956</v>
      </c>
      <c r="C295" s="1" t="n">
        <v>45842</v>
      </c>
      <c r="D295" t="inlineStr">
        <is>
          <t>VÄSTERBOTTENS LÄN</t>
        </is>
      </c>
      <c r="E295" t="inlineStr">
        <is>
          <t>DOROTEA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5834-2023</t>
        </is>
      </c>
      <c r="B296" s="1" t="n">
        <v>44958</v>
      </c>
      <c r="C296" s="1" t="n">
        <v>45842</v>
      </c>
      <c r="D296" t="inlineStr">
        <is>
          <t>VÄSTERBOTTENS LÄN</t>
        </is>
      </c>
      <c r="E296" t="inlineStr">
        <is>
          <t>DOROTEA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5716-2023</t>
        </is>
      </c>
      <c r="B297" s="1" t="n">
        <v>44960</v>
      </c>
      <c r="C297" s="1" t="n">
        <v>45842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5715-2023</t>
        </is>
      </c>
      <c r="B298" s="1" t="n">
        <v>44960</v>
      </c>
      <c r="C298" s="1" t="n">
        <v>45842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6621-2023</t>
        </is>
      </c>
      <c r="B299" s="1" t="n">
        <v>44960</v>
      </c>
      <c r="C299" s="1" t="n">
        <v>45842</v>
      </c>
      <c r="D299" t="inlineStr">
        <is>
          <t>VÄSTERBOTTENS LÄN</t>
        </is>
      </c>
      <c r="E299" t="inlineStr">
        <is>
          <t>DOROTEA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5733-2023</t>
        </is>
      </c>
      <c r="B300" s="1" t="n">
        <v>44962</v>
      </c>
      <c r="C300" s="1" t="n">
        <v>45842</v>
      </c>
      <c r="D300" t="inlineStr">
        <is>
          <t>VÄSTERBOTTENS LÄN</t>
        </is>
      </c>
      <c r="E300" t="inlineStr">
        <is>
          <t>DOROTEA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7329-2023</t>
        </is>
      </c>
      <c r="B301" s="1" t="n">
        <v>44970</v>
      </c>
      <c r="C301" s="1" t="n">
        <v>45842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7422-2023</t>
        </is>
      </c>
      <c r="B302" s="1" t="n">
        <v>44971</v>
      </c>
      <c r="C302" s="1" t="n">
        <v>45842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7429-2023</t>
        </is>
      </c>
      <c r="B303" s="1" t="n">
        <v>44971</v>
      </c>
      <c r="C303" s="1" t="n">
        <v>45842</v>
      </c>
      <c r="D303" t="inlineStr">
        <is>
          <t>VÄSTERBOTTENS LÄN</t>
        </is>
      </c>
      <c r="E303" t="inlineStr">
        <is>
          <t>DOROTEA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7719-2023</t>
        </is>
      </c>
      <c r="B304" s="1" t="n">
        <v>44972</v>
      </c>
      <c r="C304" s="1" t="n">
        <v>45842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8095-2023</t>
        </is>
      </c>
      <c r="B305" s="1" t="n">
        <v>44974</v>
      </c>
      <c r="C305" s="1" t="n">
        <v>45842</v>
      </c>
      <c r="D305" t="inlineStr">
        <is>
          <t>VÄSTERBOTTENS LÄN</t>
        </is>
      </c>
      <c r="E305" t="inlineStr">
        <is>
          <t>DOROTEA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8088-2023</t>
        </is>
      </c>
      <c r="B306" s="1" t="n">
        <v>44974</v>
      </c>
      <c r="C306" s="1" t="n">
        <v>45842</v>
      </c>
      <c r="D306" t="inlineStr">
        <is>
          <t>VÄSTERBOTTENS LÄN</t>
        </is>
      </c>
      <c r="E306" t="inlineStr">
        <is>
          <t>DOROTEA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8092-2023</t>
        </is>
      </c>
      <c r="B307" s="1" t="n">
        <v>44974</v>
      </c>
      <c r="C307" s="1" t="n">
        <v>45842</v>
      </c>
      <c r="D307" t="inlineStr">
        <is>
          <t>VÄSTERBOTTENS LÄN</t>
        </is>
      </c>
      <c r="E307" t="inlineStr">
        <is>
          <t>DOROTEA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9046-2023</t>
        </is>
      </c>
      <c r="B308" s="1" t="n">
        <v>44979</v>
      </c>
      <c r="C308" s="1" t="n">
        <v>45842</v>
      </c>
      <c r="D308" t="inlineStr">
        <is>
          <t>VÄSTERBOTTENS LÄN</t>
        </is>
      </c>
      <c r="E308" t="inlineStr">
        <is>
          <t>DOROTEA</t>
        </is>
      </c>
      <c r="G308" t="n">
        <v>35.4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9103-2023</t>
        </is>
      </c>
      <c r="B309" s="1" t="n">
        <v>44979</v>
      </c>
      <c r="C309" s="1" t="n">
        <v>45842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9102-2023</t>
        </is>
      </c>
      <c r="B310" s="1" t="n">
        <v>44979</v>
      </c>
      <c r="C310" s="1" t="n">
        <v>45842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10360-2023</t>
        </is>
      </c>
      <c r="B311" s="1" t="n">
        <v>44980</v>
      </c>
      <c r="C311" s="1" t="n">
        <v>45842</v>
      </c>
      <c r="D311" t="inlineStr">
        <is>
          <t>VÄSTERBOTTENS LÄN</t>
        </is>
      </c>
      <c r="E311" t="inlineStr">
        <is>
          <t>DOROTEA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10300-2023</t>
        </is>
      </c>
      <c r="B312" s="1" t="n">
        <v>44986</v>
      </c>
      <c r="C312" s="1" t="n">
        <v>45842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10317-2023</t>
        </is>
      </c>
      <c r="B313" s="1" t="n">
        <v>44986</v>
      </c>
      <c r="C313" s="1" t="n">
        <v>45842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11037-2023</t>
        </is>
      </c>
      <c r="B314" s="1" t="n">
        <v>44991</v>
      </c>
      <c r="C314" s="1" t="n">
        <v>45842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11304-2023</t>
        </is>
      </c>
      <c r="B315" s="1" t="n">
        <v>44993</v>
      </c>
      <c r="C315" s="1" t="n">
        <v>45842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12005-2023</t>
        </is>
      </c>
      <c r="B316" s="1" t="n">
        <v>44994</v>
      </c>
      <c r="C316" s="1" t="n">
        <v>45842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12278-2023</t>
        </is>
      </c>
      <c r="B317" s="1" t="n">
        <v>44998</v>
      </c>
      <c r="C317" s="1" t="n">
        <v>45842</v>
      </c>
      <c r="D317" t="inlineStr">
        <is>
          <t>VÄSTERBOTTENS LÄN</t>
        </is>
      </c>
      <c r="E317" t="inlineStr">
        <is>
          <t>DOROTEA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12740-2023</t>
        </is>
      </c>
      <c r="B318" s="1" t="n">
        <v>45000</v>
      </c>
      <c r="C318" s="1" t="n">
        <v>45842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12751-2023</t>
        </is>
      </c>
      <c r="B319" s="1" t="n">
        <v>45000</v>
      </c>
      <c r="C319" s="1" t="n">
        <v>45842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12992-2023</t>
        </is>
      </c>
      <c r="B320" s="1" t="n">
        <v>45002</v>
      </c>
      <c r="C320" s="1" t="n">
        <v>45842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13265-2023</t>
        </is>
      </c>
      <c r="B321" s="1" t="n">
        <v>45002</v>
      </c>
      <c r="C321" s="1" t="n">
        <v>45842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13257-2023</t>
        </is>
      </c>
      <c r="B322" s="1" t="n">
        <v>45002</v>
      </c>
      <c r="C322" s="1" t="n">
        <v>45842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13490-2023</t>
        </is>
      </c>
      <c r="B323" s="1" t="n">
        <v>45005</v>
      </c>
      <c r="C323" s="1" t="n">
        <v>45842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14264-2023</t>
        </is>
      </c>
      <c r="B324" s="1" t="n">
        <v>45009</v>
      </c>
      <c r="C324" s="1" t="n">
        <v>45842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14806-2023</t>
        </is>
      </c>
      <c r="B325" s="1" t="n">
        <v>45013</v>
      </c>
      <c r="C325" s="1" t="n">
        <v>45842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14672-2023</t>
        </is>
      </c>
      <c r="B326" s="1" t="n">
        <v>45014</v>
      </c>
      <c r="C326" s="1" t="n">
        <v>45842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14673-2023</t>
        </is>
      </c>
      <c r="B327" s="1" t="n">
        <v>45013</v>
      </c>
      <c r="C327" s="1" t="n">
        <v>45842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14882-2023</t>
        </is>
      </c>
      <c r="B328" s="1" t="n">
        <v>45015</v>
      </c>
      <c r="C328" s="1" t="n">
        <v>45842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14881-2023</t>
        </is>
      </c>
      <c r="B329" s="1" t="n">
        <v>45015</v>
      </c>
      <c r="C329" s="1" t="n">
        <v>45842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14883-2023</t>
        </is>
      </c>
      <c r="B330" s="1" t="n">
        <v>45015</v>
      </c>
      <c r="C330" s="1" t="n">
        <v>45842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17658-2023</t>
        </is>
      </c>
      <c r="B331" s="1" t="n">
        <v>45036</v>
      </c>
      <c r="C331" s="1" t="n">
        <v>45842</v>
      </c>
      <c r="D331" t="inlineStr">
        <is>
          <t>VÄSTERBOTTENS LÄN</t>
        </is>
      </c>
      <c r="E331" t="inlineStr">
        <is>
          <t>DOROTEA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17783-2023</t>
        </is>
      </c>
      <c r="B332" s="1" t="n">
        <v>45036</v>
      </c>
      <c r="C332" s="1" t="n">
        <v>45842</v>
      </c>
      <c r="D332" t="inlineStr">
        <is>
          <t>VÄSTERBOTTENS LÄN</t>
        </is>
      </c>
      <c r="E332" t="inlineStr">
        <is>
          <t>DOROTEA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17776-2023</t>
        </is>
      </c>
      <c r="B333" s="1" t="n">
        <v>45036</v>
      </c>
      <c r="C333" s="1" t="n">
        <v>45842</v>
      </c>
      <c r="D333" t="inlineStr">
        <is>
          <t>VÄSTERBOTTENS LÄN</t>
        </is>
      </c>
      <c r="E333" t="inlineStr">
        <is>
          <t>DOROTEA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17787-2023</t>
        </is>
      </c>
      <c r="B334" s="1" t="n">
        <v>45036</v>
      </c>
      <c r="C334" s="1" t="n">
        <v>45842</v>
      </c>
      <c r="D334" t="inlineStr">
        <is>
          <t>VÄSTERBOTTENS LÄN</t>
        </is>
      </c>
      <c r="E334" t="inlineStr">
        <is>
          <t>DOROTEA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18982-2023</t>
        </is>
      </c>
      <c r="B335" s="1" t="n">
        <v>45044</v>
      </c>
      <c r="C335" s="1" t="n">
        <v>45842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20759-2023</t>
        </is>
      </c>
      <c r="B336" s="1" t="n">
        <v>45055</v>
      </c>
      <c r="C336" s="1" t="n">
        <v>45842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Övriga statliga verk och myndigheter</t>
        </is>
      </c>
      <c r="G336" t="n">
        <v>13.9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20618-2023</t>
        </is>
      </c>
      <c r="B337" s="1" t="n">
        <v>45057</v>
      </c>
      <c r="C337" s="1" t="n">
        <v>45842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20600-2023</t>
        </is>
      </c>
      <c r="B338" s="1" t="n">
        <v>45057</v>
      </c>
      <c r="C338" s="1" t="n">
        <v>45842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21712-2023</t>
        </is>
      </c>
      <c r="B339" s="1" t="n">
        <v>45064</v>
      </c>
      <c r="C339" s="1" t="n">
        <v>45842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22580-2023</t>
        </is>
      </c>
      <c r="B340" s="1" t="n">
        <v>45069</v>
      </c>
      <c r="C340" s="1" t="n">
        <v>45842</v>
      </c>
      <c r="D340" t="inlineStr">
        <is>
          <t>VÄSTERBOTTENS LÄN</t>
        </is>
      </c>
      <c r="E340" t="inlineStr">
        <is>
          <t>DOROTEA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22733-2023</t>
        </is>
      </c>
      <c r="B341" s="1" t="n">
        <v>45071</v>
      </c>
      <c r="C341" s="1" t="n">
        <v>45842</v>
      </c>
      <c r="D341" t="inlineStr">
        <is>
          <t>VÄSTERBOTTENS LÄN</t>
        </is>
      </c>
      <c r="E341" t="inlineStr">
        <is>
          <t>DOROTEA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23300-2023</t>
        </is>
      </c>
      <c r="B342" s="1" t="n">
        <v>45075</v>
      </c>
      <c r="C342" s="1" t="n">
        <v>45842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23557-2023</t>
        </is>
      </c>
      <c r="B343" s="1" t="n">
        <v>45077</v>
      </c>
      <c r="C343" s="1" t="n">
        <v>45842</v>
      </c>
      <c r="D343" t="inlineStr">
        <is>
          <t>VÄSTERBOTTENS LÄN</t>
        </is>
      </c>
      <c r="E343" t="inlineStr">
        <is>
          <t>DOROTEA</t>
        </is>
      </c>
      <c r="G343" t="n">
        <v>16.8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23553-2023</t>
        </is>
      </c>
      <c r="B344" s="1" t="n">
        <v>45077</v>
      </c>
      <c r="C344" s="1" t="n">
        <v>45842</v>
      </c>
      <c r="D344" t="inlineStr">
        <is>
          <t>VÄSTERBOTTENS LÄN</t>
        </is>
      </c>
      <c r="E344" t="inlineStr">
        <is>
          <t>DOROTEA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24297-2023</t>
        </is>
      </c>
      <c r="B345" s="1" t="n">
        <v>45079</v>
      </c>
      <c r="C345" s="1" t="n">
        <v>45842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25836-2023</t>
        </is>
      </c>
      <c r="B346" s="1" t="n">
        <v>45090</v>
      </c>
      <c r="C346" s="1" t="n">
        <v>45842</v>
      </c>
      <c r="D346" t="inlineStr">
        <is>
          <t>VÄSTERBOTTENS LÄN</t>
        </is>
      </c>
      <c r="E346" t="inlineStr">
        <is>
          <t>DOROTEA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26359-2023</t>
        </is>
      </c>
      <c r="B347" s="1" t="n">
        <v>45091</v>
      </c>
      <c r="C347" s="1" t="n">
        <v>45842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27477-2023</t>
        </is>
      </c>
      <c r="B348" s="1" t="n">
        <v>45097</v>
      </c>
      <c r="C348" s="1" t="n">
        <v>45842</v>
      </c>
      <c r="D348" t="inlineStr">
        <is>
          <t>VÄSTERBOTTENS LÄN</t>
        </is>
      </c>
      <c r="E348" t="inlineStr">
        <is>
          <t>DOROTEA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29641-2023</t>
        </is>
      </c>
      <c r="B349" s="1" t="n">
        <v>45098</v>
      </c>
      <c r="C349" s="1" t="n">
        <v>45842</v>
      </c>
      <c r="D349" t="inlineStr">
        <is>
          <t>VÄSTERBOTTENS LÄN</t>
        </is>
      </c>
      <c r="E349" t="inlineStr">
        <is>
          <t>DOROTEA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29643-2023</t>
        </is>
      </c>
      <c r="B350" s="1" t="n">
        <v>45098</v>
      </c>
      <c r="C350" s="1" t="n">
        <v>45842</v>
      </c>
      <c r="D350" t="inlineStr">
        <is>
          <t>VÄSTERBOTTENS LÄN</t>
        </is>
      </c>
      <c r="E350" t="inlineStr">
        <is>
          <t>DOROTEA</t>
        </is>
      </c>
      <c r="G350" t="n">
        <v>21.6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29645-2023</t>
        </is>
      </c>
      <c r="B351" s="1" t="n">
        <v>45098</v>
      </c>
      <c r="C351" s="1" t="n">
        <v>45842</v>
      </c>
      <c r="D351" t="inlineStr">
        <is>
          <t>VÄSTERBOTTENS LÄN</t>
        </is>
      </c>
      <c r="E351" t="inlineStr">
        <is>
          <t>DOROTEA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28386-2023</t>
        </is>
      </c>
      <c r="B352" s="1" t="n">
        <v>45100</v>
      </c>
      <c r="C352" s="1" t="n">
        <v>45842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30166-2023</t>
        </is>
      </c>
      <c r="B353" s="1" t="n">
        <v>45099</v>
      </c>
      <c r="C353" s="1" t="n">
        <v>45842</v>
      </c>
      <c r="D353" t="inlineStr">
        <is>
          <t>VÄSTERBOTTENS LÄN</t>
        </is>
      </c>
      <c r="E353" t="inlineStr">
        <is>
          <t>DOROTEA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28549-2023</t>
        </is>
      </c>
      <c r="B354" s="1" t="n">
        <v>45103</v>
      </c>
      <c r="C354" s="1" t="n">
        <v>45842</v>
      </c>
      <c r="D354" t="inlineStr">
        <is>
          <t>VÄSTERBOTTENS LÄN</t>
        </is>
      </c>
      <c r="E354" t="inlineStr">
        <is>
          <t>DOROTEA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29953-2023</t>
        </is>
      </c>
      <c r="B355" s="1" t="n">
        <v>45107</v>
      </c>
      <c r="C355" s="1" t="n">
        <v>45842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30286-2023</t>
        </is>
      </c>
      <c r="B356" s="1" t="n">
        <v>45110</v>
      </c>
      <c r="C356" s="1" t="n">
        <v>45842</v>
      </c>
      <c r="D356" t="inlineStr">
        <is>
          <t>VÄSTERBOTTENS LÄN</t>
        </is>
      </c>
      <c r="E356" t="inlineStr">
        <is>
          <t>DOROTEA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30296-2023</t>
        </is>
      </c>
      <c r="B357" s="1" t="n">
        <v>45110</v>
      </c>
      <c r="C357" s="1" t="n">
        <v>45842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30561-2023</t>
        </is>
      </c>
      <c r="B358" s="1" t="n">
        <v>45112</v>
      </c>
      <c r="C358" s="1" t="n">
        <v>45842</v>
      </c>
      <c r="D358" t="inlineStr">
        <is>
          <t>VÄSTERBOTTENS LÄN</t>
        </is>
      </c>
      <c r="E358" t="inlineStr">
        <is>
          <t>DOROTEA</t>
        </is>
      </c>
      <c r="G358" t="n">
        <v>38.5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30570-2023</t>
        </is>
      </c>
      <c r="B359" s="1" t="n">
        <v>45111</v>
      </c>
      <c r="C359" s="1" t="n">
        <v>45842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31494-2023</t>
        </is>
      </c>
      <c r="B360" s="1" t="n">
        <v>45114</v>
      </c>
      <c r="C360" s="1" t="n">
        <v>45842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32474-2023</t>
        </is>
      </c>
      <c r="B361" s="1" t="n">
        <v>45120</v>
      </c>
      <c r="C361" s="1" t="n">
        <v>45842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32723-2023</t>
        </is>
      </c>
      <c r="B362" s="1" t="n">
        <v>45121</v>
      </c>
      <c r="C362" s="1" t="n">
        <v>45842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34101-2023</t>
        </is>
      </c>
      <c r="B363" s="1" t="n">
        <v>45125</v>
      </c>
      <c r="C363" s="1" t="n">
        <v>45842</v>
      </c>
      <c r="D363" t="inlineStr">
        <is>
          <t>VÄSTERBOTTENS LÄN</t>
        </is>
      </c>
      <c r="E363" t="inlineStr">
        <is>
          <t>DOROTEA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34107-2023</t>
        </is>
      </c>
      <c r="B364" s="1" t="n">
        <v>45125</v>
      </c>
      <c r="C364" s="1" t="n">
        <v>45842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34312-2023</t>
        </is>
      </c>
      <c r="B365" s="1" t="n">
        <v>45139</v>
      </c>
      <c r="C365" s="1" t="n">
        <v>45842</v>
      </c>
      <c r="D365" t="inlineStr">
        <is>
          <t>VÄSTERBOTTENS LÄN</t>
        </is>
      </c>
      <c r="E365" t="inlineStr">
        <is>
          <t>DOROTEA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34697-2023</t>
        </is>
      </c>
      <c r="B366" s="1" t="n">
        <v>45141</v>
      </c>
      <c r="C366" s="1" t="n">
        <v>45842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34707-2023</t>
        </is>
      </c>
      <c r="B367" s="1" t="n">
        <v>45140</v>
      </c>
      <c r="C367" s="1" t="n">
        <v>45842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34702-2023</t>
        </is>
      </c>
      <c r="B368" s="1" t="n">
        <v>45140</v>
      </c>
      <c r="C368" s="1" t="n">
        <v>45842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34706-2023</t>
        </is>
      </c>
      <c r="B369" s="1" t="n">
        <v>45140</v>
      </c>
      <c r="C369" s="1" t="n">
        <v>45842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34700-2023</t>
        </is>
      </c>
      <c r="B370" s="1" t="n">
        <v>45141</v>
      </c>
      <c r="C370" s="1" t="n">
        <v>45842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34820-2023</t>
        </is>
      </c>
      <c r="B371" s="1" t="n">
        <v>45140</v>
      </c>
      <c r="C371" s="1" t="n">
        <v>45842</v>
      </c>
      <c r="D371" t="inlineStr">
        <is>
          <t>VÄSTERBOTTENS LÄN</t>
        </is>
      </c>
      <c r="E371" t="inlineStr">
        <is>
          <t>DOROTEA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34853-2023</t>
        </is>
      </c>
      <c r="B372" s="1" t="n">
        <v>45142</v>
      </c>
      <c r="C372" s="1" t="n">
        <v>45842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34854-2023</t>
        </is>
      </c>
      <c r="B373" s="1" t="n">
        <v>45142</v>
      </c>
      <c r="C373" s="1" t="n">
        <v>45842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34996-2023</t>
        </is>
      </c>
      <c r="B374" s="1" t="n">
        <v>45142</v>
      </c>
      <c r="C374" s="1" t="n">
        <v>45842</v>
      </c>
      <c r="D374" t="inlineStr">
        <is>
          <t>VÄSTERBOTTENS LÄN</t>
        </is>
      </c>
      <c r="E374" t="inlineStr">
        <is>
          <t>DOROTEA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35000-2023</t>
        </is>
      </c>
      <c r="B375" s="1" t="n">
        <v>45143</v>
      </c>
      <c r="C375" s="1" t="n">
        <v>45842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34995-2023</t>
        </is>
      </c>
      <c r="B376" s="1" t="n">
        <v>45143</v>
      </c>
      <c r="C376" s="1" t="n">
        <v>45842</v>
      </c>
      <c r="D376" t="inlineStr">
        <is>
          <t>VÄSTERBOTTENS LÄN</t>
        </is>
      </c>
      <c r="E376" t="inlineStr">
        <is>
          <t>DOROTEA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35288-2023</t>
        </is>
      </c>
      <c r="B377" s="1" t="n">
        <v>45145</v>
      </c>
      <c r="C377" s="1" t="n">
        <v>45842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35287-2023</t>
        </is>
      </c>
      <c r="B378" s="1" t="n">
        <v>45145</v>
      </c>
      <c r="C378" s="1" t="n">
        <v>45842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35989-2023</t>
        </is>
      </c>
      <c r="B379" s="1" t="n">
        <v>45149</v>
      </c>
      <c r="C379" s="1" t="n">
        <v>45842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35990-2023</t>
        </is>
      </c>
      <c r="B380" s="1" t="n">
        <v>45149</v>
      </c>
      <c r="C380" s="1" t="n">
        <v>45842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36137-2023</t>
        </is>
      </c>
      <c r="B381" s="1" t="n">
        <v>45149</v>
      </c>
      <c r="C381" s="1" t="n">
        <v>45842</v>
      </c>
      <c r="D381" t="inlineStr">
        <is>
          <t>VÄSTERBOTTENS LÄN</t>
        </is>
      </c>
      <c r="E381" t="inlineStr">
        <is>
          <t>DOROTEA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36142-2023</t>
        </is>
      </c>
      <c r="B382" s="1" t="n">
        <v>45149</v>
      </c>
      <c r="C382" s="1" t="n">
        <v>45842</v>
      </c>
      <c r="D382" t="inlineStr">
        <is>
          <t>VÄSTERBOTTENS LÄN</t>
        </is>
      </c>
      <c r="E382" t="inlineStr">
        <is>
          <t>DOROTEA</t>
        </is>
      </c>
      <c r="G382" t="n">
        <v>17.9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36352-2023</t>
        </is>
      </c>
      <c r="B383" s="1" t="n">
        <v>45149</v>
      </c>
      <c r="C383" s="1" t="n">
        <v>45842</v>
      </c>
      <c r="D383" t="inlineStr">
        <is>
          <t>VÄSTERBOTTENS LÄN</t>
        </is>
      </c>
      <c r="E383" t="inlineStr">
        <is>
          <t>DOROTEA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36763-2023</t>
        </is>
      </c>
      <c r="B384" s="1" t="n">
        <v>45153</v>
      </c>
      <c r="C384" s="1" t="n">
        <v>45842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36762-2023</t>
        </is>
      </c>
      <c r="B385" s="1" t="n">
        <v>45154</v>
      </c>
      <c r="C385" s="1" t="n">
        <v>45842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36994-2023</t>
        </is>
      </c>
      <c r="B386" s="1" t="n">
        <v>45155</v>
      </c>
      <c r="C386" s="1" t="n">
        <v>45842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37254-2023</t>
        </is>
      </c>
      <c r="B387" s="1" t="n">
        <v>45155</v>
      </c>
      <c r="C387" s="1" t="n">
        <v>45842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37247-2023</t>
        </is>
      </c>
      <c r="B388" s="1" t="n">
        <v>45155</v>
      </c>
      <c r="C388" s="1" t="n">
        <v>45842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37539-2023</t>
        </is>
      </c>
      <c r="B389" s="1" t="n">
        <v>45159</v>
      </c>
      <c r="C389" s="1" t="n">
        <v>45842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37540-2023</t>
        </is>
      </c>
      <c r="B390" s="1" t="n">
        <v>45158</v>
      </c>
      <c r="C390" s="1" t="n">
        <v>45842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37541-2023</t>
        </is>
      </c>
      <c r="B391" s="1" t="n">
        <v>45158</v>
      </c>
      <c r="C391" s="1" t="n">
        <v>45842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38377-2023</t>
        </is>
      </c>
      <c r="B392" s="1" t="n">
        <v>45162</v>
      </c>
      <c r="C392" s="1" t="n">
        <v>45842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38676-2023</t>
        </is>
      </c>
      <c r="B393" s="1" t="n">
        <v>45162</v>
      </c>
      <c r="C393" s="1" t="n">
        <v>45842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40436-2023</t>
        </is>
      </c>
      <c r="B394" s="1" t="n">
        <v>45170</v>
      </c>
      <c r="C394" s="1" t="n">
        <v>45842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40435-2023</t>
        </is>
      </c>
      <c r="B395" s="1" t="n">
        <v>45169</v>
      </c>
      <c r="C395" s="1" t="n">
        <v>45842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40437-2023</t>
        </is>
      </c>
      <c r="B396" s="1" t="n">
        <v>45170</v>
      </c>
      <c r="C396" s="1" t="n">
        <v>45842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40438-2023</t>
        </is>
      </c>
      <c r="B397" s="1" t="n">
        <v>45170</v>
      </c>
      <c r="C397" s="1" t="n">
        <v>45842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40434-2023</t>
        </is>
      </c>
      <c r="B398" s="1" t="n">
        <v>45170</v>
      </c>
      <c r="C398" s="1" t="n">
        <v>45842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41107-2023</t>
        </is>
      </c>
      <c r="B399" s="1" t="n">
        <v>45170</v>
      </c>
      <c r="C399" s="1" t="n">
        <v>45842</v>
      </c>
      <c r="D399" t="inlineStr">
        <is>
          <t>VÄSTERBOTTENS LÄN</t>
        </is>
      </c>
      <c r="E399" t="inlineStr">
        <is>
          <t>DOROTEA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40759-2023</t>
        </is>
      </c>
      <c r="B400" s="1" t="n">
        <v>45171</v>
      </c>
      <c r="C400" s="1" t="n">
        <v>45842</v>
      </c>
      <c r="D400" t="inlineStr">
        <is>
          <t>VÄSTERBOTTENS LÄN</t>
        </is>
      </c>
      <c r="E400" t="inlineStr">
        <is>
          <t>DOROTEA</t>
        </is>
      </c>
      <c r="G400" t="n">
        <v>23.1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41104-2023</t>
        </is>
      </c>
      <c r="B401" s="1" t="n">
        <v>45170</v>
      </c>
      <c r="C401" s="1" t="n">
        <v>45842</v>
      </c>
      <c r="D401" t="inlineStr">
        <is>
          <t>VÄSTERBOTTENS LÄN</t>
        </is>
      </c>
      <c r="E401" t="inlineStr">
        <is>
          <t>DOROTEA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42515-2023</t>
        </is>
      </c>
      <c r="B402" s="1" t="n">
        <v>45180</v>
      </c>
      <c r="C402" s="1" t="n">
        <v>45842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43092-2023</t>
        </is>
      </c>
      <c r="B403" s="1" t="n">
        <v>45183</v>
      </c>
      <c r="C403" s="1" t="n">
        <v>45842</v>
      </c>
      <c r="D403" t="inlineStr">
        <is>
          <t>VÄSTERBOTTENS LÄN</t>
        </is>
      </c>
      <c r="E403" t="inlineStr">
        <is>
          <t>DOROTEA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43949-2023</t>
        </is>
      </c>
      <c r="B404" s="1" t="n">
        <v>45188</v>
      </c>
      <c r="C404" s="1" t="n">
        <v>45842</v>
      </c>
      <c r="D404" t="inlineStr">
        <is>
          <t>VÄSTERBOTTENS LÄN</t>
        </is>
      </c>
      <c r="E404" t="inlineStr">
        <is>
          <t>DOROTEA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44972-2023</t>
        </is>
      </c>
      <c r="B405" s="1" t="n">
        <v>45191</v>
      </c>
      <c r="C405" s="1" t="n">
        <v>45842</v>
      </c>
      <c r="D405" t="inlineStr">
        <is>
          <t>VÄSTERBOTTENS LÄN</t>
        </is>
      </c>
      <c r="E405" t="inlineStr">
        <is>
          <t>DOROTEA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44973-2023</t>
        </is>
      </c>
      <c r="B406" s="1" t="n">
        <v>45191</v>
      </c>
      <c r="C406" s="1" t="n">
        <v>45842</v>
      </c>
      <c r="D406" t="inlineStr">
        <is>
          <t>VÄSTERBOTTENS LÄN</t>
        </is>
      </c>
      <c r="E406" t="inlineStr">
        <is>
          <t>DOROTEA</t>
        </is>
      </c>
      <c r="G406" t="n">
        <v>23.9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45324-2023</t>
        </is>
      </c>
      <c r="B407" s="1" t="n">
        <v>45192</v>
      </c>
      <c r="C407" s="1" t="n">
        <v>45842</v>
      </c>
      <c r="D407" t="inlineStr">
        <is>
          <t>VÄSTERBOTTENS LÄN</t>
        </is>
      </c>
      <c r="E407" t="inlineStr">
        <is>
          <t>DOROTEA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45957-2023</t>
        </is>
      </c>
      <c r="B408" s="1" t="n">
        <v>45196</v>
      </c>
      <c r="C408" s="1" t="n">
        <v>45842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45948-2023</t>
        </is>
      </c>
      <c r="B409" s="1" t="n">
        <v>45196</v>
      </c>
      <c r="C409" s="1" t="n">
        <v>45842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45956-2023</t>
        </is>
      </c>
      <c r="B410" s="1" t="n">
        <v>45196</v>
      </c>
      <c r="C410" s="1" t="n">
        <v>45842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46819-2023</t>
        </is>
      </c>
      <c r="B411" s="1" t="n">
        <v>45198</v>
      </c>
      <c r="C411" s="1" t="n">
        <v>45842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48006-2023</t>
        </is>
      </c>
      <c r="B412" s="1" t="n">
        <v>45198</v>
      </c>
      <c r="C412" s="1" t="n">
        <v>45842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46818-2023</t>
        </is>
      </c>
      <c r="B413" s="1" t="n">
        <v>45198</v>
      </c>
      <c r="C413" s="1" t="n">
        <v>45842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47494-2023</t>
        </is>
      </c>
      <c r="B414" s="1" t="n">
        <v>45203</v>
      </c>
      <c r="C414" s="1" t="n">
        <v>45842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47493-2023</t>
        </is>
      </c>
      <c r="B415" s="1" t="n">
        <v>45202</v>
      </c>
      <c r="C415" s="1" t="n">
        <v>45842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47497-2023</t>
        </is>
      </c>
      <c r="B416" s="1" t="n">
        <v>45202</v>
      </c>
      <c r="C416" s="1" t="n">
        <v>45842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47492-2023</t>
        </is>
      </c>
      <c r="B417" s="1" t="n">
        <v>45203</v>
      </c>
      <c r="C417" s="1" t="n">
        <v>45842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47495-2023</t>
        </is>
      </c>
      <c r="B418" s="1" t="n">
        <v>45203</v>
      </c>
      <c r="C418" s="1" t="n">
        <v>45842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52276-2023</t>
        </is>
      </c>
      <c r="B419" s="1" t="n">
        <v>45217</v>
      </c>
      <c r="C419" s="1" t="n">
        <v>45842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51102-2023</t>
        </is>
      </c>
      <c r="B420" s="1" t="n">
        <v>45218</v>
      </c>
      <c r="C420" s="1" t="n">
        <v>45842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52135-2023</t>
        </is>
      </c>
      <c r="B421" s="1" t="n">
        <v>45223</v>
      </c>
      <c r="C421" s="1" t="n">
        <v>45842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52144-2023</t>
        </is>
      </c>
      <c r="B422" s="1" t="n">
        <v>45224</v>
      </c>
      <c r="C422" s="1" t="n">
        <v>45842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52125-2023</t>
        </is>
      </c>
      <c r="B423" s="1" t="n">
        <v>45224</v>
      </c>
      <c r="C423" s="1" t="n">
        <v>45842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52141-2023</t>
        </is>
      </c>
      <c r="B424" s="1" t="n">
        <v>45224</v>
      </c>
      <c r="C424" s="1" t="n">
        <v>45842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52126-2023</t>
        </is>
      </c>
      <c r="B425" s="1" t="n">
        <v>45224</v>
      </c>
      <c r="C425" s="1" t="n">
        <v>45842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52130-2023</t>
        </is>
      </c>
      <c r="B426" s="1" t="n">
        <v>45224</v>
      </c>
      <c r="C426" s="1" t="n">
        <v>45842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52138-2023</t>
        </is>
      </c>
      <c r="B427" s="1" t="n">
        <v>45224</v>
      </c>
      <c r="C427" s="1" t="n">
        <v>45842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52142-2023</t>
        </is>
      </c>
      <c r="B428" s="1" t="n">
        <v>45224</v>
      </c>
      <c r="C428" s="1" t="n">
        <v>45842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52150-2023</t>
        </is>
      </c>
      <c r="B429" s="1" t="n">
        <v>45224</v>
      </c>
      <c r="C429" s="1" t="n">
        <v>45842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52148-2023</t>
        </is>
      </c>
      <c r="B430" s="1" t="n">
        <v>45224</v>
      </c>
      <c r="C430" s="1" t="n">
        <v>45842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52143-2023</t>
        </is>
      </c>
      <c r="B431" s="1" t="n">
        <v>45224</v>
      </c>
      <c r="C431" s="1" t="n">
        <v>45842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52149-2023</t>
        </is>
      </c>
      <c r="B432" s="1" t="n">
        <v>45224</v>
      </c>
      <c r="C432" s="1" t="n">
        <v>45842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52393-2023</t>
        </is>
      </c>
      <c r="B433" s="1" t="n">
        <v>45225</v>
      </c>
      <c r="C433" s="1" t="n">
        <v>45842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53117-2023</t>
        </is>
      </c>
      <c r="B434" s="1" t="n">
        <v>45228</v>
      </c>
      <c r="C434" s="1" t="n">
        <v>45842</v>
      </c>
      <c r="D434" t="inlineStr">
        <is>
          <t>VÄSTERBOTTENS LÄN</t>
        </is>
      </c>
      <c r="E434" t="inlineStr">
        <is>
          <t>DOROTEA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53118-2023</t>
        </is>
      </c>
      <c r="B435" s="1" t="n">
        <v>45228</v>
      </c>
      <c r="C435" s="1" t="n">
        <v>45842</v>
      </c>
      <c r="D435" t="inlineStr">
        <is>
          <t>VÄSTERBOTTENS LÄN</t>
        </is>
      </c>
      <c r="E435" t="inlineStr">
        <is>
          <t>DOROTEA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53770-2023</t>
        </is>
      </c>
      <c r="B436" s="1" t="n">
        <v>45231</v>
      </c>
      <c r="C436" s="1" t="n">
        <v>45842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55155-2023</t>
        </is>
      </c>
      <c r="B437" s="1" t="n">
        <v>45230</v>
      </c>
      <c r="C437" s="1" t="n">
        <v>45842</v>
      </c>
      <c r="D437" t="inlineStr">
        <is>
          <t>VÄSTERBOTTENS LÄN</t>
        </is>
      </c>
      <c r="E437" t="inlineStr">
        <is>
          <t>DOROTEA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55146-2023</t>
        </is>
      </c>
      <c r="B438" s="1" t="n">
        <v>45230</v>
      </c>
      <c r="C438" s="1" t="n">
        <v>45842</v>
      </c>
      <c r="D438" t="inlineStr">
        <is>
          <t>VÄSTERBOTTENS LÄN</t>
        </is>
      </c>
      <c r="E438" t="inlineStr">
        <is>
          <t>DOROTEA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53856-2023</t>
        </is>
      </c>
      <c r="B439" s="1" t="n">
        <v>45231</v>
      </c>
      <c r="C439" s="1" t="n">
        <v>45842</v>
      </c>
      <c r="D439" t="inlineStr">
        <is>
          <t>VÄSTERBOTTENS LÄN</t>
        </is>
      </c>
      <c r="E439" t="inlineStr">
        <is>
          <t>DOROTEA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55738-2023</t>
        </is>
      </c>
      <c r="B440" s="1" t="n">
        <v>45232</v>
      </c>
      <c r="C440" s="1" t="n">
        <v>45842</v>
      </c>
      <c r="D440" t="inlineStr">
        <is>
          <t>VÄSTERBOTTENS LÄN</t>
        </is>
      </c>
      <c r="E440" t="inlineStr">
        <is>
          <t>DOROTEA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54603-2023</t>
        </is>
      </c>
      <c r="B441" s="1" t="n">
        <v>45233</v>
      </c>
      <c r="C441" s="1" t="n">
        <v>45842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54604-2023</t>
        </is>
      </c>
      <c r="B442" s="1" t="n">
        <v>45233</v>
      </c>
      <c r="C442" s="1" t="n">
        <v>45842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56316-2023</t>
        </is>
      </c>
      <c r="B443" s="1" t="n">
        <v>45236</v>
      </c>
      <c r="C443" s="1" t="n">
        <v>45842</v>
      </c>
      <c r="D443" t="inlineStr">
        <is>
          <t>VÄSTERBOTTENS LÄN</t>
        </is>
      </c>
      <c r="E443" t="inlineStr">
        <is>
          <t>DOROTEA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55919-2023</t>
        </is>
      </c>
      <c r="B444" s="1" t="n">
        <v>45240</v>
      </c>
      <c r="C444" s="1" t="n">
        <v>45842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56406-2023</t>
        </is>
      </c>
      <c r="B445" s="1" t="n">
        <v>45243</v>
      </c>
      <c r="C445" s="1" t="n">
        <v>45842</v>
      </c>
      <c r="D445" t="inlineStr">
        <is>
          <t>VÄSTERBOTTENS LÄN</t>
        </is>
      </c>
      <c r="E445" t="inlineStr">
        <is>
          <t>DOROTEA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57071-2023</t>
        </is>
      </c>
      <c r="B446" s="1" t="n">
        <v>45245</v>
      </c>
      <c r="C446" s="1" t="n">
        <v>45842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57074-2023</t>
        </is>
      </c>
      <c r="B447" s="1" t="n">
        <v>45245</v>
      </c>
      <c r="C447" s="1" t="n">
        <v>45842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57070-2023</t>
        </is>
      </c>
      <c r="B448" s="1" t="n">
        <v>45245</v>
      </c>
      <c r="C448" s="1" t="n">
        <v>45842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57379-2023</t>
        </is>
      </c>
      <c r="B449" s="1" t="n">
        <v>45245</v>
      </c>
      <c r="C449" s="1" t="n">
        <v>45842</v>
      </c>
      <c r="D449" t="inlineStr">
        <is>
          <t>VÄSTERBOTTENS LÄN</t>
        </is>
      </c>
      <c r="E449" t="inlineStr">
        <is>
          <t>DOROTEA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57793-2023</t>
        </is>
      </c>
      <c r="B450" s="1" t="n">
        <v>45247</v>
      </c>
      <c r="C450" s="1" t="n">
        <v>45842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57794-2023</t>
        </is>
      </c>
      <c r="B451" s="1" t="n">
        <v>45247</v>
      </c>
      <c r="C451" s="1" t="n">
        <v>45842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58465-2023</t>
        </is>
      </c>
      <c r="B452" s="1" t="n">
        <v>45251</v>
      </c>
      <c r="C452" s="1" t="n">
        <v>45842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58768-2023</t>
        </is>
      </c>
      <c r="B453" s="1" t="n">
        <v>45252</v>
      </c>
      <c r="C453" s="1" t="n">
        <v>45842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58761-2023</t>
        </is>
      </c>
      <c r="B454" s="1" t="n">
        <v>45251</v>
      </c>
      <c r="C454" s="1" t="n">
        <v>45842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59396-2023</t>
        </is>
      </c>
      <c r="B455" s="1" t="n">
        <v>45253</v>
      </c>
      <c r="C455" s="1" t="n">
        <v>45842</v>
      </c>
      <c r="D455" t="inlineStr">
        <is>
          <t>VÄSTERBOTTENS LÄN</t>
        </is>
      </c>
      <c r="E455" t="inlineStr">
        <is>
          <t>DOROTEA</t>
        </is>
      </c>
      <c r="G455" t="n">
        <v>27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59395-2023</t>
        </is>
      </c>
      <c r="B456" s="1" t="n">
        <v>45253</v>
      </c>
      <c r="C456" s="1" t="n">
        <v>45842</v>
      </c>
      <c r="D456" t="inlineStr">
        <is>
          <t>VÄSTERBOTTENS LÄN</t>
        </is>
      </c>
      <c r="E456" t="inlineStr">
        <is>
          <t>DOROTEA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59394-2023</t>
        </is>
      </c>
      <c r="B457" s="1" t="n">
        <v>45253</v>
      </c>
      <c r="C457" s="1" t="n">
        <v>45842</v>
      </c>
      <c r="D457" t="inlineStr">
        <is>
          <t>VÄSTERBOTTENS LÄN</t>
        </is>
      </c>
      <c r="E457" t="inlineStr">
        <is>
          <t>DOROTEA</t>
        </is>
      </c>
      <c r="G457" t="n">
        <v>28.8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59397-2023</t>
        </is>
      </c>
      <c r="B458" s="1" t="n">
        <v>45253</v>
      </c>
      <c r="C458" s="1" t="n">
        <v>45842</v>
      </c>
      <c r="D458" t="inlineStr">
        <is>
          <t>VÄSTERBOTTENS LÄN</t>
        </is>
      </c>
      <c r="E458" t="inlineStr">
        <is>
          <t>DOROTEA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59418-2023</t>
        </is>
      </c>
      <c r="B459" s="1" t="n">
        <v>45253</v>
      </c>
      <c r="C459" s="1" t="n">
        <v>45842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60015-2023</t>
        </is>
      </c>
      <c r="B460" s="1" t="n">
        <v>45258</v>
      </c>
      <c r="C460" s="1" t="n">
        <v>45842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60867-2023</t>
        </is>
      </c>
      <c r="B461" s="1" t="n">
        <v>45260</v>
      </c>
      <c r="C461" s="1" t="n">
        <v>45842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61148-2023</t>
        </is>
      </c>
      <c r="B462" s="1" t="n">
        <v>45261</v>
      </c>
      <c r="C462" s="1" t="n">
        <v>45842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62024-2023</t>
        </is>
      </c>
      <c r="B463" s="1" t="n">
        <v>45265</v>
      </c>
      <c r="C463" s="1" t="n">
        <v>45842</v>
      </c>
      <c r="D463" t="inlineStr">
        <is>
          <t>VÄSTERBOTTENS LÄN</t>
        </is>
      </c>
      <c r="E463" t="inlineStr">
        <is>
          <t>DOROTEA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62552-2023</t>
        </is>
      </c>
      <c r="B464" s="1" t="n">
        <v>45268</v>
      </c>
      <c r="C464" s="1" t="n">
        <v>45842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62553-2023</t>
        </is>
      </c>
      <c r="B465" s="1" t="n">
        <v>45268</v>
      </c>
      <c r="C465" s="1" t="n">
        <v>45842</v>
      </c>
      <c r="D465" t="inlineStr">
        <is>
          <t>VÄSTERBOTTENS LÄN</t>
        </is>
      </c>
      <c r="E465" t="inlineStr">
        <is>
          <t>DOROTEA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63084-2023</t>
        </is>
      </c>
      <c r="B466" s="1" t="n">
        <v>45272</v>
      </c>
      <c r="C466" s="1" t="n">
        <v>45842</v>
      </c>
      <c r="D466" t="inlineStr">
        <is>
          <t>VÄSTERBOTTENS LÄN</t>
        </is>
      </c>
      <c r="E466" t="inlineStr">
        <is>
          <t>DOROTEA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63123-2023</t>
        </is>
      </c>
      <c r="B467" s="1" t="n">
        <v>45272</v>
      </c>
      <c r="C467" s="1" t="n">
        <v>45842</v>
      </c>
      <c r="D467" t="inlineStr">
        <is>
          <t>VÄSTERBOTTENS LÄN</t>
        </is>
      </c>
      <c r="E467" t="inlineStr">
        <is>
          <t>DOROTEA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63296-2023</t>
        </is>
      </c>
      <c r="B468" s="1" t="n">
        <v>45273</v>
      </c>
      <c r="C468" s="1" t="n">
        <v>45842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64033-2023</t>
        </is>
      </c>
      <c r="B469" s="1" t="n">
        <v>45278</v>
      </c>
      <c r="C469" s="1" t="n">
        <v>45842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65186-2023</t>
        </is>
      </c>
      <c r="B470" s="1" t="n">
        <v>45289</v>
      </c>
      <c r="C470" s="1" t="n">
        <v>45842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65187-2023</t>
        </is>
      </c>
      <c r="B471" s="1" t="n">
        <v>45289</v>
      </c>
      <c r="C471" s="1" t="n">
        <v>45842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65244-2023</t>
        </is>
      </c>
      <c r="B472" s="1" t="n">
        <v>45289</v>
      </c>
      <c r="C472" s="1" t="n">
        <v>45842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99-2024</t>
        </is>
      </c>
      <c r="B473" s="1" t="n">
        <v>45293</v>
      </c>
      <c r="C473" s="1" t="n">
        <v>45842</v>
      </c>
      <c r="D473" t="inlineStr">
        <is>
          <t>VÄSTERBOTTENS LÄN</t>
        </is>
      </c>
      <c r="E473" t="inlineStr">
        <is>
          <t>DOROTEA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361-2024</t>
        </is>
      </c>
      <c r="B474" s="1" t="n">
        <v>45295</v>
      </c>
      <c r="C474" s="1" t="n">
        <v>45842</v>
      </c>
      <c r="D474" t="inlineStr">
        <is>
          <t>VÄSTERBOTTENS LÄN</t>
        </is>
      </c>
      <c r="E474" t="inlineStr">
        <is>
          <t>DOROTEA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860-2024</t>
        </is>
      </c>
      <c r="B475" s="1" t="n">
        <v>45300</v>
      </c>
      <c r="C475" s="1" t="n">
        <v>45842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1108-2024</t>
        </is>
      </c>
      <c r="B476" s="1" t="n">
        <v>45302</v>
      </c>
      <c r="C476" s="1" t="n">
        <v>45842</v>
      </c>
      <c r="D476" t="inlineStr">
        <is>
          <t>VÄSTERBOTTENS LÄN</t>
        </is>
      </c>
      <c r="E476" t="inlineStr">
        <is>
          <t>DOROTEA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1684-2024</t>
        </is>
      </c>
      <c r="B477" s="1" t="n">
        <v>45307</v>
      </c>
      <c r="C477" s="1" t="n">
        <v>45842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3017-2024</t>
        </is>
      </c>
      <c r="B478" s="1" t="n">
        <v>45315</v>
      </c>
      <c r="C478" s="1" t="n">
        <v>45842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5153-2024</t>
        </is>
      </c>
      <c r="B479" s="1" t="n">
        <v>45329</v>
      </c>
      <c r="C479" s="1" t="n">
        <v>45842</v>
      </c>
      <c r="D479" t="inlineStr">
        <is>
          <t>VÄSTERBOTTENS LÄN</t>
        </is>
      </c>
      <c r="E479" t="inlineStr">
        <is>
          <t>DOROTEA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5251-2024</t>
        </is>
      </c>
      <c r="B480" s="1" t="n">
        <v>45330</v>
      </c>
      <c r="C480" s="1" t="n">
        <v>45842</v>
      </c>
      <c r="D480" t="inlineStr">
        <is>
          <t>VÄSTERBOTTENS LÄN</t>
        </is>
      </c>
      <c r="E480" t="inlineStr">
        <is>
          <t>DOROTEA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5495-2024</t>
        </is>
      </c>
      <c r="B481" s="1" t="n">
        <v>45331</v>
      </c>
      <c r="C481" s="1" t="n">
        <v>45842</v>
      </c>
      <c r="D481" t="inlineStr">
        <is>
          <t>VÄSTERBOTTENS LÄN</t>
        </is>
      </c>
      <c r="E481" t="inlineStr">
        <is>
          <t>DOROTEA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6901-2024</t>
        </is>
      </c>
      <c r="B482" s="1" t="n">
        <v>45342</v>
      </c>
      <c r="C482" s="1" t="n">
        <v>45842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7847-2024</t>
        </is>
      </c>
      <c r="B483" s="1" t="n">
        <v>45350</v>
      </c>
      <c r="C483" s="1" t="n">
        <v>45842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8034-2024</t>
        </is>
      </c>
      <c r="B484" s="1" t="n">
        <v>45350</v>
      </c>
      <c r="C484" s="1" t="n">
        <v>45842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8246-2024</t>
        </is>
      </c>
      <c r="B485" s="1" t="n">
        <v>45352</v>
      </c>
      <c r="C485" s="1" t="n">
        <v>45842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8245-2024</t>
        </is>
      </c>
      <c r="B486" s="1" t="n">
        <v>45352</v>
      </c>
      <c r="C486" s="1" t="n">
        <v>45842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8247-2024</t>
        </is>
      </c>
      <c r="B487" s="1" t="n">
        <v>45352</v>
      </c>
      <c r="C487" s="1" t="n">
        <v>45842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8648-2024</t>
        </is>
      </c>
      <c r="B488" s="1" t="n">
        <v>45356</v>
      </c>
      <c r="C488" s="1" t="n">
        <v>45842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8852-2024</t>
        </is>
      </c>
      <c r="B489" s="1" t="n">
        <v>45356</v>
      </c>
      <c r="C489" s="1" t="n">
        <v>45842</v>
      </c>
      <c r="D489" t="inlineStr">
        <is>
          <t>VÄSTERBOTTENS LÄN</t>
        </is>
      </c>
      <c r="E489" t="inlineStr">
        <is>
          <t>DOROTEA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9258-2024</t>
        </is>
      </c>
      <c r="B490" s="1" t="n">
        <v>45357</v>
      </c>
      <c r="C490" s="1" t="n">
        <v>45842</v>
      </c>
      <c r="D490" t="inlineStr">
        <is>
          <t>VÄSTERBOTTENS LÄN</t>
        </is>
      </c>
      <c r="E490" t="inlineStr">
        <is>
          <t>DOROTEA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9832-2024</t>
        </is>
      </c>
      <c r="B491" s="1" t="n">
        <v>45363</v>
      </c>
      <c r="C491" s="1" t="n">
        <v>45842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9826-2024</t>
        </is>
      </c>
      <c r="B492" s="1" t="n">
        <v>45363</v>
      </c>
      <c r="C492" s="1" t="n">
        <v>45842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9827-2024</t>
        </is>
      </c>
      <c r="B493" s="1" t="n">
        <v>45363</v>
      </c>
      <c r="C493" s="1" t="n">
        <v>45842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10029-2024</t>
        </is>
      </c>
      <c r="B494" s="1" t="n">
        <v>45364</v>
      </c>
      <c r="C494" s="1" t="n">
        <v>45842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10624-2024</t>
        </is>
      </c>
      <c r="B495" s="1" t="n">
        <v>45367</v>
      </c>
      <c r="C495" s="1" t="n">
        <v>45842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11537-2024</t>
        </is>
      </c>
      <c r="B496" s="1" t="n">
        <v>45372</v>
      </c>
      <c r="C496" s="1" t="n">
        <v>45842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11757-2024</t>
        </is>
      </c>
      <c r="B497" s="1" t="n">
        <v>45373</v>
      </c>
      <c r="C497" s="1" t="n">
        <v>45842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11766-2024</t>
        </is>
      </c>
      <c r="B498" s="1" t="n">
        <v>45373</v>
      </c>
      <c r="C498" s="1" t="n">
        <v>45842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11759-2024</t>
        </is>
      </c>
      <c r="B499" s="1" t="n">
        <v>45373</v>
      </c>
      <c r="C499" s="1" t="n">
        <v>45842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11758-2024</t>
        </is>
      </c>
      <c r="B500" s="1" t="n">
        <v>45373</v>
      </c>
      <c r="C500" s="1" t="n">
        <v>45842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12356-2024</t>
        </is>
      </c>
      <c r="B501" s="1" t="n">
        <v>45378</v>
      </c>
      <c r="C501" s="1" t="n">
        <v>45842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12357-2024</t>
        </is>
      </c>
      <c r="B502" s="1" t="n">
        <v>45378</v>
      </c>
      <c r="C502" s="1" t="n">
        <v>45842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12358-2024</t>
        </is>
      </c>
      <c r="B503" s="1" t="n">
        <v>45378</v>
      </c>
      <c r="C503" s="1" t="n">
        <v>45842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13035-2024</t>
        </is>
      </c>
      <c r="B504" s="1" t="n">
        <v>45385</v>
      </c>
      <c r="C504" s="1" t="n">
        <v>45842</v>
      </c>
      <c r="D504" t="inlineStr">
        <is>
          <t>VÄSTERBOTTENS LÄN</t>
        </is>
      </c>
      <c r="E504" t="inlineStr">
        <is>
          <t>DOROTEA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13051-2024</t>
        </is>
      </c>
      <c r="B505" s="1" t="n">
        <v>45385</v>
      </c>
      <c r="C505" s="1" t="n">
        <v>45842</v>
      </c>
      <c r="D505" t="inlineStr">
        <is>
          <t>VÄSTERBOTTENS LÄN</t>
        </is>
      </c>
      <c r="E505" t="inlineStr">
        <is>
          <t>DOROTEA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13030-2024</t>
        </is>
      </c>
      <c r="B506" s="1" t="n">
        <v>45385</v>
      </c>
      <c r="C506" s="1" t="n">
        <v>45842</v>
      </c>
      <c r="D506" t="inlineStr">
        <is>
          <t>VÄSTERBOTTENS LÄN</t>
        </is>
      </c>
      <c r="E506" t="inlineStr">
        <is>
          <t>DOROTEA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13044-2024</t>
        </is>
      </c>
      <c r="B507" s="1" t="n">
        <v>45385</v>
      </c>
      <c r="C507" s="1" t="n">
        <v>45842</v>
      </c>
      <c r="D507" t="inlineStr">
        <is>
          <t>VÄSTERBOTTENS LÄN</t>
        </is>
      </c>
      <c r="E507" t="inlineStr">
        <is>
          <t>DOROTEA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13927-2024</t>
        </is>
      </c>
      <c r="B508" s="1" t="n">
        <v>45392</v>
      </c>
      <c r="C508" s="1" t="n">
        <v>45842</v>
      </c>
      <c r="D508" t="inlineStr">
        <is>
          <t>VÄSTERBOTTENS LÄN</t>
        </is>
      </c>
      <c r="E508" t="inlineStr">
        <is>
          <t>DOROTEA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13928-2024</t>
        </is>
      </c>
      <c r="B509" s="1" t="n">
        <v>45392</v>
      </c>
      <c r="C509" s="1" t="n">
        <v>45842</v>
      </c>
      <c r="D509" t="inlineStr">
        <is>
          <t>VÄSTERBOTTENS LÄN</t>
        </is>
      </c>
      <c r="E509" t="inlineStr">
        <is>
          <t>DOROTEA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14164-2024</t>
        </is>
      </c>
      <c r="B510" s="1" t="n">
        <v>45393</v>
      </c>
      <c r="C510" s="1" t="n">
        <v>45842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14163-2024</t>
        </is>
      </c>
      <c r="B511" s="1" t="n">
        <v>45393</v>
      </c>
      <c r="C511" s="1" t="n">
        <v>45842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14161-2024</t>
        </is>
      </c>
      <c r="B512" s="1" t="n">
        <v>45392</v>
      </c>
      <c r="C512" s="1" t="n">
        <v>45842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14320-2024</t>
        </is>
      </c>
      <c r="B513" s="1" t="n">
        <v>45393</v>
      </c>
      <c r="C513" s="1" t="n">
        <v>45842</v>
      </c>
      <c r="D513" t="inlineStr">
        <is>
          <t>VÄSTERBOTTENS LÄN</t>
        </is>
      </c>
      <c r="E513" t="inlineStr">
        <is>
          <t>DOROTEA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14935-2024</t>
        </is>
      </c>
      <c r="B514" s="1" t="n">
        <v>45399</v>
      </c>
      <c r="C514" s="1" t="n">
        <v>45842</v>
      </c>
      <c r="D514" t="inlineStr">
        <is>
          <t>VÄSTERBOTTENS LÄN</t>
        </is>
      </c>
      <c r="E514" t="inlineStr">
        <is>
          <t>DOROTEA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15044-2024</t>
        </is>
      </c>
      <c r="B515" s="1" t="n">
        <v>45399</v>
      </c>
      <c r="C515" s="1" t="n">
        <v>45842</v>
      </c>
      <c r="D515" t="inlineStr">
        <is>
          <t>VÄSTERBOTTENS LÄN</t>
        </is>
      </c>
      <c r="E515" t="inlineStr">
        <is>
          <t>DOROTEA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15057-2024</t>
        </is>
      </c>
      <c r="B516" s="1" t="n">
        <v>45399</v>
      </c>
      <c r="C516" s="1" t="n">
        <v>45842</v>
      </c>
      <c r="D516" t="inlineStr">
        <is>
          <t>VÄSTERBOTTENS LÄN</t>
        </is>
      </c>
      <c r="E516" t="inlineStr">
        <is>
          <t>DOROTEA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16227-2024</t>
        </is>
      </c>
      <c r="B517" s="1" t="n">
        <v>45406</v>
      </c>
      <c r="C517" s="1" t="n">
        <v>45842</v>
      </c>
      <c r="D517" t="inlineStr">
        <is>
          <t>VÄSTERBOTTENS LÄN</t>
        </is>
      </c>
      <c r="E517" t="inlineStr">
        <is>
          <t>DOROTEA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16230-2024</t>
        </is>
      </c>
      <c r="B518" s="1" t="n">
        <v>45407</v>
      </c>
      <c r="C518" s="1" t="n">
        <v>45842</v>
      </c>
      <c r="D518" t="inlineStr">
        <is>
          <t>VÄSTERBOTTENS LÄN</t>
        </is>
      </c>
      <c r="E518" t="inlineStr">
        <is>
          <t>DOROTEA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16234-2024</t>
        </is>
      </c>
      <c r="B519" s="1" t="n">
        <v>45407</v>
      </c>
      <c r="C519" s="1" t="n">
        <v>45842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16235-2024</t>
        </is>
      </c>
      <c r="B520" s="1" t="n">
        <v>45407</v>
      </c>
      <c r="C520" s="1" t="n">
        <v>45842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17419-2024</t>
        </is>
      </c>
      <c r="B521" s="1" t="n">
        <v>45415</v>
      </c>
      <c r="C521" s="1" t="n">
        <v>45842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17825-2024</t>
        </is>
      </c>
      <c r="B522" s="1" t="n">
        <v>45418</v>
      </c>
      <c r="C522" s="1" t="n">
        <v>45842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18599-2024</t>
        </is>
      </c>
      <c r="B523" s="1" t="n">
        <v>45425</v>
      </c>
      <c r="C523" s="1" t="n">
        <v>45842</v>
      </c>
      <c r="D523" t="inlineStr">
        <is>
          <t>VÄSTERBOTTENS LÄN</t>
        </is>
      </c>
      <c r="E523" t="inlineStr">
        <is>
          <t>DOROTEA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19589-2024</t>
        </is>
      </c>
      <c r="B524" s="1" t="n">
        <v>45430</v>
      </c>
      <c r="C524" s="1" t="n">
        <v>45842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19590-2024</t>
        </is>
      </c>
      <c r="B525" s="1" t="n">
        <v>45429</v>
      </c>
      <c r="C525" s="1" t="n">
        <v>45842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19592-2024</t>
        </is>
      </c>
      <c r="B526" s="1" t="n">
        <v>45430</v>
      </c>
      <c r="C526" s="1" t="n">
        <v>45842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20775-2024</t>
        </is>
      </c>
      <c r="B527" s="1" t="n">
        <v>45436</v>
      </c>
      <c r="C527" s="1" t="n">
        <v>45842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22450-2024</t>
        </is>
      </c>
      <c r="B528" s="1" t="n">
        <v>45447</v>
      </c>
      <c r="C528" s="1" t="n">
        <v>45842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22944-2024</t>
        </is>
      </c>
      <c r="B529" s="1" t="n">
        <v>45449</v>
      </c>
      <c r="C529" s="1" t="n">
        <v>45842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22946-2024</t>
        </is>
      </c>
      <c r="B530" s="1" t="n">
        <v>45449</v>
      </c>
      <c r="C530" s="1" t="n">
        <v>45842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22942-2024</t>
        </is>
      </c>
      <c r="B531" s="1" t="n">
        <v>45449</v>
      </c>
      <c r="C531" s="1" t="n">
        <v>45842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22943-2024</t>
        </is>
      </c>
      <c r="B532" s="1" t="n">
        <v>45449</v>
      </c>
      <c r="C532" s="1" t="n">
        <v>45842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22931-2024</t>
        </is>
      </c>
      <c r="B533" s="1" t="n">
        <v>45449</v>
      </c>
      <c r="C533" s="1" t="n">
        <v>45842</v>
      </c>
      <c r="D533" t="inlineStr">
        <is>
          <t>VÄSTERBOTTENS LÄN</t>
        </is>
      </c>
      <c r="E533" t="inlineStr">
        <is>
          <t>DOROTEA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22993-2024</t>
        </is>
      </c>
      <c r="B534" s="1" t="n">
        <v>45450</v>
      </c>
      <c r="C534" s="1" t="n">
        <v>45842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24458-2024</t>
        </is>
      </c>
      <c r="B535" s="1" t="n">
        <v>45457</v>
      </c>
      <c r="C535" s="1" t="n">
        <v>45842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24445-2024</t>
        </is>
      </c>
      <c r="B536" s="1" t="n">
        <v>45458</v>
      </c>
      <c r="C536" s="1" t="n">
        <v>45842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25028-2024</t>
        </is>
      </c>
      <c r="B537" s="1" t="n">
        <v>45462</v>
      </c>
      <c r="C537" s="1" t="n">
        <v>45842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25027-2024</t>
        </is>
      </c>
      <c r="B538" s="1" t="n">
        <v>45461</v>
      </c>
      <c r="C538" s="1" t="n">
        <v>45842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25031-2024</t>
        </is>
      </c>
      <c r="B539" s="1" t="n">
        <v>45462</v>
      </c>
      <c r="C539" s="1" t="n">
        <v>45842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25029-2024</t>
        </is>
      </c>
      <c r="B540" s="1" t="n">
        <v>45462</v>
      </c>
      <c r="C540" s="1" t="n">
        <v>45842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25030-2024</t>
        </is>
      </c>
      <c r="B541" s="1" t="n">
        <v>45462</v>
      </c>
      <c r="C541" s="1" t="n">
        <v>45842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25714-2024</t>
        </is>
      </c>
      <c r="B542" s="1" t="n">
        <v>45464</v>
      </c>
      <c r="C542" s="1" t="n">
        <v>45842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25719-2024</t>
        </is>
      </c>
      <c r="B543" s="1" t="n">
        <v>45463</v>
      </c>
      <c r="C543" s="1" t="n">
        <v>45842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26637-2024</t>
        </is>
      </c>
      <c r="B544" s="1" t="n">
        <v>45470</v>
      </c>
      <c r="C544" s="1" t="n">
        <v>45842</v>
      </c>
      <c r="D544" t="inlineStr">
        <is>
          <t>VÄSTERBOTTENS LÄN</t>
        </is>
      </c>
      <c r="E544" t="inlineStr">
        <is>
          <t>DOROTEA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26964-2024</t>
        </is>
      </c>
      <c r="B545" s="1" t="n">
        <v>45471</v>
      </c>
      <c r="C545" s="1" t="n">
        <v>45842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26777-2024</t>
        </is>
      </c>
      <c r="B546" s="1" t="n">
        <v>45470</v>
      </c>
      <c r="C546" s="1" t="n">
        <v>45842</v>
      </c>
      <c r="D546" t="inlineStr">
        <is>
          <t>VÄSTERBOTTENS LÄN</t>
        </is>
      </c>
      <c r="E546" t="inlineStr">
        <is>
          <t>DOROTEA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27305-2024</t>
        </is>
      </c>
      <c r="B547" s="1" t="n">
        <v>45472</v>
      </c>
      <c r="C547" s="1" t="n">
        <v>45842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27317-2024</t>
        </is>
      </c>
      <c r="B548" s="1" t="n">
        <v>45472</v>
      </c>
      <c r="C548" s="1" t="n">
        <v>45842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27662-2024</t>
        </is>
      </c>
      <c r="B549" s="1" t="n">
        <v>45475</v>
      </c>
      <c r="C549" s="1" t="n">
        <v>45842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27909-2024</t>
        </is>
      </c>
      <c r="B550" s="1" t="n">
        <v>45475</v>
      </c>
      <c r="C550" s="1" t="n">
        <v>45842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28856-2024</t>
        </is>
      </c>
      <c r="B551" s="1" t="n">
        <v>45479</v>
      </c>
      <c r="C551" s="1" t="n">
        <v>45842</v>
      </c>
      <c r="D551" t="inlineStr">
        <is>
          <t>VÄSTERBOTTENS LÄN</t>
        </is>
      </c>
      <c r="E551" t="inlineStr">
        <is>
          <t>DOROTEA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29090-2024</t>
        </is>
      </c>
      <c r="B552" s="1" t="n">
        <v>45481</v>
      </c>
      <c r="C552" s="1" t="n">
        <v>45842</v>
      </c>
      <c r="D552" t="inlineStr">
        <is>
          <t>VÄSTERBOTTENS LÄN</t>
        </is>
      </c>
      <c r="E552" t="inlineStr">
        <is>
          <t>DOROTEA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29089-2024</t>
        </is>
      </c>
      <c r="B553" s="1" t="n">
        <v>45481</v>
      </c>
      <c r="C553" s="1" t="n">
        <v>45842</v>
      </c>
      <c r="D553" t="inlineStr">
        <is>
          <t>VÄSTERBOTTENS LÄN</t>
        </is>
      </c>
      <c r="E553" t="inlineStr">
        <is>
          <t>DOROTEA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29239-2024</t>
        </is>
      </c>
      <c r="B554" s="1" t="n">
        <v>45483</v>
      </c>
      <c r="C554" s="1" t="n">
        <v>45842</v>
      </c>
      <c r="D554" t="inlineStr">
        <is>
          <t>VÄSTERBOTTENS LÄN</t>
        </is>
      </c>
      <c r="E554" t="inlineStr">
        <is>
          <t>DOROTEA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29454-2024</t>
        </is>
      </c>
      <c r="B555" s="1" t="n">
        <v>45484</v>
      </c>
      <c r="C555" s="1" t="n">
        <v>45842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29617-2024</t>
        </is>
      </c>
      <c r="B556" s="1" t="n">
        <v>45484</v>
      </c>
      <c r="C556" s="1" t="n">
        <v>45842</v>
      </c>
      <c r="D556" t="inlineStr">
        <is>
          <t>VÄSTERBOTTENS LÄN</t>
        </is>
      </c>
      <c r="E556" t="inlineStr">
        <is>
          <t>DOROTEA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29639-2024</t>
        </is>
      </c>
      <c r="B557" s="1" t="n">
        <v>45484</v>
      </c>
      <c r="C557" s="1" t="n">
        <v>45842</v>
      </c>
      <c r="D557" t="inlineStr">
        <is>
          <t>VÄSTERBOTTENS LÄN</t>
        </is>
      </c>
      <c r="E557" t="inlineStr">
        <is>
          <t>DOROTEA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29737-2024</t>
        </is>
      </c>
      <c r="B558" s="1" t="n">
        <v>45485</v>
      </c>
      <c r="C558" s="1" t="n">
        <v>45842</v>
      </c>
      <c r="D558" t="inlineStr">
        <is>
          <t>VÄSTERBOTTENS LÄN</t>
        </is>
      </c>
      <c r="E558" t="inlineStr">
        <is>
          <t>DOROTEA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30059-2024</t>
        </is>
      </c>
      <c r="B559" s="1" t="n">
        <v>45489</v>
      </c>
      <c r="C559" s="1" t="n">
        <v>45842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30057-2024</t>
        </is>
      </c>
      <c r="B560" s="1" t="n">
        <v>45489</v>
      </c>
      <c r="C560" s="1" t="n">
        <v>45842</v>
      </c>
      <c r="D560" t="inlineStr">
        <is>
          <t>VÄSTERBOTTENS LÄN</t>
        </is>
      </c>
      <c r="E560" t="inlineStr">
        <is>
          <t>DOROTEA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30468-2024</t>
        </is>
      </c>
      <c r="B561" s="1" t="n">
        <v>45491</v>
      </c>
      <c r="C561" s="1" t="n">
        <v>45842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30370-2024</t>
        </is>
      </c>
      <c r="B562" s="1" t="n">
        <v>45491</v>
      </c>
      <c r="C562" s="1" t="n">
        <v>45842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Sveaskog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30461-2024</t>
        </is>
      </c>
      <c r="B563" s="1" t="n">
        <v>45492</v>
      </c>
      <c r="C563" s="1" t="n">
        <v>45842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30471-2024</t>
        </is>
      </c>
      <c r="B564" s="1" t="n">
        <v>45492</v>
      </c>
      <c r="C564" s="1" t="n">
        <v>45842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30679-2024</t>
        </is>
      </c>
      <c r="B565" s="1" t="n">
        <v>45495</v>
      </c>
      <c r="C565" s="1" t="n">
        <v>45842</v>
      </c>
      <c r="D565" t="inlineStr">
        <is>
          <t>VÄSTERBOTTENS LÄN</t>
        </is>
      </c>
      <c r="E565" t="inlineStr">
        <is>
          <t>DOROTEA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31495-2024</t>
        </is>
      </c>
      <c r="B566" s="1" t="n">
        <v>45506</v>
      </c>
      <c r="C566" s="1" t="n">
        <v>45842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31494-2024</t>
        </is>
      </c>
      <c r="B567" s="1" t="n">
        <v>45506</v>
      </c>
      <c r="C567" s="1" t="n">
        <v>45842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31497-2024</t>
        </is>
      </c>
      <c r="B568" s="1" t="n">
        <v>45506</v>
      </c>
      <c r="C568" s="1" t="n">
        <v>45842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31501-2024</t>
        </is>
      </c>
      <c r="B569" s="1" t="n">
        <v>45506</v>
      </c>
      <c r="C569" s="1" t="n">
        <v>45842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31820-2024</t>
        </is>
      </c>
      <c r="B570" s="1" t="n">
        <v>45509</v>
      </c>
      <c r="C570" s="1" t="n">
        <v>45842</v>
      </c>
      <c r="D570" t="inlineStr">
        <is>
          <t>VÄSTERBOTTENS LÄN</t>
        </is>
      </c>
      <c r="E570" t="inlineStr">
        <is>
          <t>DOROTEA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32049-2024</t>
        </is>
      </c>
      <c r="B571" s="1" t="n">
        <v>45511</v>
      </c>
      <c r="C571" s="1" t="n">
        <v>45842</v>
      </c>
      <c r="D571" t="inlineStr">
        <is>
          <t>VÄSTERBOTTENS LÄN</t>
        </is>
      </c>
      <c r="E571" t="inlineStr">
        <is>
          <t>DOROTEA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32050-2024</t>
        </is>
      </c>
      <c r="B572" s="1" t="n">
        <v>45511</v>
      </c>
      <c r="C572" s="1" t="n">
        <v>45842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32218-2024</t>
        </is>
      </c>
      <c r="B573" s="1" t="n">
        <v>45511</v>
      </c>
      <c r="C573" s="1" t="n">
        <v>45842</v>
      </c>
      <c r="D573" t="inlineStr">
        <is>
          <t>VÄSTERBOTTENS LÄN</t>
        </is>
      </c>
      <c r="E573" t="inlineStr">
        <is>
          <t>DOROTEA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32821-2024</t>
        </is>
      </c>
      <c r="B574" s="1" t="n">
        <v>45516</v>
      </c>
      <c r="C574" s="1" t="n">
        <v>45842</v>
      </c>
      <c r="D574" t="inlineStr">
        <is>
          <t>VÄSTERBOTTENS LÄN</t>
        </is>
      </c>
      <c r="E574" t="inlineStr">
        <is>
          <t>DOROTEA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33113-2024</t>
        </is>
      </c>
      <c r="B575" s="1" t="n">
        <v>45517</v>
      </c>
      <c r="C575" s="1" t="n">
        <v>45842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33114-2024</t>
        </is>
      </c>
      <c r="B576" s="1" t="n">
        <v>45517</v>
      </c>
      <c r="C576" s="1" t="n">
        <v>45842</v>
      </c>
      <c r="D576" t="inlineStr">
        <is>
          <t>VÄSTERBOTTENS LÄN</t>
        </is>
      </c>
      <c r="E576" t="inlineStr">
        <is>
          <t>DOROTEA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33372-2024</t>
        </is>
      </c>
      <c r="B577" s="1" t="n">
        <v>45519</v>
      </c>
      <c r="C577" s="1" t="n">
        <v>45842</v>
      </c>
      <c r="D577" t="inlineStr">
        <is>
          <t>VÄSTERBOTTENS LÄN</t>
        </is>
      </c>
      <c r="E577" t="inlineStr">
        <is>
          <t>DOROTEA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33738-2024</t>
        </is>
      </c>
      <c r="B578" s="1" t="n">
        <v>45520</v>
      </c>
      <c r="C578" s="1" t="n">
        <v>45842</v>
      </c>
      <c r="D578" t="inlineStr">
        <is>
          <t>VÄSTERBOTTENS LÄN</t>
        </is>
      </c>
      <c r="E578" t="inlineStr">
        <is>
          <t>DOROTEA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34768-2024</t>
        </is>
      </c>
      <c r="B579" s="1" t="n">
        <v>45526</v>
      </c>
      <c r="C579" s="1" t="n">
        <v>45842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28.1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35431-2024</t>
        </is>
      </c>
      <c r="B580" s="1" t="n">
        <v>45531</v>
      </c>
      <c r="C580" s="1" t="n">
        <v>45842</v>
      </c>
      <c r="D580" t="inlineStr">
        <is>
          <t>VÄSTERBOTTENS LÄN</t>
        </is>
      </c>
      <c r="E580" t="inlineStr">
        <is>
          <t>DOROTEA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35404-2024</t>
        </is>
      </c>
      <c r="B581" s="1" t="n">
        <v>45531</v>
      </c>
      <c r="C581" s="1" t="n">
        <v>45842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36354-2024</t>
        </is>
      </c>
      <c r="B582" s="1" t="n">
        <v>45534</v>
      </c>
      <c r="C582" s="1" t="n">
        <v>45842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36410-2024</t>
        </is>
      </c>
      <c r="B583" s="1" t="n">
        <v>45535</v>
      </c>
      <c r="C583" s="1" t="n">
        <v>45842</v>
      </c>
      <c r="D583" t="inlineStr">
        <is>
          <t>VÄSTERBOTTENS LÄN</t>
        </is>
      </c>
      <c r="E583" t="inlineStr">
        <is>
          <t>DOROTEA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36409-2024</t>
        </is>
      </c>
      <c r="B584" s="1" t="n">
        <v>45535</v>
      </c>
      <c r="C584" s="1" t="n">
        <v>45842</v>
      </c>
      <c r="D584" t="inlineStr">
        <is>
          <t>VÄSTERBOTTENS LÄN</t>
        </is>
      </c>
      <c r="E584" t="inlineStr">
        <is>
          <t>DOROTEA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36564-2024</t>
        </is>
      </c>
      <c r="B585" s="1" t="n">
        <v>45537</v>
      </c>
      <c r="C585" s="1" t="n">
        <v>45842</v>
      </c>
      <c r="D585" t="inlineStr">
        <is>
          <t>VÄSTERBOTTENS LÄN</t>
        </is>
      </c>
      <c r="E585" t="inlineStr">
        <is>
          <t>DOROTEA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37105-2024</t>
        </is>
      </c>
      <c r="B586" s="1" t="n">
        <v>45539</v>
      </c>
      <c r="C586" s="1" t="n">
        <v>45842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37072-2024</t>
        </is>
      </c>
      <c r="B587" s="1" t="n">
        <v>45539</v>
      </c>
      <c r="C587" s="1" t="n">
        <v>45842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38174-2024</t>
        </is>
      </c>
      <c r="B588" s="1" t="n">
        <v>45545</v>
      </c>
      <c r="C588" s="1" t="n">
        <v>45842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38205-2024</t>
        </is>
      </c>
      <c r="B589" s="1" t="n">
        <v>45545</v>
      </c>
      <c r="C589" s="1" t="n">
        <v>45842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38700-2024</t>
        </is>
      </c>
      <c r="B590" s="1" t="n">
        <v>45547</v>
      </c>
      <c r="C590" s="1" t="n">
        <v>45842</v>
      </c>
      <c r="D590" t="inlineStr">
        <is>
          <t>VÄSTERBOTTENS LÄN</t>
        </is>
      </c>
      <c r="E590" t="inlineStr">
        <is>
          <t>DOROTEA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38697-2024</t>
        </is>
      </c>
      <c r="B591" s="1" t="n">
        <v>45547</v>
      </c>
      <c r="C591" s="1" t="n">
        <v>45842</v>
      </c>
      <c r="D591" t="inlineStr">
        <is>
          <t>VÄSTERBOTTENS LÄN</t>
        </is>
      </c>
      <c r="E591" t="inlineStr">
        <is>
          <t>DOROTEA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39470-2024</t>
        </is>
      </c>
      <c r="B592" s="1" t="n">
        <v>45551</v>
      </c>
      <c r="C592" s="1" t="n">
        <v>45842</v>
      </c>
      <c r="D592" t="inlineStr">
        <is>
          <t>VÄSTERBOTTENS LÄN</t>
        </is>
      </c>
      <c r="E592" t="inlineStr">
        <is>
          <t>DOROTEA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39471-2024</t>
        </is>
      </c>
      <c r="B593" s="1" t="n">
        <v>45551</v>
      </c>
      <c r="C593" s="1" t="n">
        <v>45842</v>
      </c>
      <c r="D593" t="inlineStr">
        <is>
          <t>VÄSTERBOTTENS LÄN</t>
        </is>
      </c>
      <c r="E593" t="inlineStr">
        <is>
          <t>DOROTEA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39721-2024</t>
        </is>
      </c>
      <c r="B594" s="1" t="n">
        <v>45552</v>
      </c>
      <c r="C594" s="1" t="n">
        <v>45842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40013-2024</t>
        </is>
      </c>
      <c r="B595" s="1" t="n">
        <v>45553</v>
      </c>
      <c r="C595" s="1" t="n">
        <v>45842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40004-2024</t>
        </is>
      </c>
      <c r="B596" s="1" t="n">
        <v>45553</v>
      </c>
      <c r="C596" s="1" t="n">
        <v>45842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40599-2024</t>
        </is>
      </c>
      <c r="B597" s="1" t="n">
        <v>45556</v>
      </c>
      <c r="C597" s="1" t="n">
        <v>45842</v>
      </c>
      <c r="D597" t="inlineStr">
        <is>
          <t>VÄSTERBOTTENS LÄN</t>
        </is>
      </c>
      <c r="E597" t="inlineStr">
        <is>
          <t>DOROTEA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41488-2024</t>
        </is>
      </c>
      <c r="B598" s="1" t="n">
        <v>45560</v>
      </c>
      <c r="C598" s="1" t="n">
        <v>45842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41562-2024</t>
        </is>
      </c>
      <c r="B599" s="1" t="n">
        <v>45560</v>
      </c>
      <c r="C599" s="1" t="n">
        <v>45842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41771-2024</t>
        </is>
      </c>
      <c r="B600" s="1" t="n">
        <v>45561</v>
      </c>
      <c r="C600" s="1" t="n">
        <v>45842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41760-2024</t>
        </is>
      </c>
      <c r="B601" s="1" t="n">
        <v>45561</v>
      </c>
      <c r="C601" s="1" t="n">
        <v>45842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42104-2024</t>
        </is>
      </c>
      <c r="B602" s="1" t="n">
        <v>45562</v>
      </c>
      <c r="C602" s="1" t="n">
        <v>45842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42228-2024</t>
        </is>
      </c>
      <c r="B603" s="1" t="n">
        <v>45562</v>
      </c>
      <c r="C603" s="1" t="n">
        <v>45842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42473-2024</t>
        </is>
      </c>
      <c r="B604" s="1" t="n">
        <v>45565</v>
      </c>
      <c r="C604" s="1" t="n">
        <v>45842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42484-2024</t>
        </is>
      </c>
      <c r="B605" s="1" t="n">
        <v>45565</v>
      </c>
      <c r="C605" s="1" t="n">
        <v>45842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42889-2024</t>
        </is>
      </c>
      <c r="B606" s="1" t="n">
        <v>45566</v>
      </c>
      <c r="C606" s="1" t="n">
        <v>45842</v>
      </c>
      <c r="D606" t="inlineStr">
        <is>
          <t>VÄSTERBOTTENS LÄN</t>
        </is>
      </c>
      <c r="E606" t="inlineStr">
        <is>
          <t>DOROTEA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43944-2024</t>
        </is>
      </c>
      <c r="B607" s="1" t="n">
        <v>45572</v>
      </c>
      <c r="C607" s="1" t="n">
        <v>45842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44311-2024</t>
        </is>
      </c>
      <c r="B608" s="1" t="n">
        <v>45573</v>
      </c>
      <c r="C608" s="1" t="n">
        <v>45842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44820-2024</t>
        </is>
      </c>
      <c r="B609" s="1" t="n">
        <v>45574</v>
      </c>
      <c r="C609" s="1" t="n">
        <v>45842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44620-2024</t>
        </is>
      </c>
      <c r="B610" s="1" t="n">
        <v>45574</v>
      </c>
      <c r="C610" s="1" t="n">
        <v>45842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45306-2024</t>
        </is>
      </c>
      <c r="B611" s="1" t="n">
        <v>45576</v>
      </c>
      <c r="C611" s="1" t="n">
        <v>45842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36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46353-2024</t>
        </is>
      </c>
      <c r="B612" s="1" t="n">
        <v>45582</v>
      </c>
      <c r="C612" s="1" t="n">
        <v>45842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46379-2024</t>
        </is>
      </c>
      <c r="B613" s="1" t="n">
        <v>45582</v>
      </c>
      <c r="C613" s="1" t="n">
        <v>45842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46768-2024</t>
        </is>
      </c>
      <c r="B614" s="1" t="n">
        <v>45583</v>
      </c>
      <c r="C614" s="1" t="n">
        <v>45842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46848-2024</t>
        </is>
      </c>
      <c r="B615" s="1" t="n">
        <v>45583</v>
      </c>
      <c r="C615" s="1" t="n">
        <v>45842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46837-2024</t>
        </is>
      </c>
      <c r="B616" s="1" t="n">
        <v>45583</v>
      </c>
      <c r="C616" s="1" t="n">
        <v>45842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46849-2024</t>
        </is>
      </c>
      <c r="B617" s="1" t="n">
        <v>45583</v>
      </c>
      <c r="C617" s="1" t="n">
        <v>45842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46966-2024</t>
        </is>
      </c>
      <c r="B618" s="1" t="n">
        <v>45586</v>
      </c>
      <c r="C618" s="1" t="n">
        <v>45842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46965-2024</t>
        </is>
      </c>
      <c r="B619" s="1" t="n">
        <v>45586</v>
      </c>
      <c r="C619" s="1" t="n">
        <v>45842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47847-2024</t>
        </is>
      </c>
      <c r="B620" s="1" t="n">
        <v>45588</v>
      </c>
      <c r="C620" s="1" t="n">
        <v>45842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48488-2024</t>
        </is>
      </c>
      <c r="B621" s="1" t="n">
        <v>45592</v>
      </c>
      <c r="C621" s="1" t="n">
        <v>45842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48773-2024</t>
        </is>
      </c>
      <c r="B622" s="1" t="n">
        <v>45593</v>
      </c>
      <c r="C622" s="1" t="n">
        <v>45842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49528-2024</t>
        </is>
      </c>
      <c r="B623" s="1" t="n">
        <v>45596</v>
      </c>
      <c r="C623" s="1" t="n">
        <v>45842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59.7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50582-2024</t>
        </is>
      </c>
      <c r="B624" s="1" t="n">
        <v>45600</v>
      </c>
      <c r="C624" s="1" t="n">
        <v>45842</v>
      </c>
      <c r="D624" t="inlineStr">
        <is>
          <t>VÄSTERBOTTENS LÄN</t>
        </is>
      </c>
      <c r="E624" t="inlineStr">
        <is>
          <t>DOROTEA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51061-2024</t>
        </is>
      </c>
      <c r="B625" s="1" t="n">
        <v>45603</v>
      </c>
      <c r="C625" s="1" t="n">
        <v>45842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51741-2024</t>
        </is>
      </c>
      <c r="B626" s="1" t="n">
        <v>45607</v>
      </c>
      <c r="C626" s="1" t="n">
        <v>45842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51740-2024</t>
        </is>
      </c>
      <c r="B627" s="1" t="n">
        <v>45607</v>
      </c>
      <c r="C627" s="1" t="n">
        <v>45842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51945-2024</t>
        </is>
      </c>
      <c r="B628" s="1" t="n">
        <v>45607</v>
      </c>
      <c r="C628" s="1" t="n">
        <v>45842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52680-2024</t>
        </is>
      </c>
      <c r="B629" s="1" t="n">
        <v>45610</v>
      </c>
      <c r="C629" s="1" t="n">
        <v>45842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52679-2024</t>
        </is>
      </c>
      <c r="B630" s="1" t="n">
        <v>45610</v>
      </c>
      <c r="C630" s="1" t="n">
        <v>45842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52899-2024</t>
        </is>
      </c>
      <c r="B631" s="1" t="n">
        <v>45610</v>
      </c>
      <c r="C631" s="1" t="n">
        <v>45842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12.4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52678-2024</t>
        </is>
      </c>
      <c r="B632" s="1" t="n">
        <v>45610</v>
      </c>
      <c r="C632" s="1" t="n">
        <v>45842</v>
      </c>
      <c r="D632" t="inlineStr">
        <is>
          <t>VÄSTERBOTTENS LÄN</t>
        </is>
      </c>
      <c r="E632" t="inlineStr">
        <is>
          <t>DOROTEA</t>
        </is>
      </c>
      <c r="F632" t="inlineStr">
        <is>
          <t>Övriga Aktiebolag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53092-2024</t>
        </is>
      </c>
      <c r="B633" s="1" t="n">
        <v>45611</v>
      </c>
      <c r="C633" s="1" t="n">
        <v>45842</v>
      </c>
      <c r="D633" t="inlineStr">
        <is>
          <t>VÄSTERBOTTENS LÄN</t>
        </is>
      </c>
      <c r="E633" t="inlineStr">
        <is>
          <t>DOROTEA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53469-2024</t>
        </is>
      </c>
      <c r="B634" s="1" t="n">
        <v>45611</v>
      </c>
      <c r="C634" s="1" t="n">
        <v>45842</v>
      </c>
      <c r="D634" t="inlineStr">
        <is>
          <t>VÄSTERBOTTENS LÄN</t>
        </is>
      </c>
      <c r="E634" t="inlineStr">
        <is>
          <t>DOROTEA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53377-2024</t>
        </is>
      </c>
      <c r="B635" s="1" t="n">
        <v>45614</v>
      </c>
      <c r="C635" s="1" t="n">
        <v>45842</v>
      </c>
      <c r="D635" t="inlineStr">
        <is>
          <t>VÄSTERBOTTENS LÄN</t>
        </is>
      </c>
      <c r="E635" t="inlineStr">
        <is>
          <t>DOROTEA</t>
        </is>
      </c>
      <c r="G635" t="n">
        <v>17.6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53607-2024</t>
        </is>
      </c>
      <c r="B636" s="1" t="n">
        <v>45614</v>
      </c>
      <c r="C636" s="1" t="n">
        <v>45842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25.5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53382-2024</t>
        </is>
      </c>
      <c r="B637" s="1" t="n">
        <v>45614</v>
      </c>
      <c r="C637" s="1" t="n">
        <v>45842</v>
      </c>
      <c r="D637" t="inlineStr">
        <is>
          <t>VÄSTERBOTTENS LÄN</t>
        </is>
      </c>
      <c r="E637" t="inlineStr">
        <is>
          <t>DOROTEA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53272-2024</t>
        </is>
      </c>
      <c r="B638" s="1" t="n">
        <v>45614</v>
      </c>
      <c r="C638" s="1" t="n">
        <v>45842</v>
      </c>
      <c r="D638" t="inlineStr">
        <is>
          <t>VÄSTERBOTTENS LÄN</t>
        </is>
      </c>
      <c r="E638" t="inlineStr">
        <is>
          <t>DOROTEA</t>
        </is>
      </c>
      <c r="G638" t="n">
        <v>31.7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53380-2024</t>
        </is>
      </c>
      <c r="B639" s="1" t="n">
        <v>45614</v>
      </c>
      <c r="C639" s="1" t="n">
        <v>45842</v>
      </c>
      <c r="D639" t="inlineStr">
        <is>
          <t>VÄSTERBOTTENS LÄN</t>
        </is>
      </c>
      <c r="E639" t="inlineStr">
        <is>
          <t>DOROTEA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53357-2024</t>
        </is>
      </c>
      <c r="B640" s="1" t="n">
        <v>45614</v>
      </c>
      <c r="C640" s="1" t="n">
        <v>45842</v>
      </c>
      <c r="D640" t="inlineStr">
        <is>
          <t>VÄSTERBOTTENS LÄN</t>
        </is>
      </c>
      <c r="E640" t="inlineStr">
        <is>
          <t>DOROTEA</t>
        </is>
      </c>
      <c r="G640" t="n">
        <v>26.5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53883-2024</t>
        </is>
      </c>
      <c r="B641" s="1" t="n">
        <v>45615</v>
      </c>
      <c r="C641" s="1" t="n">
        <v>45842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53882-2024</t>
        </is>
      </c>
      <c r="B642" s="1" t="n">
        <v>45615</v>
      </c>
      <c r="C642" s="1" t="n">
        <v>45842</v>
      </c>
      <c r="D642" t="inlineStr">
        <is>
          <t>VÄSTERBOTTENS LÄN</t>
        </is>
      </c>
      <c r="E642" t="inlineStr">
        <is>
          <t>DOROTEA</t>
        </is>
      </c>
      <c r="F642" t="inlineStr">
        <is>
          <t>Övriga Aktiebolag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54302-2024</t>
        </is>
      </c>
      <c r="B643" s="1" t="n">
        <v>45617</v>
      </c>
      <c r="C643" s="1" t="n">
        <v>45842</v>
      </c>
      <c r="D643" t="inlineStr">
        <is>
          <t>VÄSTERBOTTENS LÄN</t>
        </is>
      </c>
      <c r="E643" t="inlineStr">
        <is>
          <t>DOROTEA</t>
        </is>
      </c>
      <c r="G643" t="n">
        <v>12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55622-2024</t>
        </is>
      </c>
      <c r="B644" s="1" t="n">
        <v>45622</v>
      </c>
      <c r="C644" s="1" t="n">
        <v>45842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55549-2024</t>
        </is>
      </c>
      <c r="B645" s="1" t="n">
        <v>45622</v>
      </c>
      <c r="C645" s="1" t="n">
        <v>45842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55986-2024</t>
        </is>
      </c>
      <c r="B646" s="1" t="n">
        <v>45623</v>
      </c>
      <c r="C646" s="1" t="n">
        <v>45842</v>
      </c>
      <c r="D646" t="inlineStr">
        <is>
          <t>VÄSTERBOTTENS LÄN</t>
        </is>
      </c>
      <c r="E646" t="inlineStr">
        <is>
          <t>DOROTEA</t>
        </is>
      </c>
      <c r="G646" t="n">
        <v>20.1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56167-2024</t>
        </is>
      </c>
      <c r="B647" s="1" t="n">
        <v>45624</v>
      </c>
      <c r="C647" s="1" t="n">
        <v>45842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56590-2024</t>
        </is>
      </c>
      <c r="B648" s="1" t="n">
        <v>45625</v>
      </c>
      <c r="C648" s="1" t="n">
        <v>45842</v>
      </c>
      <c r="D648" t="inlineStr">
        <is>
          <t>VÄSTERBOTTENS LÄN</t>
        </is>
      </c>
      <c r="E648" t="inlineStr">
        <is>
          <t>DOROTEA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57082-2024</t>
        </is>
      </c>
      <c r="B649" s="1" t="n">
        <v>45629</v>
      </c>
      <c r="C649" s="1" t="n">
        <v>45842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57092-2024</t>
        </is>
      </c>
      <c r="B650" s="1" t="n">
        <v>45629</v>
      </c>
      <c r="C650" s="1" t="n">
        <v>45842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57475-2024</t>
        </is>
      </c>
      <c r="B651" s="1" t="n">
        <v>45630</v>
      </c>
      <c r="C651" s="1" t="n">
        <v>45842</v>
      </c>
      <c r="D651" t="inlineStr">
        <is>
          <t>VÄSTERBOTTENS LÄN</t>
        </is>
      </c>
      <c r="E651" t="inlineStr">
        <is>
          <t>DOROTEA</t>
        </is>
      </c>
      <c r="G651" t="n">
        <v>11.4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57581-2024</t>
        </is>
      </c>
      <c r="B652" s="1" t="n">
        <v>45630</v>
      </c>
      <c r="C652" s="1" t="n">
        <v>45842</v>
      </c>
      <c r="D652" t="inlineStr">
        <is>
          <t>VÄSTERBOTTENS LÄN</t>
        </is>
      </c>
      <c r="E652" t="inlineStr">
        <is>
          <t>DOROTEA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58335-2024</t>
        </is>
      </c>
      <c r="B653" s="1" t="n">
        <v>45632</v>
      </c>
      <c r="C653" s="1" t="n">
        <v>45842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58313-2024</t>
        </is>
      </c>
      <c r="B654" s="1" t="n">
        <v>45632</v>
      </c>
      <c r="C654" s="1" t="n">
        <v>45842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59007-2024</t>
        </is>
      </c>
      <c r="B655" s="1" t="n">
        <v>45636</v>
      </c>
      <c r="C655" s="1" t="n">
        <v>45842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59584-2024</t>
        </is>
      </c>
      <c r="B656" s="1" t="n">
        <v>45638</v>
      </c>
      <c r="C656" s="1" t="n">
        <v>45842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59489-2024</t>
        </is>
      </c>
      <c r="B657" s="1" t="n">
        <v>45638</v>
      </c>
      <c r="C657" s="1" t="n">
        <v>45842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59653-2024</t>
        </is>
      </c>
      <c r="B658" s="1" t="n">
        <v>45639</v>
      </c>
      <c r="C658" s="1" t="n">
        <v>45842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60175-2024</t>
        </is>
      </c>
      <c r="B659" s="1" t="n">
        <v>45642</v>
      </c>
      <c r="C659" s="1" t="n">
        <v>45842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60162-2024</t>
        </is>
      </c>
      <c r="B660" s="1" t="n">
        <v>45642</v>
      </c>
      <c r="C660" s="1" t="n">
        <v>45842</v>
      </c>
      <c r="D660" t="inlineStr">
        <is>
          <t>VÄSTERBOTTENS LÄN</t>
        </is>
      </c>
      <c r="E660" t="inlineStr">
        <is>
          <t>DOROTEA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60757-2024</t>
        </is>
      </c>
      <c r="B661" s="1" t="n">
        <v>45642</v>
      </c>
      <c r="C661" s="1" t="n">
        <v>45842</v>
      </c>
      <c r="D661" t="inlineStr">
        <is>
          <t>VÄSTERBOTTENS LÄN</t>
        </is>
      </c>
      <c r="E661" t="inlineStr">
        <is>
          <t>DOROTEA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60163-2024</t>
        </is>
      </c>
      <c r="B662" s="1" t="n">
        <v>45642</v>
      </c>
      <c r="C662" s="1" t="n">
        <v>45842</v>
      </c>
      <c r="D662" t="inlineStr">
        <is>
          <t>VÄSTERBOTTENS LÄN</t>
        </is>
      </c>
      <c r="E662" t="inlineStr">
        <is>
          <t>DOROTEA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60153-2024</t>
        </is>
      </c>
      <c r="B663" s="1" t="n">
        <v>45642</v>
      </c>
      <c r="C663" s="1" t="n">
        <v>45842</v>
      </c>
      <c r="D663" t="inlineStr">
        <is>
          <t>VÄSTERBOTTENS LÄN</t>
        </is>
      </c>
      <c r="E663" t="inlineStr">
        <is>
          <t>DOROTEA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60169-2024</t>
        </is>
      </c>
      <c r="B664" s="1" t="n">
        <v>45642</v>
      </c>
      <c r="C664" s="1" t="n">
        <v>45842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59947-2024</t>
        </is>
      </c>
      <c r="B665" s="1" t="n">
        <v>45642</v>
      </c>
      <c r="C665" s="1" t="n">
        <v>45842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60760-2024</t>
        </is>
      </c>
      <c r="B666" s="1" t="n">
        <v>45644</v>
      </c>
      <c r="C666" s="1" t="n">
        <v>45842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61082-2024</t>
        </is>
      </c>
      <c r="B667" s="1" t="n">
        <v>45644</v>
      </c>
      <c r="C667" s="1" t="n">
        <v>45842</v>
      </c>
      <c r="D667" t="inlineStr">
        <is>
          <t>VÄSTERBOTTENS LÄN</t>
        </is>
      </c>
      <c r="E667" t="inlineStr">
        <is>
          <t>DOROTEA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60868-2024</t>
        </is>
      </c>
      <c r="B668" s="1" t="n">
        <v>45644</v>
      </c>
      <c r="C668" s="1" t="n">
        <v>45842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61364-2024</t>
        </is>
      </c>
      <c r="B669" s="1" t="n">
        <v>45646</v>
      </c>
      <c r="C669" s="1" t="n">
        <v>45842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61764-2024</t>
        </is>
      </c>
      <c r="B670" s="1" t="n">
        <v>45649</v>
      </c>
      <c r="C670" s="1" t="n">
        <v>45842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61922-2024</t>
        </is>
      </c>
      <c r="B671" s="1" t="n">
        <v>45653</v>
      </c>
      <c r="C671" s="1" t="n">
        <v>45842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67-2025</t>
        </is>
      </c>
      <c r="B672" s="1" t="n">
        <v>45659</v>
      </c>
      <c r="C672" s="1" t="n">
        <v>45842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460-2025</t>
        </is>
      </c>
      <c r="B673" s="1" t="n">
        <v>45664</v>
      </c>
      <c r="C673" s="1" t="n">
        <v>45842</v>
      </c>
      <c r="D673" t="inlineStr">
        <is>
          <t>VÄSTERBOTTENS LÄN</t>
        </is>
      </c>
      <c r="E673" t="inlineStr">
        <is>
          <t>DOROTEA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797-2025</t>
        </is>
      </c>
      <c r="B674" s="1" t="n">
        <v>45664</v>
      </c>
      <c r="C674" s="1" t="n">
        <v>45842</v>
      </c>
      <c r="D674" t="inlineStr">
        <is>
          <t>VÄSTERBOTTENS LÄN</t>
        </is>
      </c>
      <c r="E674" t="inlineStr">
        <is>
          <t>DOROTEA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1992-2025</t>
        </is>
      </c>
      <c r="B675" s="1" t="n">
        <v>45672</v>
      </c>
      <c r="C675" s="1" t="n">
        <v>45842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2014-2025</t>
        </is>
      </c>
      <c r="B676" s="1" t="n">
        <v>45672</v>
      </c>
      <c r="C676" s="1" t="n">
        <v>45842</v>
      </c>
      <c r="D676" t="inlineStr">
        <is>
          <t>VÄSTERBOTTENS LÄN</t>
        </is>
      </c>
      <c r="E676" t="inlineStr">
        <is>
          <t>DOROTEA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2350-2025</t>
        </is>
      </c>
      <c r="B677" s="1" t="n">
        <v>45673</v>
      </c>
      <c r="C677" s="1" t="n">
        <v>45842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2509-2025</t>
        </is>
      </c>
      <c r="B678" s="1" t="n">
        <v>45674</v>
      </c>
      <c r="C678" s="1" t="n">
        <v>45842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2814-2025</t>
        </is>
      </c>
      <c r="B679" s="1" t="n">
        <v>45677</v>
      </c>
      <c r="C679" s="1" t="n">
        <v>45842</v>
      </c>
      <c r="D679" t="inlineStr">
        <is>
          <t>VÄSTERBOTTENS LÄN</t>
        </is>
      </c>
      <c r="E679" t="inlineStr">
        <is>
          <t>DOROTEA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2813-2025</t>
        </is>
      </c>
      <c r="B680" s="1" t="n">
        <v>45677</v>
      </c>
      <c r="C680" s="1" t="n">
        <v>45842</v>
      </c>
      <c r="D680" t="inlineStr">
        <is>
          <t>VÄSTERBOTTENS LÄN</t>
        </is>
      </c>
      <c r="E680" t="inlineStr">
        <is>
          <t>DOROTEA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3097-2025</t>
        </is>
      </c>
      <c r="B681" s="1" t="n">
        <v>45678</v>
      </c>
      <c r="C681" s="1" t="n">
        <v>45842</v>
      </c>
      <c r="D681" t="inlineStr">
        <is>
          <t>VÄSTERBOTTENS LÄN</t>
        </is>
      </c>
      <c r="E681" t="inlineStr">
        <is>
          <t>DOROTEA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3098-2025</t>
        </is>
      </c>
      <c r="B682" s="1" t="n">
        <v>45678</v>
      </c>
      <c r="C682" s="1" t="n">
        <v>45842</v>
      </c>
      <c r="D682" t="inlineStr">
        <is>
          <t>VÄSTERBOTTENS LÄN</t>
        </is>
      </c>
      <c r="E682" t="inlineStr">
        <is>
          <t>DOROTEA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3099-2025</t>
        </is>
      </c>
      <c r="B683" s="1" t="n">
        <v>45678</v>
      </c>
      <c r="C683" s="1" t="n">
        <v>45842</v>
      </c>
      <c r="D683" t="inlineStr">
        <is>
          <t>VÄSTERBOTTENS LÄN</t>
        </is>
      </c>
      <c r="E683" t="inlineStr">
        <is>
          <t>DOROTEA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3562-2025</t>
        </is>
      </c>
      <c r="B684" s="1" t="n">
        <v>45680</v>
      </c>
      <c r="C684" s="1" t="n">
        <v>45842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3616-2025</t>
        </is>
      </c>
      <c r="B685" s="1" t="n">
        <v>45681</v>
      </c>
      <c r="C685" s="1" t="n">
        <v>45842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5248-2025</t>
        </is>
      </c>
      <c r="B686" s="1" t="n">
        <v>45692</v>
      </c>
      <c r="C686" s="1" t="n">
        <v>45842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5640-2025</t>
        </is>
      </c>
      <c r="B687" s="1" t="n">
        <v>45693</v>
      </c>
      <c r="C687" s="1" t="n">
        <v>45842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5639-2025</t>
        </is>
      </c>
      <c r="B688" s="1" t="n">
        <v>45693</v>
      </c>
      <c r="C688" s="1" t="n">
        <v>45842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40.9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6717-2025</t>
        </is>
      </c>
      <c r="B689" s="1" t="n">
        <v>45700</v>
      </c>
      <c r="C689" s="1" t="n">
        <v>45842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7568-2025</t>
        </is>
      </c>
      <c r="B690" s="1" t="n">
        <v>45705</v>
      </c>
      <c r="C690" s="1" t="n">
        <v>45842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7397-2025</t>
        </is>
      </c>
      <c r="B691" s="1" t="n">
        <v>45705</v>
      </c>
      <c r="C691" s="1" t="n">
        <v>45842</v>
      </c>
      <c r="D691" t="inlineStr">
        <is>
          <t>VÄSTERBOTTENS LÄN</t>
        </is>
      </c>
      <c r="E691" t="inlineStr">
        <is>
          <t>DOROTEA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8310-2025</t>
        </is>
      </c>
      <c r="B692" s="1" t="n">
        <v>45708</v>
      </c>
      <c r="C692" s="1" t="n">
        <v>45842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8465-2025</t>
        </is>
      </c>
      <c r="B693" s="1" t="n">
        <v>45709</v>
      </c>
      <c r="C693" s="1" t="n">
        <v>45842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8709-2025</t>
        </is>
      </c>
      <c r="B694" s="1" t="n">
        <v>45712</v>
      </c>
      <c r="C694" s="1" t="n">
        <v>45842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8647-2025</t>
        </is>
      </c>
      <c r="B695" s="1" t="n">
        <v>45712</v>
      </c>
      <c r="C695" s="1" t="n">
        <v>45842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9030-2025</t>
        </is>
      </c>
      <c r="B696" s="1" t="n">
        <v>45713</v>
      </c>
      <c r="C696" s="1" t="n">
        <v>45842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9172-2025</t>
        </is>
      </c>
      <c r="B697" s="1" t="n">
        <v>45714</v>
      </c>
      <c r="C697" s="1" t="n">
        <v>45842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10400-2025</t>
        </is>
      </c>
      <c r="B698" s="1" t="n">
        <v>45720</v>
      </c>
      <c r="C698" s="1" t="n">
        <v>45842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10402-2025</t>
        </is>
      </c>
      <c r="B699" s="1" t="n">
        <v>45720</v>
      </c>
      <c r="C699" s="1" t="n">
        <v>45842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10649-2025</t>
        </is>
      </c>
      <c r="B700" s="1" t="n">
        <v>45721</v>
      </c>
      <c r="C700" s="1" t="n">
        <v>45842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10496-2025</t>
        </is>
      </c>
      <c r="B701" s="1" t="n">
        <v>45721</v>
      </c>
      <c r="C701" s="1" t="n">
        <v>45842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11091-2025</t>
        </is>
      </c>
      <c r="B702" s="1" t="n">
        <v>45723</v>
      </c>
      <c r="C702" s="1" t="n">
        <v>45842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11087-2025</t>
        </is>
      </c>
      <c r="B703" s="1" t="n">
        <v>45723</v>
      </c>
      <c r="C703" s="1" t="n">
        <v>45842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19.2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11349-2025</t>
        </is>
      </c>
      <c r="B704" s="1" t="n">
        <v>45726</v>
      </c>
      <c r="C704" s="1" t="n">
        <v>45842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12118-2025</t>
        </is>
      </c>
      <c r="B705" s="1" t="n">
        <v>45729</v>
      </c>
      <c r="C705" s="1" t="n">
        <v>45842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12871-2025</t>
        </is>
      </c>
      <c r="B706" s="1" t="n">
        <v>45733</v>
      </c>
      <c r="C706" s="1" t="n">
        <v>45842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13023-2025</t>
        </is>
      </c>
      <c r="B707" s="1" t="n">
        <v>45734</v>
      </c>
      <c r="C707" s="1" t="n">
        <v>45842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13170-2025</t>
        </is>
      </c>
      <c r="B708" s="1" t="n">
        <v>45735</v>
      </c>
      <c r="C708" s="1" t="n">
        <v>45842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13364-2025</t>
        </is>
      </c>
      <c r="B709" s="1" t="n">
        <v>45735</v>
      </c>
      <c r="C709" s="1" t="n">
        <v>45842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13636-2025</t>
        </is>
      </c>
      <c r="B710" s="1" t="n">
        <v>45736</v>
      </c>
      <c r="C710" s="1" t="n">
        <v>45842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14294-2025</t>
        </is>
      </c>
      <c r="B711" s="1" t="n">
        <v>45740</v>
      </c>
      <c r="C711" s="1" t="n">
        <v>45842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14297-2025</t>
        </is>
      </c>
      <c r="B712" s="1" t="n">
        <v>45740</v>
      </c>
      <c r="C712" s="1" t="n">
        <v>45842</v>
      </c>
      <c r="D712" t="inlineStr">
        <is>
          <t>VÄSTERBOTTENS LÄN</t>
        </is>
      </c>
      <c r="E712" t="inlineStr">
        <is>
          <t>DOROTEA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14056-2025</t>
        </is>
      </c>
      <c r="B713" s="1" t="n">
        <v>45740</v>
      </c>
      <c r="C713" s="1" t="n">
        <v>45842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14325-2025</t>
        </is>
      </c>
      <c r="B714" s="1" t="n">
        <v>45740</v>
      </c>
      <c r="C714" s="1" t="n">
        <v>45842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14329-2025</t>
        </is>
      </c>
      <c r="B715" s="1" t="n">
        <v>45740</v>
      </c>
      <c r="C715" s="1" t="n">
        <v>45842</v>
      </c>
      <c r="D715" t="inlineStr">
        <is>
          <t>VÄSTERBOTTENS LÄN</t>
        </is>
      </c>
      <c r="E715" t="inlineStr">
        <is>
          <t>DOROTEA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14631-2025</t>
        </is>
      </c>
      <c r="B716" s="1" t="n">
        <v>45742</v>
      </c>
      <c r="C716" s="1" t="n">
        <v>45842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14759-2025</t>
        </is>
      </c>
      <c r="B717" s="1" t="n">
        <v>45742</v>
      </c>
      <c r="C717" s="1" t="n">
        <v>45842</v>
      </c>
      <c r="D717" t="inlineStr">
        <is>
          <t>VÄSTERBOTTENS LÄN</t>
        </is>
      </c>
      <c r="E717" t="inlineStr">
        <is>
          <t>DOROTEA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14649-2025</t>
        </is>
      </c>
      <c r="B718" s="1" t="n">
        <v>45742</v>
      </c>
      <c r="C718" s="1" t="n">
        <v>45842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13852-2025</t>
        </is>
      </c>
      <c r="B719" s="1" t="n">
        <v>45742</v>
      </c>
      <c r="C719" s="1" t="n">
        <v>45842</v>
      </c>
      <c r="D719" t="inlineStr">
        <is>
          <t>VÄSTERBOTTENS LÄN</t>
        </is>
      </c>
      <c r="E719" t="inlineStr">
        <is>
          <t>DOROTEA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14980-2025</t>
        </is>
      </c>
      <c r="B720" s="1" t="n">
        <v>45743</v>
      </c>
      <c r="C720" s="1" t="n">
        <v>45842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15352-2025</t>
        </is>
      </c>
      <c r="B721" s="1" t="n">
        <v>45747</v>
      </c>
      <c r="C721" s="1" t="n">
        <v>45842</v>
      </c>
      <c r="D721" t="inlineStr">
        <is>
          <t>VÄSTERBOTTENS LÄN</t>
        </is>
      </c>
      <c r="E721" t="inlineStr">
        <is>
          <t>DOROTEA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17132-2025</t>
        </is>
      </c>
      <c r="B722" s="1" t="n">
        <v>45755</v>
      </c>
      <c r="C722" s="1" t="n">
        <v>45842</v>
      </c>
      <c r="D722" t="inlineStr">
        <is>
          <t>VÄSTERBOTTENS LÄN</t>
        </is>
      </c>
      <c r="E722" t="inlineStr">
        <is>
          <t>DOROTEA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17133-2025</t>
        </is>
      </c>
      <c r="B723" s="1" t="n">
        <v>45755</v>
      </c>
      <c r="C723" s="1" t="n">
        <v>45842</v>
      </c>
      <c r="D723" t="inlineStr">
        <is>
          <t>VÄSTERBOTTENS LÄN</t>
        </is>
      </c>
      <c r="E723" t="inlineStr">
        <is>
          <t>DOROTEA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17591-2025</t>
        </is>
      </c>
      <c r="B724" s="1" t="n">
        <v>45757</v>
      </c>
      <c r="C724" s="1" t="n">
        <v>45842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18287-2025</t>
        </is>
      </c>
      <c r="B725" s="1" t="n">
        <v>45762</v>
      </c>
      <c r="C725" s="1" t="n">
        <v>45842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19032-2025</t>
        </is>
      </c>
      <c r="B726" s="1" t="n">
        <v>45764</v>
      </c>
      <c r="C726" s="1" t="n">
        <v>45842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19012-2025</t>
        </is>
      </c>
      <c r="B727" s="1" t="n">
        <v>45764</v>
      </c>
      <c r="C727" s="1" t="n">
        <v>45842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19020-2025</t>
        </is>
      </c>
      <c r="B728" s="1" t="n">
        <v>45764</v>
      </c>
      <c r="C728" s="1" t="n">
        <v>45842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19467-2025</t>
        </is>
      </c>
      <c r="B729" s="1" t="n">
        <v>45769</v>
      </c>
      <c r="C729" s="1" t="n">
        <v>45842</v>
      </c>
      <c r="D729" t="inlineStr">
        <is>
          <t>VÄSTERBOTTENS LÄN</t>
        </is>
      </c>
      <c r="E729" t="inlineStr">
        <is>
          <t>DOROTEA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19466-2025</t>
        </is>
      </c>
      <c r="B730" s="1" t="n">
        <v>45769</v>
      </c>
      <c r="C730" s="1" t="n">
        <v>45842</v>
      </c>
      <c r="D730" t="inlineStr">
        <is>
          <t>VÄSTERBOTTENS LÄN</t>
        </is>
      </c>
      <c r="E730" t="inlineStr">
        <is>
          <t>DOROTEA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19657-2025</t>
        </is>
      </c>
      <c r="B731" s="1" t="n">
        <v>45770</v>
      </c>
      <c r="C731" s="1" t="n">
        <v>45842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19616-2025</t>
        </is>
      </c>
      <c r="B732" s="1" t="n">
        <v>45770</v>
      </c>
      <c r="C732" s="1" t="n">
        <v>45842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19726-2025</t>
        </is>
      </c>
      <c r="B733" s="1" t="n">
        <v>45771</v>
      </c>
      <c r="C733" s="1" t="n">
        <v>45842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19889-2025</t>
        </is>
      </c>
      <c r="B734" s="1" t="n">
        <v>45771</v>
      </c>
      <c r="C734" s="1" t="n">
        <v>45842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19915-2025</t>
        </is>
      </c>
      <c r="B735" s="1" t="n">
        <v>45771</v>
      </c>
      <c r="C735" s="1" t="n">
        <v>45842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20240-2025</t>
        </is>
      </c>
      <c r="B736" s="1" t="n">
        <v>45772</v>
      </c>
      <c r="C736" s="1" t="n">
        <v>45842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20869-2025</t>
        </is>
      </c>
      <c r="B737" s="1" t="n">
        <v>45777</v>
      </c>
      <c r="C737" s="1" t="n">
        <v>45842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21127-2025</t>
        </is>
      </c>
      <c r="B738" s="1" t="n">
        <v>45778</v>
      </c>
      <c r="C738" s="1" t="n">
        <v>45842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21265-2025</t>
        </is>
      </c>
      <c r="B739" s="1" t="n">
        <v>45779</v>
      </c>
      <c r="C739" s="1" t="n">
        <v>45842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21215-2025</t>
        </is>
      </c>
      <c r="B740" s="1" t="n">
        <v>45779</v>
      </c>
      <c r="C740" s="1" t="n">
        <v>45842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21404-2025</t>
        </is>
      </c>
      <c r="B741" s="1" t="n">
        <v>45782</v>
      </c>
      <c r="C741" s="1" t="n">
        <v>45842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21482-2025</t>
        </is>
      </c>
      <c r="B742" s="1" t="n">
        <v>45782</v>
      </c>
      <c r="C742" s="1" t="n">
        <v>45842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21411-2025</t>
        </is>
      </c>
      <c r="B743" s="1" t="n">
        <v>45782</v>
      </c>
      <c r="C743" s="1" t="n">
        <v>45842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21320-2025</t>
        </is>
      </c>
      <c r="B744" s="1" t="n">
        <v>45782</v>
      </c>
      <c r="C744" s="1" t="n">
        <v>45842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21701-2025</t>
        </is>
      </c>
      <c r="B745" s="1" t="n">
        <v>45783</v>
      </c>
      <c r="C745" s="1" t="n">
        <v>45842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21622-2025</t>
        </is>
      </c>
      <c r="B746" s="1" t="n">
        <v>45783</v>
      </c>
      <c r="C746" s="1" t="n">
        <v>45842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21960-2025</t>
        </is>
      </c>
      <c r="B747" s="1" t="n">
        <v>45784</v>
      </c>
      <c r="C747" s="1" t="n">
        <v>45842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26.9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22116-2025</t>
        </is>
      </c>
      <c r="B748" s="1" t="n">
        <v>45785</v>
      </c>
      <c r="C748" s="1" t="n">
        <v>45842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22213-2025</t>
        </is>
      </c>
      <c r="B749" s="1" t="n">
        <v>45785</v>
      </c>
      <c r="C749" s="1" t="n">
        <v>45842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22752-2025</t>
        </is>
      </c>
      <c r="B750" s="1" t="n">
        <v>45789</v>
      </c>
      <c r="C750" s="1" t="n">
        <v>45842</v>
      </c>
      <c r="D750" t="inlineStr">
        <is>
          <t>VÄSTERBOTTENS LÄN</t>
        </is>
      </c>
      <c r="E750" t="inlineStr">
        <is>
          <t>DOROTEA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22774-2025</t>
        </is>
      </c>
      <c r="B751" s="1" t="n">
        <v>45789</v>
      </c>
      <c r="C751" s="1" t="n">
        <v>45842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23493-2025</t>
        </is>
      </c>
      <c r="B752" s="1" t="n">
        <v>45792</v>
      </c>
      <c r="C752" s="1" t="n">
        <v>45842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23457-2025</t>
        </is>
      </c>
      <c r="B753" s="1" t="n">
        <v>45792</v>
      </c>
      <c r="C753" s="1" t="n">
        <v>45842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23492-2025</t>
        </is>
      </c>
      <c r="B754" s="1" t="n">
        <v>45792</v>
      </c>
      <c r="C754" s="1" t="n">
        <v>45842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24003-2025</t>
        </is>
      </c>
      <c r="B755" s="1" t="n">
        <v>45796</v>
      </c>
      <c r="C755" s="1" t="n">
        <v>45842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24921-2025</t>
        </is>
      </c>
      <c r="B756" s="1" t="n">
        <v>45799</v>
      </c>
      <c r="C756" s="1" t="n">
        <v>45842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31.5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24785-2025</t>
        </is>
      </c>
      <c r="B757" s="1" t="n">
        <v>45799</v>
      </c>
      <c r="C757" s="1" t="n">
        <v>45842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24873-2025</t>
        </is>
      </c>
      <c r="B758" s="1" t="n">
        <v>45799</v>
      </c>
      <c r="C758" s="1" t="n">
        <v>45842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25310-2025</t>
        </is>
      </c>
      <c r="B759" s="1" t="n">
        <v>45800</v>
      </c>
      <c r="C759" s="1" t="n">
        <v>45842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25131-2025</t>
        </is>
      </c>
      <c r="B760" s="1" t="n">
        <v>45800</v>
      </c>
      <c r="C760" s="1" t="n">
        <v>45842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25416-2025</t>
        </is>
      </c>
      <c r="B761" s="1" t="n">
        <v>45800</v>
      </c>
      <c r="C761" s="1" t="n">
        <v>45842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25356-2025</t>
        </is>
      </c>
      <c r="B762" s="1" t="n">
        <v>45800</v>
      </c>
      <c r="C762" s="1" t="n">
        <v>45842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25617-2025</t>
        </is>
      </c>
      <c r="B763" s="1" t="n">
        <v>45803</v>
      </c>
      <c r="C763" s="1" t="n">
        <v>45842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25605-2025</t>
        </is>
      </c>
      <c r="B764" s="1" t="n">
        <v>45803</v>
      </c>
      <c r="C764" s="1" t="n">
        <v>45842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25603-2025</t>
        </is>
      </c>
      <c r="B765" s="1" t="n">
        <v>45803</v>
      </c>
      <c r="C765" s="1" t="n">
        <v>45842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25606-2025</t>
        </is>
      </c>
      <c r="B766" s="1" t="n">
        <v>45803</v>
      </c>
      <c r="C766" s="1" t="n">
        <v>45842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25676-2025</t>
        </is>
      </c>
      <c r="B767" s="1" t="n">
        <v>45803</v>
      </c>
      <c r="C767" s="1" t="n">
        <v>45842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25523-2025</t>
        </is>
      </c>
      <c r="B768" s="1" t="n">
        <v>45803</v>
      </c>
      <c r="C768" s="1" t="n">
        <v>45842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26315-2025</t>
        </is>
      </c>
      <c r="B769" s="1" t="n">
        <v>45805</v>
      </c>
      <c r="C769" s="1" t="n">
        <v>45842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26480-2025</t>
        </is>
      </c>
      <c r="B770" s="1" t="n">
        <v>45807</v>
      </c>
      <c r="C770" s="1" t="n">
        <v>45842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26439-2025</t>
        </is>
      </c>
      <c r="B771" s="1" t="n">
        <v>45807</v>
      </c>
      <c r="C771" s="1" t="n">
        <v>45842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26475-2025</t>
        </is>
      </c>
      <c r="B772" s="1" t="n">
        <v>45807</v>
      </c>
      <c r="C772" s="1" t="n">
        <v>45842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26440-2025</t>
        </is>
      </c>
      <c r="B773" s="1" t="n">
        <v>45807</v>
      </c>
      <c r="C773" s="1" t="n">
        <v>45842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26481-2025</t>
        </is>
      </c>
      <c r="B774" s="1" t="n">
        <v>45807</v>
      </c>
      <c r="C774" s="1" t="n">
        <v>45842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26904-2025</t>
        </is>
      </c>
      <c r="B775" s="1" t="n">
        <v>45811</v>
      </c>
      <c r="C775" s="1" t="n">
        <v>45842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26902-2025</t>
        </is>
      </c>
      <c r="B776" s="1" t="n">
        <v>45811</v>
      </c>
      <c r="C776" s="1" t="n">
        <v>45842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27237-2025</t>
        </is>
      </c>
      <c r="B777" s="1" t="n">
        <v>45812</v>
      </c>
      <c r="C777" s="1" t="n">
        <v>45842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27621-2025</t>
        </is>
      </c>
      <c r="B778" s="1" t="n">
        <v>45813</v>
      </c>
      <c r="C778" s="1" t="n">
        <v>45842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27558-2025</t>
        </is>
      </c>
      <c r="B779" s="1" t="n">
        <v>45813</v>
      </c>
      <c r="C779" s="1" t="n">
        <v>45842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28002-2025</t>
        </is>
      </c>
      <c r="B780" s="1" t="n">
        <v>45817</v>
      </c>
      <c r="C780" s="1" t="n">
        <v>45842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28072-2025</t>
        </is>
      </c>
      <c r="B781" s="1" t="n">
        <v>45817</v>
      </c>
      <c r="C781" s="1" t="n">
        <v>45842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17.7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27843-2025</t>
        </is>
      </c>
      <c r="B782" s="1" t="n">
        <v>45817</v>
      </c>
      <c r="C782" s="1" t="n">
        <v>45842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28156-2025</t>
        </is>
      </c>
      <c r="B783" s="1" t="n">
        <v>45818</v>
      </c>
      <c r="C783" s="1" t="n">
        <v>45842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28348-2025</t>
        </is>
      </c>
      <c r="B784" s="1" t="n">
        <v>45818</v>
      </c>
      <c r="C784" s="1" t="n">
        <v>45842</v>
      </c>
      <c r="D784" t="inlineStr">
        <is>
          <t>VÄSTERBOTTENS LÄN</t>
        </is>
      </c>
      <c r="E784" t="inlineStr">
        <is>
          <t>DOROTEA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29465-2025</t>
        </is>
      </c>
      <c r="B785" s="1" t="n">
        <v>45824</v>
      </c>
      <c r="C785" s="1" t="n">
        <v>45842</v>
      </c>
      <c r="D785" t="inlineStr">
        <is>
          <t>VÄSTERBOTTENS LÄN</t>
        </is>
      </c>
      <c r="E785" t="inlineStr">
        <is>
          <t>DOROTEA</t>
        </is>
      </c>
      <c r="F785" t="inlineStr">
        <is>
          <t>SCA</t>
        </is>
      </c>
      <c r="G785" t="n">
        <v>14.2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29258-2025</t>
        </is>
      </c>
      <c r="B786" s="1" t="n">
        <v>45824</v>
      </c>
      <c r="C786" s="1" t="n">
        <v>45842</v>
      </c>
      <c r="D786" t="inlineStr">
        <is>
          <t>VÄSTERBOTTENS LÄN</t>
        </is>
      </c>
      <c r="E786" t="inlineStr">
        <is>
          <t>DOROTEA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30587-2025</t>
        </is>
      </c>
      <c r="B787" s="1" t="n">
        <v>45831</v>
      </c>
      <c r="C787" s="1" t="n">
        <v>45842</v>
      </c>
      <c r="D787" t="inlineStr">
        <is>
          <t>VÄSTERBOTTENS LÄN</t>
        </is>
      </c>
      <c r="E787" t="inlineStr">
        <is>
          <t>DOROTEA</t>
        </is>
      </c>
      <c r="F787" t="inlineStr">
        <is>
          <t>SCA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31510-2025</t>
        </is>
      </c>
      <c r="B788" s="1" t="n">
        <v>45833</v>
      </c>
      <c r="C788" s="1" t="n">
        <v>45842</v>
      </c>
      <c r="D788" t="inlineStr">
        <is>
          <t>VÄSTERBOTTENS LÄN</t>
        </is>
      </c>
      <c r="E788" t="inlineStr">
        <is>
          <t>DOROTEA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31532-2025</t>
        </is>
      </c>
      <c r="B789" s="1" t="n">
        <v>45833</v>
      </c>
      <c r="C789" s="1" t="n">
        <v>45842</v>
      </c>
      <c r="D789" t="inlineStr">
        <is>
          <t>VÄSTERBOTTENS LÄN</t>
        </is>
      </c>
      <c r="E789" t="inlineStr">
        <is>
          <t>DOROTEA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31799-2025</t>
        </is>
      </c>
      <c r="B790" s="1" t="n">
        <v>45834</v>
      </c>
      <c r="C790" s="1" t="n">
        <v>45842</v>
      </c>
      <c r="D790" t="inlineStr">
        <is>
          <t>VÄSTERBOTTENS LÄN</t>
        </is>
      </c>
      <c r="E790" t="inlineStr">
        <is>
          <t>DOROTEA</t>
        </is>
      </c>
      <c r="F790" t="inlineStr">
        <is>
          <t>SCA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31835-2025</t>
        </is>
      </c>
      <c r="B791" s="1" t="n">
        <v>45834</v>
      </c>
      <c r="C791" s="1" t="n">
        <v>45842</v>
      </c>
      <c r="D791" t="inlineStr">
        <is>
          <t>VÄSTERBOTTENS LÄN</t>
        </is>
      </c>
      <c r="E791" t="inlineStr">
        <is>
          <t>DOROTEA</t>
        </is>
      </c>
      <c r="F791" t="inlineStr">
        <is>
          <t>SCA</t>
        </is>
      </c>
      <c r="G791" t="n">
        <v>10.9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33091-2025</t>
        </is>
      </c>
      <c r="B792" s="1" t="n">
        <v>45840</v>
      </c>
      <c r="C792" s="1" t="n">
        <v>45842</v>
      </c>
      <c r="D792" t="inlineStr">
        <is>
          <t>VÄSTERBOTTENS LÄN</t>
        </is>
      </c>
      <c r="E792" t="inlineStr">
        <is>
          <t>DOROTEA</t>
        </is>
      </c>
      <c r="F792" t="inlineStr">
        <is>
          <t>SCA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33267-2025</t>
        </is>
      </c>
      <c r="B793" s="1" t="n">
        <v>45840</v>
      </c>
      <c r="C793" s="1" t="n">
        <v>45842</v>
      </c>
      <c r="D793" t="inlineStr">
        <is>
          <t>VÄSTERBOTTENS LÄN</t>
        </is>
      </c>
      <c r="E793" t="inlineStr">
        <is>
          <t>DOROTEA</t>
        </is>
      </c>
      <c r="F793" t="inlineStr">
        <is>
          <t>SCA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33262-2025</t>
        </is>
      </c>
      <c r="B794" s="1" t="n">
        <v>45840</v>
      </c>
      <c r="C794" s="1" t="n">
        <v>45842</v>
      </c>
      <c r="D794" t="inlineStr">
        <is>
          <t>VÄSTERBOTTENS LÄN</t>
        </is>
      </c>
      <c r="E794" t="inlineStr">
        <is>
          <t>DOROTEA</t>
        </is>
      </c>
      <c r="F794" t="inlineStr">
        <is>
          <t>SCA</t>
        </is>
      </c>
      <c r="G794" t="n">
        <v>17.4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2025-07-04T19:01:28Z</dcterms:created>
  <dcterms:modified xmlns:dcterms="http://purl.org/dc/terms/" xmlns:xsi="http://www.w3.org/2001/XMLSchema-instance" xsi:type="dcterms:W3CDTF">2025-07-04T19:01:28Z</dcterms:modified>
</cp:coreProperties>
</file>