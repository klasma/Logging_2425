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46252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46252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46252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46252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46252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46252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46252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46252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46252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46252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46252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46252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46252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46252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46252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46252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57783-2025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8.5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Aspgelélav
Gammelgransskål
Tretåig hackspett</t>
        </is>
      </c>
      <c r="W25">
        <f>HYPERLINK("https://klasma.github.io/Logging_2425/artfynd/A 57783-2025 artfynd.xlsx", "A 57783-2025")</f>
        <v/>
      </c>
      <c r="X25">
        <f>HYPERLINK("https://klasma.github.io/Logging_2425/kartor/A 57783-2025 karta.png", "A 57783-2025")</f>
        <v/>
      </c>
      <c r="Y25">
        <f>HYPERLINK("https://klasma.github.io/Logging_2425/kartor_geotiff/A 57783-2025 georefererad karta.tif", "A 57783-2025")</f>
        <v/>
      </c>
      <c r="AA25">
        <f>HYPERLINK("https://klasma.github.io/Logging_2425/klagomål/A 57783-2025 FSC-klagomål.docx", "A 57783-2025")</f>
        <v/>
      </c>
      <c r="AB25">
        <f>HYPERLINK("https://klasma.github.io/Logging_2425/klagomålsmail/A 57783-2025 FSC-klagomål mail.docx", "A 57783-2025")</f>
        <v/>
      </c>
      <c r="AC25">
        <f>HYPERLINK("https://klasma.github.io/Logging_2425/tillsyn/A 57783-2025 tillsynsbegäran.docx", "A 57783-2025")</f>
        <v/>
      </c>
      <c r="AD25">
        <f>HYPERLINK("https://klasma.github.io/Logging_2425/tillsynsmail/A 57783-2025 tillsynsbegäran mail.docx", "A 57783-2025")</f>
        <v/>
      </c>
      <c r="AE25">
        <f>HYPERLINK("https://klasma.github.io/Logging_2425/fåglar/A 57783-2025 prioriterade fågelarter.docx", "A 57783-2025")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19589-2024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45429</v>
      </c>
      <c r="E27" s="1" t="n">
        <v>46252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Lunglav
Talltita</t>
        </is>
      </c>
      <c r="W27">
        <f>HYPERLINK("https://klasma.github.io/Logging_2425/artfynd/A 19589-2024 artfynd.xlsx", "A 19589-2024")</f>
        <v/>
      </c>
      <c r="X27">
        <f>HYPERLINK("https://klasma.github.io/Logging_2425/kartor/A 19589-2024 karta.png", "A 19589-2024")</f>
        <v/>
      </c>
      <c r="Y27">
        <f>HYPERLINK("https://klasma.github.io/Logging_2425/kartor_geotiff/A 19589-2024 georefererad karta.tif", "A 19589-2024")</f>
        <v/>
      </c>
      <c r="AA27">
        <f>HYPERLINK("https://klasma.github.io/Logging_2425/klagomål/A 19589-2024 FSC-klagomål.docx", "A 19589-2024")</f>
        <v/>
      </c>
      <c r="AB27">
        <f>HYPERLINK("https://klasma.github.io/Logging_2425/klagomålsmail/A 19589-2024 FSC-klagomål mail.docx", "A 19589-2024")</f>
        <v/>
      </c>
      <c r="AC27">
        <f>HYPERLINK("https://klasma.github.io/Logging_2425/tillsyn/A 19589-2024 tillsynsbegäran.docx", "A 19589-2024")</f>
        <v/>
      </c>
      <c r="AD27">
        <f>HYPERLINK("https://klasma.github.io/Logging_2425/tillsynsmail/A 19589-2024 tillsynsbegäran mail.docx", "A 19589-2024")</f>
        <v/>
      </c>
      <c r="AE27">
        <f>HYPERLINK("https://klasma.github.io/Logging_2425/fåglar/A 19589-2024 prioriterade fågelarter.docx", "A 19589-2024")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46252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46252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46252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4554-2026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46047</v>
      </c>
      <c r="E33" s="1" t="n">
        <v>46252</v>
      </c>
      <c r="F33" t="inlineStr">
        <is>
          <t>VÄSTERBOTTENS LÄN</t>
        </is>
      </c>
      <c r="G33" t="inlineStr">
        <is>
          <t>DOROTEA</t>
        </is>
      </c>
      <c r="I33" t="n">
        <v>6.1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Violettkantad guldvinge
Kricka</t>
        </is>
      </c>
      <c r="W33">
        <f>HYPERLINK("https://klasma.github.io/Logging_2425/artfynd/A 4554-2026 artfynd.xlsx", "A 4554-2026")</f>
        <v/>
      </c>
      <c r="X33">
        <f>HYPERLINK("https://klasma.github.io/Logging_2425/kartor/A 4554-2026 karta.png", "A 4554-2026")</f>
        <v/>
      </c>
      <c r="Y33">
        <f>HYPERLINK("https://klasma.github.io/Logging_2425/kartor_geotiff/A 4554-2026 georefererad karta.tif", "A 4554-2026")</f>
        <v/>
      </c>
      <c r="AA33">
        <f>HYPERLINK("https://klasma.github.io/Logging_2425/klagomål/A 4554-2026 FSC-klagomål.docx", "A 4554-2026")</f>
        <v/>
      </c>
      <c r="AB33">
        <f>HYPERLINK("https://klasma.github.io/Logging_2425/klagomålsmail/A 4554-2026 FSC-klagomål mail.docx", "A 4554-2026")</f>
        <v/>
      </c>
      <c r="AC33">
        <f>HYPERLINK("https://klasma.github.io/Logging_2425/tillsyn/A 4554-2026 tillsynsbegäran.docx", "A 4554-2026")</f>
        <v/>
      </c>
      <c r="AD33">
        <f>HYPERLINK("https://klasma.github.io/Logging_2425/tillsynsmail/A 4554-2026 tillsynsbegäran mail.docx", "A 4554-2026")</f>
        <v/>
      </c>
      <c r="AE33">
        <f>HYPERLINK("https://klasma.github.io/Logging_2425/fåglar/A 4554-2026 prioriterade fågelarter.docx", "A 4554-2026")</f>
        <v/>
      </c>
    </row>
    <row r="34" ht="15" customHeight="1">
      <c r="A34" t="inlineStr">
        <is>
          <t>A 17825-2024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45418</v>
      </c>
      <c r="E34" s="1" t="n">
        <v>46252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Skrovellav</t>
        </is>
      </c>
      <c r="W34">
        <f>HYPERLINK("https://klasma.github.io/Logging_2425/artfynd/A 17825-2024 artfynd.xlsx", "A 17825-2024")</f>
        <v/>
      </c>
      <c r="X34">
        <f>HYPERLINK("https://klasma.github.io/Logging_2425/kartor/A 17825-2024 karta.png", "A 17825-2024")</f>
        <v/>
      </c>
      <c r="Y34">
        <f>HYPERLINK("https://klasma.github.io/Logging_2425/kartor_geotiff/A 17825-2024 georefererad karta.tif", "A 17825-2024")</f>
        <v/>
      </c>
      <c r="AA34">
        <f>HYPERLINK("https://klasma.github.io/Logging_2425/klagomål/A 17825-2024 FSC-klagomål.docx", "A 17825-2024")</f>
        <v/>
      </c>
      <c r="AB34">
        <f>HYPERLINK("https://klasma.github.io/Logging_2425/klagomålsmail/A 17825-2024 FSC-klagomål mail.docx", "A 17825-2024")</f>
        <v/>
      </c>
      <c r="AC34">
        <f>HYPERLINK("https://klasma.github.io/Logging_2425/tillsyn/A 17825-2024 tillsynsbegäran.docx", "A 17825-2024")</f>
        <v/>
      </c>
      <c r="AD34">
        <f>HYPERLINK("https://klasma.github.io/Logging_2425/tillsynsmail/A 17825-2024 tillsynsbegäran mail.docx", "A 17825-2024")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30286-2023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46252</v>
      </c>
      <c r="F36" t="inlineStr">
        <is>
          <t>VÄSTERBOTTENS LÄN</t>
        </is>
      </c>
      <c r="G36" t="inlineStr">
        <is>
          <t>DOROTEA</t>
        </is>
      </c>
      <c r="I36" t="n">
        <v>21.2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Skogsrör</t>
        </is>
      </c>
      <c r="W36">
        <f>HYPERLINK("https://klasma.github.io/Logging_2425/artfynd/A 30286-2023 artfynd.xlsx", "A 30286-2023")</f>
        <v/>
      </c>
      <c r="X36">
        <f>HYPERLINK("https://klasma.github.io/Logging_2425/kartor/A 30286-2023 karta.png", "A 30286-2023")</f>
        <v/>
      </c>
      <c r="Y36">
        <f>HYPERLINK("https://klasma.github.io/Logging_2425/kartor_geotiff/A 30286-2023 georefererad karta.tif", "A 30286-2023")</f>
        <v/>
      </c>
      <c r="AA36">
        <f>HYPERLINK("https://klasma.github.io/Logging_2425/klagomål/A 30286-2023 FSC-klagomål.docx", "A 30286-2023")</f>
        <v/>
      </c>
      <c r="AB36">
        <f>HYPERLINK("https://klasma.github.io/Logging_2425/klagomålsmail/A 30286-2023 FSC-klagomål mail.docx", "A 30286-2023")</f>
        <v/>
      </c>
      <c r="AC36">
        <f>HYPERLINK("https://klasma.github.io/Logging_2425/tillsyn/A 30286-2023 tillsynsbegäran.docx", "A 30286-2023")</f>
        <v/>
      </c>
      <c r="AD36">
        <f>HYPERLINK("https://klasma.github.io/Logging_2425/tillsynsmail/A 30286-2023 tillsynsbegäran mail.docx", "A 30286-2023")</f>
        <v/>
      </c>
    </row>
    <row r="37" ht="15" customHeight="1">
      <c r="A37" t="inlineStr">
        <is>
          <t>A 1278-2024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45302</v>
      </c>
      <c r="E37" s="1" t="n">
        <v>46252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Gräddticka</t>
        </is>
      </c>
      <c r="W37">
        <f>HYPERLINK("https://klasma.github.io/Logging_2425/artfynd/A 1278-2024 artfynd.xlsx", "A 1278-2024")</f>
        <v/>
      </c>
      <c r="X37">
        <f>HYPERLINK("https://klasma.github.io/Logging_2425/kartor/A 1278-2024 karta.png", "A 1278-2024")</f>
        <v/>
      </c>
      <c r="Y37">
        <f>HYPERLINK("https://klasma.github.io/Logging_2425/kartor_geotiff/A 1278-2024 georefererad karta.tif", "A 1278-2024")</f>
        <v/>
      </c>
      <c r="AA37">
        <f>HYPERLINK("https://klasma.github.io/Logging_2425/klagomål/A 1278-2024 FSC-klagomål.docx", "A 1278-2024")</f>
        <v/>
      </c>
      <c r="AB37">
        <f>HYPERLINK("https://klasma.github.io/Logging_2425/klagomålsmail/A 1278-2024 FSC-klagomål mail.docx", "A 1278-2024")</f>
        <v/>
      </c>
      <c r="AC37">
        <f>HYPERLINK("https://klasma.github.io/Logging_2425/tillsyn/A 1278-2024 tillsynsbegäran.docx", "A 1278-2024")</f>
        <v/>
      </c>
      <c r="AD37">
        <f>HYPERLINK("https://klasma.github.io/Logging_2425/tillsynsmail/A 1278-2024 tillsynsbegäran mail.docx", "A 1278-2024")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46252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46252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53309-2022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44878</v>
      </c>
      <c r="E40" s="1" t="n">
        <v>46252</v>
      </c>
      <c r="F40" t="inlineStr">
        <is>
          <t>VÄSTERBOTTENS LÄN</t>
        </is>
      </c>
      <c r="G40" t="inlineStr">
        <is>
          <t>DOROTEA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Göktyta</t>
        </is>
      </c>
      <c r="W40">
        <f>HYPERLINK("https://klasma.github.io/Logging_2425/artfynd/A 53309-2022 artfynd.xlsx", "A 53309-2022")</f>
        <v/>
      </c>
      <c r="X40">
        <f>HYPERLINK("https://klasma.github.io/Logging_2425/kartor/A 53309-2022 karta.png", "A 53309-2022")</f>
        <v/>
      </c>
      <c r="Y40">
        <f>HYPERLINK("https://klasma.github.io/Logging_2425/kartor_geotiff/A 53309-2022 georefererad karta.tif", "A 53309-2022")</f>
        <v/>
      </c>
      <c r="AA40">
        <f>HYPERLINK("https://klasma.github.io/Logging_2425/klagomål/A 53309-2022 FSC-klagomål.docx", "A 53309-2022")</f>
        <v/>
      </c>
      <c r="AB40">
        <f>HYPERLINK("https://klasma.github.io/Logging_2425/klagomålsmail/A 53309-2022 FSC-klagomål mail.docx", "A 53309-2022")</f>
        <v/>
      </c>
      <c r="AC40">
        <f>HYPERLINK("https://klasma.github.io/Logging_2425/tillsyn/A 53309-2022 tillsynsbegäran.docx", "A 53309-2022")</f>
        <v/>
      </c>
      <c r="AD40">
        <f>HYPERLINK("https://klasma.github.io/Logging_2425/tillsynsmail/A 53309-2022 tillsynsbegäran mail.docx", "A 53309-2022")</f>
        <v/>
      </c>
      <c r="AE40">
        <f>HYPERLINK("https://klasma.github.io/Logging_2425/fåglar/A 53309-2022 prioriterade fågelarter.docx", "A 53309-2022")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46252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12005-2023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44994</v>
      </c>
      <c r="E42" s="1" t="n">
        <v>46252</v>
      </c>
      <c r="F42" t="inlineStr">
        <is>
          <t>VÄSTERBOTTENS LÄN</t>
        </is>
      </c>
      <c r="G42" t="inlineStr">
        <is>
          <t>DOROTEA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12005-2023 artfynd.xlsx", "A 12005-2023")</f>
        <v/>
      </c>
      <c r="X42">
        <f>HYPERLINK("https://klasma.github.io/Logging_2425/kartor/A 12005-2023 karta.png", "A 12005-2023")</f>
        <v/>
      </c>
      <c r="Y42">
        <f>HYPERLINK("https://klasma.github.io/Logging_2425/kartor_geotiff/A 12005-2023 georefererad karta.tif", "A 12005-2023")</f>
        <v/>
      </c>
      <c r="AA42">
        <f>HYPERLINK("https://klasma.github.io/Logging_2425/klagomål/A 12005-2023 FSC-klagomål.docx", "A 12005-2023")</f>
        <v/>
      </c>
      <c r="AB42">
        <f>HYPERLINK("https://klasma.github.io/Logging_2425/klagomålsmail/A 12005-2023 FSC-klagomål mail.docx", "A 12005-2023")</f>
        <v/>
      </c>
      <c r="AC42">
        <f>HYPERLINK("https://klasma.github.io/Logging_2425/tillsyn/A 12005-2023 tillsynsbegäran.docx", "A 12005-2023")</f>
        <v/>
      </c>
      <c r="AD42">
        <f>HYPERLINK("https://klasma.github.io/Logging_2425/tillsynsmail/A 12005-2023 tillsynsbegäran mail.docx", "A 12005-2023")</f>
        <v/>
      </c>
    </row>
    <row r="43" ht="15" customHeight="1">
      <c r="A43" t="inlineStr">
        <is>
          <t>A 48089-2022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44855</v>
      </c>
      <c r="E43" s="1" t="n">
        <v>46252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9.199999999999999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Gammelgransskål</t>
        </is>
      </c>
      <c r="W43">
        <f>HYPERLINK("https://klasma.github.io/Logging_2425/artfynd/A 48089-2022 artfynd.xlsx", "A 48089-2022")</f>
        <v/>
      </c>
      <c r="X43">
        <f>HYPERLINK("https://klasma.github.io/Logging_2425/kartor/A 48089-2022 karta.png", "A 48089-2022")</f>
        <v/>
      </c>
      <c r="Y43">
        <f>HYPERLINK("https://klasma.github.io/Logging_2425/kartor_geotiff/A 48089-2022 georefererad karta.tif", "A 48089-2022")</f>
        <v/>
      </c>
      <c r="AA43">
        <f>HYPERLINK("https://klasma.github.io/Logging_2425/klagomål/A 48089-2022 FSC-klagomål.docx", "A 48089-2022")</f>
        <v/>
      </c>
      <c r="AB43">
        <f>HYPERLINK("https://klasma.github.io/Logging_2425/klagomålsmail/A 48089-2022 FSC-klagomål mail.docx", "A 48089-2022")</f>
        <v/>
      </c>
      <c r="AC43">
        <f>HYPERLINK("https://klasma.github.io/Logging_2425/tillsyn/A 48089-2022 tillsynsbegäran.docx", "A 48089-2022")</f>
        <v/>
      </c>
      <c r="AD43">
        <f>HYPERLINK("https://klasma.github.io/Logging_2425/tillsynsmail/A 48089-2022 tillsynsbegäran mail.docx", "A 48089-2022")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46252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57060-2024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46252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8.9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HYPERLINK("https://klasma.github.io/Logging_2425/artfynd/A 57060-2024 artfynd.xlsx", "A 57060-2024")</f>
        <v/>
      </c>
      <c r="X45">
        <f>HYPERLINK("https://klasma.github.io/Logging_2425/kartor/A 57060-2024 karta.png", "A 57060-2024")</f>
        <v/>
      </c>
      <c r="Y45">
        <f>HYPERLINK("https://klasma.github.io/Logging_2425/kartor_geotiff/A 57060-2024 georefererad karta.tif", "A 57060-2024")</f>
        <v/>
      </c>
      <c r="AA45">
        <f>HYPERLINK("https://klasma.github.io/Logging_2425/klagomål/A 57060-2024 FSC-klagomål.docx", "A 57060-2024")</f>
        <v/>
      </c>
      <c r="AB45">
        <f>HYPERLINK("https://klasma.github.io/Logging_2425/klagomålsmail/A 57060-2024 FSC-klagomål mail.docx", "A 57060-2024")</f>
        <v/>
      </c>
      <c r="AC45">
        <f>HYPERLINK("https://klasma.github.io/Logging_2425/tillsyn/A 57060-2024 tillsynsbegäran.docx", "A 57060-2024")</f>
        <v/>
      </c>
      <c r="AD45">
        <f>HYPERLINK("https://klasma.github.io/Logging_2425/tillsynsmail/A 57060-2024 tillsynsbegäran mail.docx", "A 57060-2024")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46252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20600-2023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45057</v>
      </c>
      <c r="E47" s="1" t="n">
        <v>46252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HYPERLINK("https://klasma.github.io/Logging_2425/artfynd/A 20600-2023 artfynd.xlsx", "A 20600-2023")</f>
        <v/>
      </c>
      <c r="X47">
        <f>HYPERLINK("https://klasma.github.io/Logging_2425/kartor/A 20600-2023 karta.png", "A 20600-2023")</f>
        <v/>
      </c>
      <c r="Y47">
        <f>HYPERLINK("https://klasma.github.io/Logging_2425/kartor_geotiff/A 20600-2023 georefererad karta.tif", "A 20600-2023")</f>
        <v/>
      </c>
      <c r="AA47">
        <f>HYPERLINK("https://klasma.github.io/Logging_2425/klagomål/A 20600-2023 FSC-klagomål.docx", "A 20600-2023")</f>
        <v/>
      </c>
      <c r="AB47">
        <f>HYPERLINK("https://klasma.github.io/Logging_2425/klagomålsmail/A 20600-2023 FSC-klagomål mail.docx", "A 20600-2023")</f>
        <v/>
      </c>
      <c r="AC47">
        <f>HYPERLINK("https://klasma.github.io/Logging_2425/tillsyn/A 20600-2023 tillsynsbegäran.docx", "A 20600-2023")</f>
        <v/>
      </c>
      <c r="AD47">
        <f>HYPERLINK("https://klasma.github.io/Logging_2425/tillsynsmail/A 20600-2023 tillsynsbegäran mail.docx", "A 20600-2023")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46252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32331-2026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46252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Skrovellav</t>
        </is>
      </c>
      <c r="W49">
        <f>HYPERLINK("https://klasma.github.io/Logging_2425/artfynd/A 32331-2026 artfynd.xlsx", "A 32331-2026")</f>
        <v/>
      </c>
      <c r="X49">
        <f>HYPERLINK("https://klasma.github.io/Logging_2425/kartor/A 32331-2026 karta.png", "A 32331-2026")</f>
        <v/>
      </c>
      <c r="Y49">
        <f>HYPERLINK("https://klasma.github.io/Logging_2425/kartor_geotiff/A 32331-2026 georefererad karta.tif", "A 32331-2026")</f>
        <v/>
      </c>
      <c r="AA49">
        <f>HYPERLINK("https://klasma.github.io/Logging_2425/klagomål/A 32331-2026 FSC-klagomål.docx", "A 32331-2026")</f>
        <v/>
      </c>
      <c r="AB49">
        <f>HYPERLINK("https://klasma.github.io/Logging_2425/klagomålsmail/A 32331-2026 FSC-klagomål mail.docx", "A 32331-2026")</f>
        <v/>
      </c>
      <c r="AC49">
        <f>HYPERLINK("https://klasma.github.io/Logging_2425/tillsyn/A 32331-2026 tillsynsbegäran.docx", "A 32331-2026")</f>
        <v/>
      </c>
      <c r="AD49">
        <f>HYPERLINK("https://klasma.github.io/Logging_2425/tillsynsmail/A 32331-2026 tillsynsbegäran mail.docx", "A 32331-2026")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46252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46252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26440-2025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46252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HYPERLINK("https://klasma.github.io/Logging_2425/artfynd/A 26440-2025 artfynd.xlsx", "A 26440-2025")</f>
        <v/>
      </c>
      <c r="X53">
        <f>HYPERLINK("https://klasma.github.io/Logging_2425/kartor/A 26440-2025 karta.png", "A 26440-2025")</f>
        <v/>
      </c>
      <c r="Y53">
        <f>HYPERLINK("https://klasma.github.io/Logging_2425/kartor_geotiff/A 26440-2025 georefererad karta.tif", "A 26440-2025")</f>
        <v/>
      </c>
      <c r="AA53">
        <f>HYPERLINK("https://klasma.github.io/Logging_2425/klagomål/A 26440-2025 FSC-klagomål.docx", "A 26440-2025")</f>
        <v/>
      </c>
      <c r="AB53">
        <f>HYPERLINK("https://klasma.github.io/Logging_2425/klagomålsmail/A 26440-2025 FSC-klagomål mail.docx", "A 26440-2025")</f>
        <v/>
      </c>
      <c r="AC53">
        <f>HYPERLINK("https://klasma.github.io/Logging_2425/tillsyn/A 26440-2025 tillsynsbegäran.docx", "A 26440-2025")</f>
        <v/>
      </c>
      <c r="AD53">
        <f>HYPERLINK("https://klasma.github.io/Logging_2425/tillsynsmail/A 26440-2025 tillsynsbegäran mail.docx", "A 26440-2025")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46252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46252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46252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46252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46252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46252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46252</v>
      </c>
      <c r="F65" t="inlineStr">
        <is>
          <t>VÄSTERBOTTENS LÄN</t>
        </is>
      </c>
      <c r="G65" t="inlineStr">
        <is>
          <t>DOROTEA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46252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35000-2023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45142</v>
      </c>
      <c r="E67" s="1" t="n">
        <v>46252</v>
      </c>
      <c r="F67" t="inlineStr">
        <is>
          <t>VÄSTERBOTTENS LÄN</t>
        </is>
      </c>
      <c r="G67" t="inlineStr">
        <is>
          <t>DOROTEA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29258-2025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46252</v>
      </c>
      <c r="F68" t="inlineStr">
        <is>
          <t>VÄSTERBOTTENS LÄN</t>
        </is>
      </c>
      <c r="G68" t="inlineStr">
        <is>
          <t>DOROTEA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46252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17591-2025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46252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46252</v>
      </c>
      <c r="F71" t="inlineStr">
        <is>
          <t>VÄSTERBOTTENS LÄN</t>
        </is>
      </c>
      <c r="G71" t="inlineStr">
        <is>
          <t>DOROTEA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46252</v>
      </c>
      <c r="F72" t="inlineStr">
        <is>
          <t>VÄSTERBOTTENS LÄN</t>
        </is>
      </c>
      <c r="G72" t="inlineStr">
        <is>
          <t>DOROTEA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46252</v>
      </c>
      <c r="F73" t="inlineStr">
        <is>
          <t>VÄSTERBOTTENS LÄN</t>
        </is>
      </c>
      <c r="G73" t="inlineStr">
        <is>
          <t>DOROTEA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46252</v>
      </c>
      <c r="F74" t="inlineStr">
        <is>
          <t>VÄSTERBOTTENS LÄN</t>
        </is>
      </c>
      <c r="G74" t="inlineStr">
        <is>
          <t>DOROTEA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46252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45770</v>
      </c>
      <c r="E76" s="1" t="n">
        <v>46252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45893</v>
      </c>
      <c r="E77" s="1" t="n">
        <v>46252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45639</v>
      </c>
      <c r="E78" s="1" t="n">
        <v>46252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45672</v>
      </c>
      <c r="E79" s="1" t="n">
        <v>46252</v>
      </c>
      <c r="F79" t="inlineStr">
        <is>
          <t>VÄSTERBOTTENS LÄN</t>
        </is>
      </c>
      <c r="G79" t="inlineStr">
        <is>
          <t>DOROTEA</t>
        </is>
      </c>
      <c r="H79" t="inlineStr">
        <is>
          <t>Kommuner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46252</v>
      </c>
      <c r="F80" t="inlineStr">
        <is>
          <t>VÄSTERBOTTENS LÄN</t>
        </is>
      </c>
      <c r="G80" t="inlineStr">
        <is>
          <t>DOROTEA</t>
        </is>
      </c>
      <c r="I80" t="n">
        <v>28.8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46252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45642</v>
      </c>
      <c r="E82" s="1" t="n">
        <v>46252</v>
      </c>
      <c r="F82" t="inlineStr">
        <is>
          <t>VÄSTERBOTTENS LÄN</t>
        </is>
      </c>
      <c r="G82" t="inlineStr">
        <is>
          <t>DOROTEA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46252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7429-2023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44971</v>
      </c>
      <c r="E84" s="1" t="n">
        <v>46252</v>
      </c>
      <c r="F84" t="inlineStr">
        <is>
          <t>VÄSTERBOTTENS LÄN</t>
        </is>
      </c>
      <c r="G84" t="inlineStr">
        <is>
          <t>DOROTEA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46252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46252</v>
      </c>
      <c r="F86" t="inlineStr">
        <is>
          <t>VÄSTERBOTTENS LÄN</t>
        </is>
      </c>
      <c r="G86" t="inlineStr">
        <is>
          <t>DOROTEA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46252</v>
      </c>
      <c r="F87" t="inlineStr">
        <is>
          <t>VÄSTERBOTTENS LÄN</t>
        </is>
      </c>
      <c r="G87" t="inlineStr">
        <is>
          <t>DOROTEA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46252</v>
      </c>
      <c r="F88" t="inlineStr">
        <is>
          <t>VÄSTERBOTTENS LÄN</t>
        </is>
      </c>
      <c r="G88" t="inlineStr">
        <is>
          <t>DOROTEA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46252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46252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46252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46252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8.4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46252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46252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45556</v>
      </c>
      <c r="E95" s="1" t="n">
        <v>46252</v>
      </c>
      <c r="F95" t="inlineStr">
        <is>
          <t>VÄSTERBOTTENS LÄN</t>
        </is>
      </c>
      <c r="G95" t="inlineStr">
        <is>
          <t>DOROTEA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46252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44925</v>
      </c>
      <c r="E97" s="1" t="n">
        <v>46252</v>
      </c>
      <c r="F97" t="inlineStr">
        <is>
          <t>VÄSTERBOTTENS LÄN</t>
        </is>
      </c>
      <c r="G97" t="inlineStr">
        <is>
          <t>DOROTEA</t>
        </is>
      </c>
      <c r="I97" t="n">
        <v>22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46252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44282-2025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45916</v>
      </c>
      <c r="E99" s="1" t="n">
        <v>46252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44357-2025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45916</v>
      </c>
      <c r="E100" s="1" t="n">
        <v>46252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46252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Övriga statliga verk och myndigheter</t>
        </is>
      </c>
      <c r="I101" t="n">
        <v>15.2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46252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46252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46252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46252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46252</v>
      </c>
      <c r="F106" t="inlineStr">
        <is>
          <t>VÄSTERBOTTENS LÄN</t>
        </is>
      </c>
      <c r="G106" t="inlineStr">
        <is>
          <t>DOROTEA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46252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46252</v>
      </c>
      <c r="F108" t="inlineStr">
        <is>
          <t>VÄSTERBOTTENS LÄN</t>
        </is>
      </c>
      <c r="G108" t="inlineStr">
        <is>
          <t>DOROTEA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45846</v>
      </c>
      <c r="E109" s="1" t="n">
        <v>46252</v>
      </c>
      <c r="F109" t="inlineStr">
        <is>
          <t>VÄSTERBOTTENS LÄN</t>
        </is>
      </c>
      <c r="G109" t="inlineStr">
        <is>
          <t>DOROTEA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46252</v>
      </c>
      <c r="F110" t="inlineStr">
        <is>
          <t>VÄSTERBOTTENS LÄN</t>
        </is>
      </c>
      <c r="G110" t="inlineStr">
        <is>
          <t>DOROTEA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46252</v>
      </c>
      <c r="F111" t="inlineStr">
        <is>
          <t>VÄSTERBOTTENS LÄN</t>
        </is>
      </c>
      <c r="G111" t="inlineStr">
        <is>
          <t>DOROTEA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46252</v>
      </c>
      <c r="F112" t="inlineStr">
        <is>
          <t>VÄSTERBOTTENS LÄN</t>
        </is>
      </c>
      <c r="G112" t="inlineStr">
        <is>
          <t>DOROTEA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45848</v>
      </c>
      <c r="E113" s="1" t="n">
        <v>46252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46252</v>
      </c>
      <c r="F114" t="inlineStr">
        <is>
          <t>VÄSTERBOTTENS LÄN</t>
        </is>
      </c>
      <c r="G114" t="inlineStr">
        <is>
          <t>DOROTEA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46252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46252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46252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45852</v>
      </c>
      <c r="E118" s="1" t="n">
        <v>46252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46252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46252</v>
      </c>
      <c r="F120" t="inlineStr">
        <is>
          <t>VÄSTERBOTTENS LÄN</t>
        </is>
      </c>
      <c r="G120" t="inlineStr">
        <is>
          <t>DOROTEA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45855</v>
      </c>
      <c r="E121" s="1" t="n">
        <v>46252</v>
      </c>
      <c r="F121" t="inlineStr">
        <is>
          <t>VÄSTERBOTTENS LÄN</t>
        </is>
      </c>
      <c r="G121" t="inlineStr">
        <is>
          <t>DOROTEA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45855</v>
      </c>
      <c r="E122" s="1" t="n">
        <v>46252</v>
      </c>
      <c r="F122" t="inlineStr">
        <is>
          <t>VÄSTERBOTTENS LÄN</t>
        </is>
      </c>
      <c r="G122" t="inlineStr">
        <is>
          <t>DOROTEA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60015-2023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45257</v>
      </c>
      <c r="E123" s="1" t="n">
        <v>46252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45217</v>
      </c>
      <c r="E124" s="1" t="n">
        <v>46252</v>
      </c>
      <c r="F124" t="inlineStr">
        <is>
          <t>VÄSTERBOTTENS LÄN</t>
        </is>
      </c>
      <c r="G124" t="inlineStr">
        <is>
          <t>DOROTEA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46252</v>
      </c>
      <c r="F125" t="inlineStr">
        <is>
          <t>VÄSTERBOTTENS LÄN</t>
        </is>
      </c>
      <c r="G125" t="inlineStr">
        <is>
          <t>DOROTEA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45866</v>
      </c>
      <c r="E126" s="1" t="n">
        <v>46252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46252</v>
      </c>
      <c r="F127" t="inlineStr">
        <is>
          <t>VÄSTERBOTTENS LÄN</t>
        </is>
      </c>
      <c r="G127" t="inlineStr">
        <is>
          <t>DOROTEA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46252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45866</v>
      </c>
      <c r="E129" s="1" t="n">
        <v>46252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46252</v>
      </c>
      <c r="F130" t="inlineStr">
        <is>
          <t>VÄSTERBOTTENS LÄN</t>
        </is>
      </c>
      <c r="G130" t="inlineStr">
        <is>
          <t>DOROTEA</t>
        </is>
      </c>
      <c r="I130" t="n">
        <v>12.3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45097</v>
      </c>
      <c r="E131" s="1" t="n">
        <v>46252</v>
      </c>
      <c r="F131" t="inlineStr">
        <is>
          <t>VÄSTERBOTTENS LÄN</t>
        </is>
      </c>
      <c r="G131" t="inlineStr">
        <is>
          <t>DOROTEA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46252</v>
      </c>
      <c r="F132" t="inlineStr">
        <is>
          <t>VÄSTERBOTTENS LÄN</t>
        </is>
      </c>
      <c r="G132" t="inlineStr">
        <is>
          <t>DOROTEA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46252</v>
      </c>
      <c r="F133" t="inlineStr">
        <is>
          <t>VÄSTERBOTTENS LÄN</t>
        </is>
      </c>
      <c r="G133" t="inlineStr">
        <is>
          <t>DOROTEA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46252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46252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60153-2024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46252</v>
      </c>
      <c r="F138" t="inlineStr">
        <is>
          <t>VÄSTERBOTTENS LÄN</t>
        </is>
      </c>
      <c r="G138" t="inlineStr">
        <is>
          <t>DOROTEA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46252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22450-2024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45446</v>
      </c>
      <c r="E140" s="1" t="n">
        <v>46252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45125</v>
      </c>
      <c r="E141" s="1" t="n">
        <v>46252</v>
      </c>
      <c r="F141" t="inlineStr">
        <is>
          <t>VÄSTERBOTTENS LÄN</t>
        </is>
      </c>
      <c r="G141" t="inlineStr">
        <is>
          <t>DOROTEA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46252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Sveaskog</t>
        </is>
      </c>
      <c r="I142" t="n">
        <v>13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46252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46252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46252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45874</v>
      </c>
      <c r="E146" s="1" t="n">
        <v>46252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46252</v>
      </c>
      <c r="F147" t="inlineStr">
        <is>
          <t>VÄSTERBOTTENS LÄN</t>
        </is>
      </c>
      <c r="G147" t="inlineStr">
        <is>
          <t>DOROTEA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46252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45874</v>
      </c>
      <c r="E149" s="1" t="n">
        <v>46252</v>
      </c>
      <c r="F149" t="inlineStr">
        <is>
          <t>VÄSTERBOTTENS LÄN</t>
        </is>
      </c>
      <c r="G149" t="inlineStr">
        <is>
          <t>DOROTEA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37135-2025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45875</v>
      </c>
      <c r="E150" s="1" t="n">
        <v>46252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46252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45877</v>
      </c>
      <c r="E152" s="1" t="n">
        <v>46252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45125</v>
      </c>
      <c r="E153" s="1" t="n">
        <v>46252</v>
      </c>
      <c r="F153" t="inlineStr">
        <is>
          <t>VÄSTERBOTTENS LÄN</t>
        </is>
      </c>
      <c r="G153" t="inlineStr">
        <is>
          <t>DOROTEA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46252</v>
      </c>
      <c r="F154" t="inlineStr">
        <is>
          <t>VÄSTERBOTTENS LÄN</t>
        </is>
      </c>
      <c r="G154" t="inlineStr">
        <is>
          <t>DOROTEA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46252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46252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45714</v>
      </c>
      <c r="E158" s="1" t="n">
        <v>46252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46252</v>
      </c>
      <c r="F159" t="inlineStr">
        <is>
          <t>VÄSTERBOTTENS LÄN</t>
        </is>
      </c>
      <c r="G159" t="inlineStr">
        <is>
          <t>DOROTEA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45140</v>
      </c>
      <c r="E160" s="1" t="n">
        <v>46252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45516</v>
      </c>
      <c r="E161" s="1" t="n">
        <v>46252</v>
      </c>
      <c r="F161" t="inlineStr">
        <is>
          <t>VÄSTERBOTTENS LÄN</t>
        </is>
      </c>
      <c r="G161" t="inlineStr">
        <is>
          <t>DOROTEA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46252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46252</v>
      </c>
      <c r="F163" t="inlineStr">
        <is>
          <t>VÄSTERBOTTENS LÄN</t>
        </is>
      </c>
      <c r="G163" t="inlineStr">
        <is>
          <t>DOROTEA</t>
        </is>
      </c>
      <c r="I163" t="n">
        <v>18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46252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46252</v>
      </c>
      <c r="F165" t="inlineStr">
        <is>
          <t>VÄSTERBOTTENS LÄN</t>
        </is>
      </c>
      <c r="G165" t="inlineStr">
        <is>
          <t>DOROTEA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46252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46252</v>
      </c>
      <c r="F167" t="inlineStr">
        <is>
          <t>VÄSTERBOTTENS LÄN</t>
        </is>
      </c>
      <c r="G167" t="inlineStr">
        <is>
          <t>DOROTEA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46252</v>
      </c>
      <c r="F168" t="inlineStr">
        <is>
          <t>VÄSTERBOTTENS LÄN</t>
        </is>
      </c>
      <c r="G168" t="inlineStr">
        <is>
          <t>DOROTEA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46252</v>
      </c>
      <c r="F169" t="inlineStr">
        <is>
          <t>VÄSTERBOTTENS LÄN</t>
        </is>
      </c>
      <c r="G169" t="inlineStr">
        <is>
          <t>DOROTEA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46252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46252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46252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46252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46252</v>
      </c>
      <c r="F174" t="inlineStr">
        <is>
          <t>VÄSTERBOTTENS LÄN</t>
        </is>
      </c>
      <c r="G174" t="inlineStr">
        <is>
          <t>DOROTEA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46252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45399</v>
      </c>
      <c r="E176" s="1" t="n">
        <v>46252</v>
      </c>
      <c r="F176" t="inlineStr">
        <is>
          <t>VÄSTERBOTTENS LÄN</t>
        </is>
      </c>
      <c r="G176" t="inlineStr">
        <is>
          <t>DOROTEA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46252</v>
      </c>
      <c r="F177" t="inlineStr">
        <is>
          <t>VÄSTERBOTTENS LÄN</t>
        </is>
      </c>
      <c r="G177" t="inlineStr">
        <is>
          <t>DOROTEA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46252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46252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67686-2021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44524</v>
      </c>
      <c r="E180" s="1" t="n">
        <v>46252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45977</v>
      </c>
      <c r="E181" s="1" t="n">
        <v>46252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46252</v>
      </c>
      <c r="F182" t="inlineStr">
        <is>
          <t>VÄSTERBOTTENS LÄN</t>
        </is>
      </c>
      <c r="G182" t="inlineStr">
        <is>
          <t>DOROTEA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45735</v>
      </c>
      <c r="E183" s="1" t="n">
        <v>46252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46252</v>
      </c>
      <c r="F184" t="inlineStr">
        <is>
          <t>VÄSTERBOTTENS LÄN</t>
        </is>
      </c>
      <c r="G184" t="inlineStr">
        <is>
          <t>DOROTEA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46252</v>
      </c>
      <c r="F185" t="inlineStr">
        <is>
          <t>VÄSTERBOTTENS LÄN</t>
        </is>
      </c>
      <c r="G185" t="inlineStr">
        <is>
          <t>DOROTEA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46252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Sveaskog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25028-2024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45461</v>
      </c>
      <c r="E187" s="1" t="n">
        <v>46252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45036</v>
      </c>
      <c r="E189" s="1" t="n">
        <v>46252</v>
      </c>
      <c r="F189" t="inlineStr">
        <is>
          <t>VÄSTERBOTTENS LÄN</t>
        </is>
      </c>
      <c r="G189" t="inlineStr">
        <is>
          <t>DOROTEA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46252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46252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45742</v>
      </c>
      <c r="E192" s="1" t="n">
        <v>46252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46252</v>
      </c>
      <c r="F193" t="inlineStr">
        <is>
          <t>VÄSTERBOTTENS LÄN</t>
        </is>
      </c>
      <c r="G193" t="inlineStr">
        <is>
          <t>DOROTEA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46252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45351</v>
      </c>
      <c r="E195" s="1" t="n">
        <v>46252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46252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46252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46252</v>
      </c>
      <c r="F198" t="inlineStr">
        <is>
          <t>VÄSTERBOTTENS LÄN</t>
        </is>
      </c>
      <c r="G198" t="inlineStr">
        <is>
          <t>DOROTEA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46252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18.2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46252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46252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46252</v>
      </c>
      <c r="F202" t="inlineStr">
        <is>
          <t>VÄSTERBOTTENS LÄN</t>
        </is>
      </c>
      <c r="G202" t="inlineStr">
        <is>
          <t>DOROTEA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46252</v>
      </c>
      <c r="F203" t="inlineStr">
        <is>
          <t>VÄSTERBOTTENS LÄN</t>
        </is>
      </c>
      <c r="G203" t="inlineStr">
        <is>
          <t>DOROTEA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44761</v>
      </c>
      <c r="E204" s="1" t="n">
        <v>46252</v>
      </c>
      <c r="F204" t="inlineStr">
        <is>
          <t>VÄSTERBOTTENS LÄN</t>
        </is>
      </c>
      <c r="G204" t="inlineStr">
        <is>
          <t>DOROTEA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48006-2023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45198</v>
      </c>
      <c r="E205" s="1" t="n">
        <v>46252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Övriga statliga verk och myndigheter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46252</v>
      </c>
      <c r="F206" t="inlineStr">
        <is>
          <t>VÄSTERBOTTENS LÄN</t>
        </is>
      </c>
      <c r="G206" t="inlineStr">
        <is>
          <t>DOROTEA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46252</v>
      </c>
      <c r="F207" t="inlineStr">
        <is>
          <t>VÄSTERBOTTENS LÄN</t>
        </is>
      </c>
      <c r="G207" t="inlineStr">
        <is>
          <t>DOROTEA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45036</v>
      </c>
      <c r="E208" s="1" t="n">
        <v>46252</v>
      </c>
      <c r="F208" t="inlineStr">
        <is>
          <t>VÄSTERBOTTENS LÄN</t>
        </is>
      </c>
      <c r="G208" t="inlineStr">
        <is>
          <t>DOROTEA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45228</v>
      </c>
      <c r="E209" s="1" t="n">
        <v>46252</v>
      </c>
      <c r="F209" t="inlineStr">
        <is>
          <t>VÄSTERBOTTENS LÄN</t>
        </is>
      </c>
      <c r="G209" t="inlineStr">
        <is>
          <t>DOROTEA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45228</v>
      </c>
      <c r="E210" s="1" t="n">
        <v>46252</v>
      </c>
      <c r="F210" t="inlineStr">
        <is>
          <t>VÄSTERBOTTENS LÄN</t>
        </is>
      </c>
      <c r="G210" t="inlineStr">
        <is>
          <t>DOROTEA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35937-2025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45862</v>
      </c>
      <c r="E211" s="1" t="n">
        <v>46252</v>
      </c>
      <c r="F211" t="inlineStr">
        <is>
          <t>VÄSTERBOTTENS LÄN</t>
        </is>
      </c>
      <c r="G211" t="inlineStr">
        <is>
          <t>DOROTEA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45996</v>
      </c>
      <c r="E212" s="1" t="n">
        <v>46252</v>
      </c>
      <c r="F212" t="inlineStr">
        <is>
          <t>VÄSTERBOTTENS LÄN</t>
        </is>
      </c>
      <c r="G212" t="inlineStr">
        <is>
          <t>DOROTEA</t>
        </is>
      </c>
      <c r="I212" t="n">
        <v>23.9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46252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14163-2024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45392</v>
      </c>
      <c r="E214" s="1" t="n">
        <v>46252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44582</v>
      </c>
      <c r="E215" s="1" t="n">
        <v>46252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23213-2022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46252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40435-2023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45169</v>
      </c>
      <c r="E217" s="1" t="n">
        <v>46252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46252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62193-2025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46003</v>
      </c>
      <c r="E219" s="1" t="n">
        <v>46252</v>
      </c>
      <c r="F219" t="inlineStr">
        <is>
          <t>VÄSTERBOTTENS LÄN</t>
        </is>
      </c>
      <c r="G219" t="inlineStr">
        <is>
          <t>DOROTEA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46252</v>
      </c>
      <c r="F220" t="inlineStr">
        <is>
          <t>VÄSTERBOTTENS LÄN</t>
        </is>
      </c>
      <c r="G220" t="inlineStr">
        <is>
          <t>DOROTEA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46252</v>
      </c>
      <c r="F221" t="inlineStr">
        <is>
          <t>VÄSTERBOTTENS LÄN</t>
        </is>
      </c>
      <c r="G221" t="inlineStr">
        <is>
          <t>DOROTEA</t>
        </is>
      </c>
      <c r="I221" t="n">
        <v>16.7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46252</v>
      </c>
      <c r="F222" t="inlineStr">
        <is>
          <t>VÄSTERBOTTENS LÄN</t>
        </is>
      </c>
      <c r="G222" t="inlineStr">
        <is>
          <t>DOROTEA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46252</v>
      </c>
      <c r="F223" t="inlineStr">
        <is>
          <t>VÄSTERBOTTENS LÄN</t>
        </is>
      </c>
      <c r="G223" t="inlineStr">
        <is>
          <t>DOROTEA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46252</v>
      </c>
      <c r="F224" t="inlineStr">
        <is>
          <t>VÄSTERBOTTENS LÄN</t>
        </is>
      </c>
      <c r="G224" t="inlineStr">
        <is>
          <t>DOROTEA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40434-2023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45169</v>
      </c>
      <c r="E225" s="1" t="n">
        <v>46252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4958-2023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44956</v>
      </c>
      <c r="E226" s="1" t="n">
        <v>46252</v>
      </c>
      <c r="F226" t="inlineStr">
        <is>
          <t>VÄSTERBOTTENS LÄN</t>
        </is>
      </c>
      <c r="G226" t="inlineStr">
        <is>
          <t>DOROTEA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44824</v>
      </c>
      <c r="E227" s="1" t="n">
        <v>46252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45586</v>
      </c>
      <c r="E228" s="1" t="n">
        <v>46252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46252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9.4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46252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45013</v>
      </c>
      <c r="E231" s="1" t="n">
        <v>46252</v>
      </c>
      <c r="F231" t="inlineStr">
        <is>
          <t>VÄSTERBOTTENS LÄN</t>
        </is>
      </c>
      <c r="G231" t="inlineStr">
        <is>
          <t>DOROTEA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44910</v>
      </c>
      <c r="E232" s="1" t="n">
        <v>46252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46252</v>
      </c>
      <c r="F233" t="inlineStr">
        <is>
          <t>VÄSTERBOTTENS LÄN</t>
        </is>
      </c>
      <c r="G233" t="inlineStr">
        <is>
          <t>DOROTEA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44742</v>
      </c>
      <c r="E234" s="1" t="n">
        <v>46252</v>
      </c>
      <c r="F234" t="inlineStr">
        <is>
          <t>VÄSTERBOTTENS LÄN</t>
        </is>
      </c>
      <c r="G234" t="inlineStr">
        <is>
          <t>DOROTEA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14255-2026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46252</v>
      </c>
      <c r="F235" t="inlineStr">
        <is>
          <t>VÄSTERBOTTENS LÄN</t>
        </is>
      </c>
      <c r="G235" t="inlineStr">
        <is>
          <t>DOROTEA</t>
        </is>
      </c>
      <c r="I235" t="n">
        <v>26.2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27199-2024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45471</v>
      </c>
      <c r="E236" s="1" t="n">
        <v>46252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46252</v>
      </c>
      <c r="F237" t="inlineStr">
        <is>
          <t>VÄSTERBOTTENS LÄN</t>
        </is>
      </c>
      <c r="G237" t="inlineStr">
        <is>
          <t>DOROTEA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45055</v>
      </c>
      <c r="E238" s="1" t="n">
        <v>46252</v>
      </c>
      <c r="F238" t="inlineStr">
        <is>
          <t>VÄSTERBOTTENS LÄN</t>
        </is>
      </c>
      <c r="G238" t="inlineStr">
        <is>
          <t>DOROTEA</t>
        </is>
      </c>
      <c r="H238" t="inlineStr">
        <is>
          <t>Övriga statliga verk och myndigheter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46252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46252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46017</v>
      </c>
      <c r="E241" s="1" t="n">
        <v>46252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46252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46252</v>
      </c>
      <c r="F243" t="inlineStr">
        <is>
          <t>VÄSTERBOTTENS LÄN</t>
        </is>
      </c>
      <c r="G243" t="inlineStr">
        <is>
          <t>DOROTEA</t>
        </is>
      </c>
      <c r="I243" t="n">
        <v>11.1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46252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46252</v>
      </c>
      <c r="F245" t="inlineStr">
        <is>
          <t>VÄSTERBOTTENS LÄN</t>
        </is>
      </c>
      <c r="G245" t="inlineStr">
        <is>
          <t>DOROTEA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27305-2024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45471</v>
      </c>
      <c r="E246" s="1" t="n">
        <v>46252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46252</v>
      </c>
      <c r="F247" t="inlineStr">
        <is>
          <t>VÄSTERBOTTENS LÄN</t>
        </is>
      </c>
      <c r="G247" t="inlineStr">
        <is>
          <t>DOROTEA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43211-2021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44431</v>
      </c>
      <c r="E248" s="1" t="n">
        <v>46252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46252</v>
      </c>
      <c r="F249" t="inlineStr">
        <is>
          <t>VÄSTERBOTTENS LÄN</t>
        </is>
      </c>
      <c r="G249" t="inlineStr">
        <is>
          <t>DOROTEA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74013-2021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44557</v>
      </c>
      <c r="E250" s="1" t="n">
        <v>46252</v>
      </c>
      <c r="F250" t="inlineStr">
        <is>
          <t>VÄSTERBOTTENS LÄN</t>
        </is>
      </c>
      <c r="G250" t="inlineStr">
        <is>
          <t>DOROTEA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46252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46252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46252</v>
      </c>
      <c r="F253" t="inlineStr">
        <is>
          <t>VÄSTERBOTTENS LÄN</t>
        </is>
      </c>
      <c r="G253" t="inlineStr">
        <is>
          <t>DOROTEA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45565</v>
      </c>
      <c r="E254" s="1" t="n">
        <v>46252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46252</v>
      </c>
      <c r="F255" t="inlineStr">
        <is>
          <t>VÄSTERBOTTENS LÄN</t>
        </is>
      </c>
      <c r="G255" t="inlineStr">
        <is>
          <t>DOROTEA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44889</v>
      </c>
      <c r="E256" s="1" t="n">
        <v>46252</v>
      </c>
      <c r="F256" t="inlineStr">
        <is>
          <t>VÄSTERBOTTENS LÄN</t>
        </is>
      </c>
      <c r="G256" t="inlineStr">
        <is>
          <t>DOROTEA</t>
        </is>
      </c>
      <c r="I256" t="n">
        <v>15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46252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55919-2023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45239</v>
      </c>
      <c r="E258" s="1" t="n">
        <v>46252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46252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46252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46252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46042</v>
      </c>
      <c r="E262" s="1" t="n">
        <v>46252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46252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45140</v>
      </c>
      <c r="E264" s="1" t="n">
        <v>46252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46252</v>
      </c>
      <c r="F265" t="inlineStr">
        <is>
          <t>VÄSTERBOTTENS LÄN</t>
        </is>
      </c>
      <c r="G265" t="inlineStr">
        <is>
          <t>DOROTEA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46181</v>
      </c>
      <c r="E266" s="1" t="n">
        <v>46252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46252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46252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46252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46252</v>
      </c>
      <c r="F270" t="inlineStr">
        <is>
          <t>VÄSTERBOTTENS LÄN</t>
        </is>
      </c>
      <c r="G270" t="inlineStr">
        <is>
          <t>DOROTEA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46252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46252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46252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31573-2026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46224</v>
      </c>
      <c r="E274" s="1" t="n">
        <v>46252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46224</v>
      </c>
      <c r="E275" s="1" t="n">
        <v>46252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46252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46224</v>
      </c>
      <c r="E277" s="1" t="n">
        <v>46252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46054</v>
      </c>
      <c r="E278" s="1" t="n">
        <v>46252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47494-2023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45202</v>
      </c>
      <c r="E279" s="1" t="n">
        <v>46252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45448</v>
      </c>
      <c r="E280" s="1" t="n">
        <v>46252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45036</v>
      </c>
      <c r="E281" s="1" t="n">
        <v>46252</v>
      </c>
      <c r="F281" t="inlineStr">
        <is>
          <t>VÄSTERBOTTENS LÄN</t>
        </is>
      </c>
      <c r="G281" t="inlineStr">
        <is>
          <t>DOROTEA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46252</v>
      </c>
      <c r="F282" t="inlineStr">
        <is>
          <t>VÄSTERBOTTENS LÄN</t>
        </is>
      </c>
      <c r="G282" t="inlineStr">
        <is>
          <t>DOROTEA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46252</v>
      </c>
      <c r="F283" t="inlineStr">
        <is>
          <t>VÄSTERBOTTENS LÄN</t>
        </is>
      </c>
      <c r="G283" t="inlineStr">
        <is>
          <t>DOROTEA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46252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45565</v>
      </c>
      <c r="E285" s="1" t="n">
        <v>46252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57070-2023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45244</v>
      </c>
      <c r="E286" s="1" t="n">
        <v>46252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46252</v>
      </c>
      <c r="F287" t="inlineStr">
        <is>
          <t>VÄSTERBOTTENS LÄN</t>
        </is>
      </c>
      <c r="G287" t="inlineStr">
        <is>
          <t>DOROTEA</t>
        </is>
      </c>
      <c r="I287" t="n">
        <v>20.1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45636</v>
      </c>
      <c r="E288" s="1" t="n">
        <v>46252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45448</v>
      </c>
      <c r="E289" s="1" t="n">
        <v>46252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13170-2025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46252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46252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46086</v>
      </c>
      <c r="E292" s="1" t="n">
        <v>46252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46252</v>
      </c>
      <c r="F293" t="inlineStr">
        <is>
          <t>VÄSTERBOTTENS LÄN</t>
        </is>
      </c>
      <c r="G293" t="inlineStr">
        <is>
          <t>DOROTEA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46252</v>
      </c>
      <c r="F294" t="inlineStr">
        <is>
          <t>VÄSTERBOTTENS LÄN</t>
        </is>
      </c>
      <c r="G294" t="inlineStr">
        <is>
          <t>DOROTEA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11817-2026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46252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46252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46252</v>
      </c>
      <c r="F297" t="inlineStr">
        <is>
          <t>VÄSTERBOTTENS LÄN</t>
        </is>
      </c>
      <c r="G297" t="inlineStr">
        <is>
          <t>DOROTEA</t>
        </is>
      </c>
      <c r="H297" t="inlineStr">
        <is>
          <t>Allmännings- och besparingsskogar</t>
        </is>
      </c>
      <c r="I297" t="n">
        <v>22.1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45852</v>
      </c>
      <c r="E298" s="1" t="n">
        <v>46252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Allmännings- och besparingsskogar</t>
        </is>
      </c>
      <c r="I298" t="n">
        <v>20.3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45755</v>
      </c>
      <c r="E299" s="1" t="n">
        <v>46252</v>
      </c>
      <c r="F299" t="inlineStr">
        <is>
          <t>VÄSTERBOTTENS LÄN</t>
        </is>
      </c>
      <c r="G299" t="inlineStr">
        <is>
          <t>DOROTEA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46252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46252</v>
      </c>
      <c r="F301" t="inlineStr">
        <is>
          <t>VÄSTERBOTTENS LÄN</t>
        </is>
      </c>
      <c r="G301" t="inlineStr">
        <is>
          <t>DOROTEA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46252</v>
      </c>
      <c r="F302" t="inlineStr">
        <is>
          <t>VÄSTERBOTTENS LÄN</t>
        </is>
      </c>
      <c r="G302" t="inlineStr">
        <is>
          <t>DOROTEA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46252</v>
      </c>
      <c r="F303" t="inlineStr">
        <is>
          <t>VÄSTERBOTTENS LÄN</t>
        </is>
      </c>
      <c r="G303" t="inlineStr">
        <is>
          <t>DOROTEA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27738-2026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46191</v>
      </c>
      <c r="E304" s="1" t="n">
        <v>46252</v>
      </c>
      <c r="F304" t="inlineStr">
        <is>
          <t>VÄSTERBOTTENS LÄN</t>
        </is>
      </c>
      <c r="G304" t="inlineStr">
        <is>
          <t>DOROTEA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46252</v>
      </c>
      <c r="F305" t="inlineStr">
        <is>
          <t>VÄSTERBOTTENS LÄN</t>
        </is>
      </c>
      <c r="G305" t="inlineStr">
        <is>
          <t>DOROTEA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46107</v>
      </c>
      <c r="E306" s="1" t="n">
        <v>46252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59418-2023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45253</v>
      </c>
      <c r="E307" s="1" t="n">
        <v>46252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7.6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46252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46111</v>
      </c>
      <c r="E309" s="1" t="n">
        <v>46252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46252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33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46252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46252</v>
      </c>
      <c r="F313" t="inlineStr">
        <is>
          <t>VÄSTERBOTTENS LÄN</t>
        </is>
      </c>
      <c r="G313" t="inlineStr">
        <is>
          <t>DOROTEA</t>
        </is>
      </c>
      <c r="H313" t="inlineStr">
        <is>
          <t>Kommuner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46252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46252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46252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45223</v>
      </c>
      <c r="E318" s="1" t="n">
        <v>46252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46123</v>
      </c>
      <c r="E319" s="1" t="n">
        <v>46252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46252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18.3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18254-2026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46252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46252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46252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46252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4617-2023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44956</v>
      </c>
      <c r="E325" s="1" t="n">
        <v>46252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46195</v>
      </c>
      <c r="E326" s="1" t="n">
        <v>46252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46252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49.5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44481</v>
      </c>
      <c r="E328" s="1" t="n">
        <v>46252</v>
      </c>
      <c r="F328" t="inlineStr">
        <is>
          <t>VÄSTERBOTTENS LÄN</t>
        </is>
      </c>
      <c r="G328" t="inlineStr">
        <is>
          <t>DOROTEA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46252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46252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46133</v>
      </c>
      <c r="E331" s="1" t="n">
        <v>46252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46252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59395-2023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45253</v>
      </c>
      <c r="E333" s="1" t="n">
        <v>46252</v>
      </c>
      <c r="F333" t="inlineStr">
        <is>
          <t>VÄSTERBOTTENS LÄN</t>
        </is>
      </c>
      <c r="G333" t="inlineStr">
        <is>
          <t>DOROTEA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45253</v>
      </c>
      <c r="E334" s="1" t="n">
        <v>46252</v>
      </c>
      <c r="F334" t="inlineStr">
        <is>
          <t>VÄSTERBOTTENS LÄN</t>
        </is>
      </c>
      <c r="G334" t="inlineStr">
        <is>
          <t>DOROTEA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45148</v>
      </c>
      <c r="E335" s="1" t="n">
        <v>46252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46252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46252</v>
      </c>
      <c r="F337" t="inlineStr">
        <is>
          <t>VÄSTERBOTTENS LÄN</t>
        </is>
      </c>
      <c r="G337" t="inlineStr">
        <is>
          <t>DOROTEA</t>
        </is>
      </c>
      <c r="I337" t="n">
        <v>14.7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46252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46252</v>
      </c>
      <c r="F339" t="inlineStr">
        <is>
          <t>VÄSTERBOTTENS LÄN</t>
        </is>
      </c>
      <c r="G339" t="inlineStr">
        <is>
          <t>DOROTEA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46252</v>
      </c>
      <c r="F340" t="inlineStr">
        <is>
          <t>VÄSTERBOTTENS LÄN</t>
        </is>
      </c>
      <c r="G340" t="inlineStr">
        <is>
          <t>DOROTEA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46198</v>
      </c>
      <c r="E341" s="1" t="n">
        <v>46252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44888</v>
      </c>
      <c r="E342" s="1" t="n">
        <v>46252</v>
      </c>
      <c r="F342" t="inlineStr">
        <is>
          <t>VÄSTERBOTTENS LÄN</t>
        </is>
      </c>
      <c r="G342" t="inlineStr">
        <is>
          <t>DOROTEA</t>
        </is>
      </c>
      <c r="I342" t="n">
        <v>15.8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46252</v>
      </c>
      <c r="F343" t="inlineStr">
        <is>
          <t>VÄSTERBOTTENS LÄN</t>
        </is>
      </c>
      <c r="G343" t="inlineStr">
        <is>
          <t>DOROTEA</t>
        </is>
      </c>
      <c r="I343" t="n">
        <v>13.3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46252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44484</v>
      </c>
      <c r="E345" s="1" t="n">
        <v>46252</v>
      </c>
      <c r="F345" t="inlineStr">
        <is>
          <t>VÄSTERBOTTENS LÄN</t>
        </is>
      </c>
      <c r="G345" t="inlineStr">
        <is>
          <t>DOROTEA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45351</v>
      </c>
      <c r="E346" s="1" t="n">
        <v>46252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45244</v>
      </c>
      <c r="E347" s="1" t="n">
        <v>46252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46136</v>
      </c>
      <c r="E348" s="1" t="n">
        <v>46252</v>
      </c>
      <c r="F348" t="inlineStr">
        <is>
          <t>VÄSTERBOTTENS LÄN</t>
        </is>
      </c>
      <c r="G348" t="inlineStr">
        <is>
          <t>DOROTEA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46252</v>
      </c>
      <c r="F349" t="inlineStr">
        <is>
          <t>VÄSTERBOTTENS LÄN</t>
        </is>
      </c>
      <c r="G349" t="inlineStr">
        <is>
          <t>DOROTEA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60145-2021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44494</v>
      </c>
      <c r="E350" s="1" t="n">
        <v>46252</v>
      </c>
      <c r="F350" t="inlineStr">
        <is>
          <t>VÄSTERBOTTENS LÄN</t>
        </is>
      </c>
      <c r="G350" t="inlineStr">
        <is>
          <t>DOROTEA</t>
        </is>
      </c>
      <c r="I350" t="n">
        <v>13.3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28549-2023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46252</v>
      </c>
      <c r="F351" t="inlineStr">
        <is>
          <t>VÄSTERBOTTENS LÄN</t>
        </is>
      </c>
      <c r="G351" t="inlineStr">
        <is>
          <t>DOROTEA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46212</v>
      </c>
      <c r="E352" s="1" t="n">
        <v>46252</v>
      </c>
      <c r="F352" t="inlineStr">
        <is>
          <t>VÄSTERBOTTENS LÄN</t>
        </is>
      </c>
      <c r="G352" t="inlineStr">
        <is>
          <t>DOROTEA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46252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46252</v>
      </c>
      <c r="F354" t="inlineStr">
        <is>
          <t>VÄSTERBOTTENS LÄN</t>
        </is>
      </c>
      <c r="G354" t="inlineStr">
        <is>
          <t>DOROTEA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46252</v>
      </c>
      <c r="F355" t="inlineStr">
        <is>
          <t>VÄSTERBOTTENS LÄN</t>
        </is>
      </c>
      <c r="G355" t="inlineStr">
        <is>
          <t>DOROTEA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46252</v>
      </c>
      <c r="F356" t="inlineStr">
        <is>
          <t>VÄSTERBOTTENS LÄN</t>
        </is>
      </c>
      <c r="G356" t="inlineStr">
        <is>
          <t>DOROTEA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46252</v>
      </c>
      <c r="F357" t="inlineStr">
        <is>
          <t>VÄSTERBOTTENS LÄN</t>
        </is>
      </c>
      <c r="G357" t="inlineStr">
        <is>
          <t>DOROTEA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46252</v>
      </c>
      <c r="F358" t="inlineStr">
        <is>
          <t>VÄSTERBOTTENS LÄN</t>
        </is>
      </c>
      <c r="G358" t="inlineStr">
        <is>
          <t>DOROTEA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46817-2022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44848</v>
      </c>
      <c r="E359" s="1" t="n">
        <v>46252</v>
      </c>
      <c r="F359" t="inlineStr">
        <is>
          <t>VÄSTERBOTTENS LÄN</t>
        </is>
      </c>
      <c r="G359" t="inlineStr">
        <is>
          <t>DOROTEA</t>
        </is>
      </c>
      <c r="I359" t="n">
        <v>29.8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46252</v>
      </c>
      <c r="F360" t="inlineStr">
        <is>
          <t>VÄSTERBOTTENS LÄN</t>
        </is>
      </c>
      <c r="G360" t="inlineStr">
        <is>
          <t>DOROTEA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53092-2024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46252</v>
      </c>
      <c r="F361" t="inlineStr">
        <is>
          <t>VÄSTERBOTTENS LÄN</t>
        </is>
      </c>
      <c r="G361" t="inlineStr">
        <is>
          <t>DOROTEA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46252</v>
      </c>
      <c r="F362" t="inlineStr">
        <is>
          <t>VÄSTERBOTTENS LÄN</t>
        </is>
      </c>
      <c r="G362" t="inlineStr">
        <is>
          <t>DOROTEA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46966-2024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45586</v>
      </c>
      <c r="E363" s="1" t="n">
        <v>46252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46252</v>
      </c>
      <c r="F364" t="inlineStr">
        <is>
          <t>VÄSTERBOTTENS LÄN</t>
        </is>
      </c>
      <c r="G364" t="inlineStr">
        <is>
          <t>DOROTEA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45295</v>
      </c>
      <c r="E365" s="1" t="n">
        <v>46252</v>
      </c>
      <c r="F365" t="inlineStr">
        <is>
          <t>VÄSTERBOTTENS LÄN</t>
        </is>
      </c>
      <c r="G365" t="inlineStr">
        <is>
          <t>DOROTEA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46252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37282-2025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45876</v>
      </c>
      <c r="E367" s="1" t="n">
        <v>46252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46252</v>
      </c>
      <c r="F368" t="inlineStr">
        <is>
          <t>VÄSTERBOTTENS LÄN</t>
        </is>
      </c>
      <c r="G368" t="inlineStr">
        <is>
          <t>DOROTEA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46252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44748</v>
      </c>
      <c r="E370" s="1" t="n">
        <v>46252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45488</v>
      </c>
      <c r="E371" s="1" t="n">
        <v>46252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43092-2023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45182</v>
      </c>
      <c r="E372" s="1" t="n">
        <v>46252</v>
      </c>
      <c r="F372" t="inlineStr">
        <is>
          <t>VÄSTERBOTTENS LÄN</t>
        </is>
      </c>
      <c r="G372" t="inlineStr">
        <is>
          <t>DOROTEA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46252</v>
      </c>
      <c r="F373" t="inlineStr">
        <is>
          <t>VÄSTERBOTTENS LÄN</t>
        </is>
      </c>
      <c r="G373" t="inlineStr">
        <is>
          <t>DOROTEA</t>
        </is>
      </c>
      <c r="I373" t="n">
        <v>17.8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46141</v>
      </c>
      <c r="E374" s="1" t="n">
        <v>46252</v>
      </c>
      <c r="F374" t="inlineStr">
        <is>
          <t>VÄSTERBOTTENS LÄN</t>
        </is>
      </c>
      <c r="G374" t="inlineStr">
        <is>
          <t>DOROTEA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46252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46252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46252</v>
      </c>
      <c r="F377" t="inlineStr">
        <is>
          <t>VÄSTERBOTTENS LÄN</t>
        </is>
      </c>
      <c r="G377" t="inlineStr">
        <is>
          <t>DOROTEA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45614</v>
      </c>
      <c r="E378" s="1" t="n">
        <v>46252</v>
      </c>
      <c r="F378" t="inlineStr">
        <is>
          <t>VÄSTERBOTTENS LÄN</t>
        </is>
      </c>
      <c r="G378" t="inlineStr">
        <is>
          <t>DOROTEA</t>
        </is>
      </c>
      <c r="I378" t="n">
        <v>31.7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63575-2025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46013</v>
      </c>
      <c r="E379" s="1" t="n">
        <v>46252</v>
      </c>
      <c r="F379" t="inlineStr">
        <is>
          <t>VÄSTERBOTTENS LÄN</t>
        </is>
      </c>
      <c r="G379" t="inlineStr">
        <is>
          <t>DOROTEA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20231-2026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46252</v>
      </c>
      <c r="F380" t="inlineStr">
        <is>
          <t>VÄSTERBOTTENS LÄN</t>
        </is>
      </c>
      <c r="G380" t="inlineStr">
        <is>
          <t>DOROTEA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45678</v>
      </c>
      <c r="E381" s="1" t="n">
        <v>46252</v>
      </c>
      <c r="F381" t="inlineStr">
        <is>
          <t>VÄSTERBOTTENS LÄN</t>
        </is>
      </c>
      <c r="G381" t="inlineStr">
        <is>
          <t>DOROTEA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36096-2025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45866</v>
      </c>
      <c r="E382" s="1" t="n">
        <v>46252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46252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46252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21338-2026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46147</v>
      </c>
      <c r="E385" s="1" t="n">
        <v>46252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46252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46252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46248</v>
      </c>
      <c r="E388" s="1" t="n">
        <v>46252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46252</v>
      </c>
      <c r="F389" t="inlineStr">
        <is>
          <t>VÄSTERBOTTENS LÄN</t>
        </is>
      </c>
      <c r="G389" t="inlineStr">
        <is>
          <t>DOROTEA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46252</v>
      </c>
      <c r="F390" t="inlineStr">
        <is>
          <t>VÄSTERBOTTENS LÄN</t>
        </is>
      </c>
      <c r="G390" t="inlineStr">
        <is>
          <t>DOROTEA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46252</v>
      </c>
      <c r="F391" t="inlineStr">
        <is>
          <t>VÄSTERBOTTENS LÄN</t>
        </is>
      </c>
      <c r="G391" t="inlineStr">
        <is>
          <t>DOROTEA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46252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46252</v>
      </c>
      <c r="F393" t="inlineStr">
        <is>
          <t>VÄSTERBOTTENS LÄN</t>
        </is>
      </c>
      <c r="G393" t="inlineStr">
        <is>
          <t>DOROTEA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46252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45572</v>
      </c>
      <c r="E395" s="1" t="n">
        <v>46252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46252</v>
      </c>
      <c r="F396" t="inlineStr">
        <is>
          <t>VÄSTERBOTTENS LÄN</t>
        </is>
      </c>
      <c r="G396" t="inlineStr">
        <is>
          <t>DOROTEA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46252</v>
      </c>
      <c r="F397" t="inlineStr">
        <is>
          <t>VÄSTERBOTTENS LÄN</t>
        </is>
      </c>
      <c r="G397" t="inlineStr">
        <is>
          <t>DOROTEA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46150</v>
      </c>
      <c r="E398" s="1" t="n">
        <v>46252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46252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46150</v>
      </c>
      <c r="E400" s="1" t="n">
        <v>46252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46252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42104-2024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45562</v>
      </c>
      <c r="E402" s="1" t="n">
        <v>46252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46252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55888-2022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44888</v>
      </c>
      <c r="E404" s="1" t="n">
        <v>46252</v>
      </c>
      <c r="F404" t="inlineStr">
        <is>
          <t>VÄSTERBOTTENS LÄN</t>
        </is>
      </c>
      <c r="G404" t="inlineStr">
        <is>
          <t>DOROTEA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46252</v>
      </c>
      <c r="F405" t="inlineStr">
        <is>
          <t>VÄSTERBOTTENS LÄN</t>
        </is>
      </c>
      <c r="G405" t="inlineStr">
        <is>
          <t>DOROTEA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45882</v>
      </c>
      <c r="E406" s="1" t="n">
        <v>46252</v>
      </c>
      <c r="F406" t="inlineStr">
        <is>
          <t>VÄSTERBOTTENS LÄN</t>
        </is>
      </c>
      <c r="G406" t="inlineStr">
        <is>
          <t>DOROTEA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46107</v>
      </c>
      <c r="E407" s="1" t="n">
        <v>46252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46252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45789</v>
      </c>
      <c r="E409" s="1" t="n">
        <v>46252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45505</v>
      </c>
      <c r="E410" s="1" t="n">
        <v>46252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44645</v>
      </c>
      <c r="E411" s="1" t="n">
        <v>46252</v>
      </c>
      <c r="F411" t="inlineStr">
        <is>
          <t>VÄSTERBOTTENS LÄN</t>
        </is>
      </c>
      <c r="G411" t="inlineStr">
        <is>
          <t>DOROTEA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45771</v>
      </c>
      <c r="E412" s="1" t="n">
        <v>46252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46252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30461-2024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45491</v>
      </c>
      <c r="E414" s="1" t="n">
        <v>46252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54031-2025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45962</v>
      </c>
      <c r="E415" s="1" t="n">
        <v>46252</v>
      </c>
      <c r="F415" t="inlineStr">
        <is>
          <t>VÄSTERBOTTENS LÄN</t>
        </is>
      </c>
      <c r="G415" t="inlineStr">
        <is>
          <t>DOROTEA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46252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46252</v>
      </c>
      <c r="F417" t="inlineStr">
        <is>
          <t>VÄSTERBOTTENS LÄN</t>
        </is>
      </c>
      <c r="G417" t="inlineStr">
        <is>
          <t>DOROTEA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46252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46252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50582-2024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45600</v>
      </c>
      <c r="E420" s="1" t="n">
        <v>46252</v>
      </c>
      <c r="F420" t="inlineStr">
        <is>
          <t>VÄSTERBOTTENS LÄN</t>
        </is>
      </c>
      <c r="G420" t="inlineStr">
        <is>
          <t>DOROTEA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45140</v>
      </c>
      <c r="E421" s="1" t="n">
        <v>46252</v>
      </c>
      <c r="F421" t="inlineStr">
        <is>
          <t>VÄSTERBOTTENS LÄN</t>
        </is>
      </c>
      <c r="G421" t="inlineStr">
        <is>
          <t>DOROTEA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29737-2024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45485</v>
      </c>
      <c r="E422" s="1" t="n">
        <v>46252</v>
      </c>
      <c r="F422" t="inlineStr">
        <is>
          <t>VÄSTERBOTTENS LÄN</t>
        </is>
      </c>
      <c r="G422" t="inlineStr">
        <is>
          <t>DOROTEA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46252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46252</v>
      </c>
      <c r="F424" t="inlineStr">
        <is>
          <t>VÄSTERBOTTENS LÄN</t>
        </is>
      </c>
      <c r="G424" t="inlineStr">
        <is>
          <t>DOROTEA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45517</v>
      </c>
      <c r="E425" s="1" t="n">
        <v>46252</v>
      </c>
      <c r="F425" t="inlineStr">
        <is>
          <t>VÄSTERBOTTENS LÄN</t>
        </is>
      </c>
      <c r="G425" t="inlineStr">
        <is>
          <t>DOROTEA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46252</v>
      </c>
      <c r="F426" t="inlineStr">
        <is>
          <t>VÄSTERBOTTENS LÄN</t>
        </is>
      </c>
      <c r="G426" t="inlineStr">
        <is>
          <t>DOROTEA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46211</v>
      </c>
      <c r="E427" s="1" t="n">
        <v>46252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30740-2026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46211</v>
      </c>
      <c r="E428" s="1" t="n">
        <v>46252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46252</v>
      </c>
      <c r="F429" t="inlineStr">
        <is>
          <t>VÄSTERBOTTENS LÄN</t>
        </is>
      </c>
      <c r="G429" t="inlineStr">
        <is>
          <t>DOROTEA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46252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46213</v>
      </c>
      <c r="E431" s="1" t="n">
        <v>46252</v>
      </c>
      <c r="F431" t="inlineStr">
        <is>
          <t>VÄSTERBOTTENS LÄN</t>
        </is>
      </c>
      <c r="G431" t="inlineStr">
        <is>
          <t>DOROTEA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46252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46212</v>
      </c>
      <c r="E433" s="1" t="n">
        <v>46252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46213</v>
      </c>
      <c r="E434" s="1" t="n">
        <v>46252</v>
      </c>
      <c r="F434" t="inlineStr">
        <is>
          <t>VÄSTERBOTTENS LÄN</t>
        </is>
      </c>
      <c r="G434" t="inlineStr">
        <is>
          <t>DOROTEA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46252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46252</v>
      </c>
      <c r="F436" t="inlineStr">
        <is>
          <t>VÄSTERBOTTENS LÄN</t>
        </is>
      </c>
      <c r="G436" t="inlineStr">
        <is>
          <t>DOROTEA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44979</v>
      </c>
      <c r="E437" s="1" t="n">
        <v>46252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46217</v>
      </c>
      <c r="E438" s="1" t="n">
        <v>46252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45807</v>
      </c>
      <c r="E439" s="1" t="n">
        <v>46252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46252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46217</v>
      </c>
      <c r="E441" s="1" t="n">
        <v>46252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46252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46252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46252</v>
      </c>
      <c r="F444" t="inlineStr">
        <is>
          <t>VÄSTERBOTTENS LÄN</t>
        </is>
      </c>
      <c r="G444" t="inlineStr">
        <is>
          <t>DOROTEA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46252</v>
      </c>
      <c r="F445" t="inlineStr">
        <is>
          <t>VÄSTERBOTTENS LÄN</t>
        </is>
      </c>
      <c r="G445" t="inlineStr">
        <is>
          <t>DOROTEA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46218</v>
      </c>
      <c r="E447" s="1" t="n">
        <v>46252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46218</v>
      </c>
      <c r="E448" s="1" t="n">
        <v>46252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46218</v>
      </c>
      <c r="E449" s="1" t="n">
        <v>46252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46252</v>
      </c>
      <c r="F450" t="inlineStr">
        <is>
          <t>VÄSTERBOTTENS LÄN</t>
        </is>
      </c>
      <c r="G450" t="inlineStr">
        <is>
          <t>DOROTEA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2945-2024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45506</v>
      </c>
      <c r="E451" s="1" t="n">
        <v>46252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1058-2025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45749</v>
      </c>
      <c r="E452" s="1" t="n">
        <v>46252</v>
      </c>
      <c r="F452" t="inlineStr">
        <is>
          <t>VÄSTERBOTTENS LÄN</t>
        </is>
      </c>
      <c r="G452" t="inlineStr">
        <is>
          <t>DOROTEA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844-2025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45733</v>
      </c>
      <c r="E453" s="1" t="n">
        <v>46252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1293.5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2195-2025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45858</v>
      </c>
      <c r="E454" s="1" t="n">
        <v>46252</v>
      </c>
      <c r="F454" t="inlineStr">
        <is>
          <t>VÄSTERBOTTENS LÄN</t>
        </is>
      </c>
      <c r="G454" t="inlineStr">
        <is>
          <t>DOROTEA</t>
        </is>
      </c>
      <c r="I454" t="n">
        <v>27.4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2283-2025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45876</v>
      </c>
      <c r="E455" s="1" t="n">
        <v>46252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2360-2025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45889</v>
      </c>
      <c r="E456" s="1" t="n">
        <v>46252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1763-2026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46189</v>
      </c>
      <c r="E457" s="1" t="n">
        <v>46252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2026-08-18T01:48:32Z</dcterms:created>
  <dcterms:modified xmlns:dcterms="http://purl.org/dc/terms/" xmlns:xsi="http://www.w3.org/2001/XMLSchema-instance" xsi:type="dcterms:W3CDTF">2026-08-18T01:48:32Z</dcterms:modified>
</cp:coreProperties>
</file>