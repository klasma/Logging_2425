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46318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46318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35203-2025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45852</v>
      </c>
      <c r="E4" s="1" t="n">
        <v>46318</v>
      </c>
      <c r="F4" t="inlineStr">
        <is>
          <t>VÄSTERBOTTENS LÄN</t>
        </is>
      </c>
      <c r="G4" t="inlineStr">
        <is>
          <t>DOROTEA</t>
        </is>
      </c>
      <c r="H4" t="inlineStr">
        <is>
          <t>Allmännings- och besparingsskogar</t>
        </is>
      </c>
      <c r="I4" t="n">
        <v>20.3</v>
      </c>
      <c r="J4" t="n">
        <v>1</v>
      </c>
      <c r="K4" t="n">
        <v>1</v>
      </c>
      <c r="L4" t="n">
        <v>8</v>
      </c>
      <c r="M4" t="n">
        <v>5</v>
      </c>
      <c r="N4" t="n">
        <v>0</v>
      </c>
      <c r="O4" t="n">
        <v>0</v>
      </c>
      <c r="P4" t="n">
        <v>0</v>
      </c>
      <c r="Q4" t="n">
        <v>13</v>
      </c>
      <c r="R4" t="n">
        <v>5</v>
      </c>
      <c r="S4" t="n">
        <v>14</v>
      </c>
      <c r="T4" t="n">
        <v>14</v>
      </c>
      <c r="U4" t="n">
        <v>14</v>
      </c>
      <c r="V4" s="2" t="inlineStr">
        <is>
          <t>Garnlav
Gränsticka
Liten sotlav
Skuggnål
Vitskaftad svartspik
Doftskinn
Harticka
Liten svartspik
Rynkskinn
Stjärntagging
Talltita
Ullticka
Vitgrynig nållav
Trådticka</t>
        </is>
      </c>
      <c r="W4">
        <f>HYPERLINK("https://klasma.github.io/Logging_2425/artfynd/A 35203-2025 artfynd.xlsx", "A 35203-2025")</f>
        <v/>
      </c>
      <c r="X4">
        <f>HYPERLINK("https://klasma.github.io/Logging_2425/kartor/A 35203-2025 karta.png", "A 35203-2025")</f>
        <v/>
      </c>
      <c r="Y4">
        <f>HYPERLINK("https://klasma.github.io/Logging_2425/kartor_geotiff/A 35203-2025 georefererad karta.tif", "A 35203-2025")</f>
        <v/>
      </c>
      <c r="AA4">
        <f>HYPERLINK("https://klasma.github.io/Logging_2425/klagomål/A 35203-2025 FSC-klagomål.docx", "A 35203-2025")</f>
        <v/>
      </c>
      <c r="AB4">
        <f>HYPERLINK("https://klasma.github.io/Logging_2425/klagomålsmail/A 35203-2025 FSC-klagomål mail.docx", "A 35203-2025")</f>
        <v/>
      </c>
      <c r="AC4">
        <f>HYPERLINK("https://klasma.github.io/Logging_2425/tillsyn/A 35203-2025 tillsynsbegäran.docx", "A 35203-2025")</f>
        <v/>
      </c>
      <c r="AD4">
        <f>HYPERLINK("https://klasma.github.io/Logging_2425/tillsynsmail/A 35203-2025 tillsynsbegäran mail.docx", "A 35203-2025")</f>
        <v/>
      </c>
      <c r="AE4">
        <f>HYPERLINK("https://klasma.github.io/Logging_2425/fåglar/A 35203-2025 prioriterade fågelarter.docx", "A 35203-2025")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46318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46318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35202-2025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45852</v>
      </c>
      <c r="E7" s="1" t="n">
        <v>46318</v>
      </c>
      <c r="F7" t="inlineStr">
        <is>
          <t>VÄSTERBOTTENS LÄN</t>
        </is>
      </c>
      <c r="G7" t="inlineStr">
        <is>
          <t>DOROTEA</t>
        </is>
      </c>
      <c r="H7" t="inlineStr">
        <is>
          <t>Allmännings- och besparingsskogar</t>
        </is>
      </c>
      <c r="I7" t="n">
        <v>22.1</v>
      </c>
      <c r="J7" t="n">
        <v>0</v>
      </c>
      <c r="K7" t="n">
        <v>1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12</v>
      </c>
      <c r="T7" t="n">
        <v>18</v>
      </c>
      <c r="U7" t="n">
        <v>18</v>
      </c>
      <c r="V7" s="2" t="inlineStr">
        <is>
          <t>Garnlav
Skuggnål
Vitskaftad svartspik
Brunpudrad nållav
Gammelgransskål
Harticka
Kavernularia
Knottrig blåslav
Rödbrun blekspik
Skrovellav
Vitgrynig nållav
Rostfläck</t>
        </is>
      </c>
      <c r="W7">
        <f>HYPERLINK("https://klasma.github.io/Logging_2425/artfynd/A 35202-2025 artfynd.xlsx", "A 35202-2025")</f>
        <v/>
      </c>
      <c r="X7">
        <f>HYPERLINK("https://klasma.github.io/Logging_2425/kartor/A 35202-2025 karta.png", "A 35202-2025")</f>
        <v/>
      </c>
      <c r="Y7">
        <f>HYPERLINK("https://klasma.github.io/Logging_2425/kartor_geotiff/A 35202-2025 georefererad karta.tif", "A 35202-2025")</f>
        <v/>
      </c>
      <c r="AA7">
        <f>HYPERLINK("https://klasma.github.io/Logging_2425/klagomål/A 35202-2025 FSC-klagomål.docx", "A 35202-2025")</f>
        <v/>
      </c>
      <c r="AB7">
        <f>HYPERLINK("https://klasma.github.io/Logging_2425/klagomålsmail/A 35202-2025 FSC-klagomål mail.docx", "A 35202-2025")</f>
        <v/>
      </c>
      <c r="AC7">
        <f>HYPERLINK("https://klasma.github.io/Logging_2425/tillsyn/A 35202-2025 tillsynsbegäran.docx", "A 35202-2025")</f>
        <v/>
      </c>
      <c r="AD7">
        <f>HYPERLINK("https://klasma.github.io/Logging_2425/tillsynsmail/A 35202-2025 tillsynsbegäran mail.docx", "A 35202-2025")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46318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46318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46318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46318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46318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46318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33655-2023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46318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21.4</v>
      </c>
      <c r="J14" t="n">
        <v>0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12</v>
      </c>
      <c r="U14" t="n">
        <v>12</v>
      </c>
      <c r="V14" s="2" t="inlineStr">
        <is>
          <t>Garnlav
Fjällig taggsvamp s.str.
Harticka
Rosenticka
Ullticka
Trådticka</t>
        </is>
      </c>
      <c r="W14">
        <f>HYPERLINK("https://klasma.github.io/Logging_2425/artfynd/A 33655-2023 artfynd.xlsx", "A 33655-2023")</f>
        <v/>
      </c>
      <c r="X14">
        <f>HYPERLINK("https://klasma.github.io/Logging_2425/kartor/A 33655-2023 karta.png", "A 33655-2023")</f>
        <v/>
      </c>
      <c r="Y14">
        <f>HYPERLINK("https://klasma.github.io/Logging_2425/kartor_geotiff/A 33655-2023 georefererad karta.tif", "A 33655-2023")</f>
        <v/>
      </c>
      <c r="AA14">
        <f>HYPERLINK("https://klasma.github.io/Logging_2425/klagomål/A 33655-2023 FSC-klagomål.docx", "A 33655-2023")</f>
        <v/>
      </c>
      <c r="AB14">
        <f>HYPERLINK("https://klasma.github.io/Logging_2425/klagomålsmail/A 33655-2023 FSC-klagomål mail.docx", "A 33655-2023")</f>
        <v/>
      </c>
      <c r="AC14">
        <f>HYPERLINK("https://klasma.github.io/Logging_2425/tillsyn/A 33655-2023 tillsynsbegäran.docx", "A 33655-2023")</f>
        <v/>
      </c>
      <c r="AD14">
        <f>HYPERLINK("https://klasma.github.io/Logging_2425/tillsynsmail/A 33655-2023 tillsynsbegäran mail.docx", "A 33655-2023")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46318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46318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46318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46318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46318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46318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46318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46318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46318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46318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46318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46318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46318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46318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46318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46318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46318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46318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40013-2024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45553</v>
      </c>
      <c r="E33" s="1" t="n">
        <v>46318</v>
      </c>
      <c r="F33" t="inlineStr">
        <is>
          <t>VÄSTERBOTTENS LÄN</t>
        </is>
      </c>
      <c r="G33" t="inlineStr">
        <is>
          <t>DOROTEA</t>
        </is>
      </c>
      <c r="H33" t="inlineStr">
        <is>
          <t>Övriga statliga verk och myndigheter</t>
        </is>
      </c>
      <c r="I33" t="n">
        <v>1.5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Tretåig hackspett
Tjäder</t>
        </is>
      </c>
      <c r="W33">
        <f>HYPERLINK("https://klasma.github.io/Logging_2425/artfynd/A 40013-2024 artfynd.xlsx", "A 40013-2024")</f>
        <v/>
      </c>
      <c r="X33">
        <f>HYPERLINK("https://klasma.github.io/Logging_2425/kartor/A 40013-2024 karta.png", "A 40013-2024")</f>
        <v/>
      </c>
      <c r="Y33">
        <f>HYPERLINK("https://klasma.github.io/Logging_2425/kartor_geotiff/A 40013-2024 georefererad karta.tif", "A 40013-2024")</f>
        <v/>
      </c>
      <c r="AA33">
        <f>HYPERLINK("https://klasma.github.io/Logging_2425/klagomål/A 40013-2024 FSC-klagomål.docx", "A 40013-2024")</f>
        <v/>
      </c>
      <c r="AB33">
        <f>HYPERLINK("https://klasma.github.io/Logging_2425/klagomålsmail/A 40013-2024 FSC-klagomål mail.docx", "A 40013-2024")</f>
        <v/>
      </c>
      <c r="AC33">
        <f>HYPERLINK("https://klasma.github.io/Logging_2425/tillsyn/A 40013-2024 tillsynsbegäran.docx", "A 40013-2024")</f>
        <v/>
      </c>
      <c r="AD33">
        <f>HYPERLINK("https://klasma.github.io/Logging_2425/tillsynsmail/A 40013-2024 tillsynsbegäran mail.docx", "A 40013-2024")</f>
        <v/>
      </c>
      <c r="AE33">
        <f>HYPERLINK("https://klasma.github.io/Logging_2425/fåglar/A 40013-2024 prioriterade fågelarter.docx", "A 40013-2024")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46318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A 19589-2024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45429</v>
      </c>
      <c r="E35" s="1" t="n">
        <v>46318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Lunglav
Talltita</t>
        </is>
      </c>
      <c r="W35">
        <f>HYPERLINK("https://klasma.github.io/Logging_2425/artfynd/A 19589-2024 artfynd.xlsx", "A 19589-2024")</f>
        <v/>
      </c>
      <c r="X35">
        <f>HYPERLINK("https://klasma.github.io/Logging_2425/kartor/A 19589-2024 karta.png", "A 19589-2024")</f>
        <v/>
      </c>
      <c r="Y35">
        <f>HYPERLINK("https://klasma.github.io/Logging_2425/kartor_geotiff/A 19589-2024 georefererad karta.tif", "A 19589-2024")</f>
        <v/>
      </c>
      <c r="AA35">
        <f>HYPERLINK("https://klasma.github.io/Logging_2425/klagomål/A 19589-2024 FSC-klagomål.docx", "A 19589-2024")</f>
        <v/>
      </c>
      <c r="AB35">
        <f>HYPERLINK("https://klasma.github.io/Logging_2425/klagomålsmail/A 19589-2024 FSC-klagomål mail.docx", "A 19589-2024")</f>
        <v/>
      </c>
      <c r="AC35">
        <f>HYPERLINK("https://klasma.github.io/Logging_2425/tillsyn/A 19589-2024 tillsynsbegäran.docx", "A 19589-2024")</f>
        <v/>
      </c>
      <c r="AD35">
        <f>HYPERLINK("https://klasma.github.io/Logging_2425/tillsynsmail/A 19589-2024 tillsynsbegäran mail.docx", "A 19589-2024")</f>
        <v/>
      </c>
      <c r="AE35">
        <f>HYPERLINK("https://klasma.github.io/Logging_2425/fåglar/A 19589-2024 prioriterade fågelarter.docx", "A 19589-2024")</f>
        <v/>
      </c>
    </row>
    <row r="36" ht="15" customHeight="1">
      <c r="A36" t="inlineStr">
        <is>
          <t>A 35336-2026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46261</v>
      </c>
      <c r="E36" s="1" t="n">
        <v>46318</v>
      </c>
      <c r="F36" t="inlineStr">
        <is>
          <t>VÄSTERBOTTENS LÄN</t>
        </is>
      </c>
      <c r="G36" t="inlineStr">
        <is>
          <t>DOROTEA</t>
        </is>
      </c>
      <c r="I36" t="n">
        <v>4.2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Blodticka</t>
        </is>
      </c>
      <c r="W36">
        <f>HYPERLINK("https://klasma.github.io/Logging_2425/artfynd/A 35336-2026 artfynd.xlsx", "A 35336-2026")</f>
        <v/>
      </c>
      <c r="X36">
        <f>HYPERLINK("https://klasma.github.io/Logging_2425/kartor/A 35336-2026 karta.png", "A 35336-2026")</f>
        <v/>
      </c>
      <c r="Y36">
        <f>HYPERLINK("https://klasma.github.io/Logging_2425/kartor_geotiff/A 35336-2026 georefererad karta.tif", "A 35336-2026")</f>
        <v/>
      </c>
      <c r="AA36">
        <f>HYPERLINK("https://klasma.github.io/Logging_2425/klagomål/A 35336-2026 FSC-klagomål.docx", "A 35336-2026")</f>
        <v/>
      </c>
      <c r="AB36">
        <f>HYPERLINK("https://klasma.github.io/Logging_2425/klagomålsmail/A 35336-2026 FSC-klagomål mail.docx", "A 35336-2026")</f>
        <v/>
      </c>
      <c r="AC36">
        <f>HYPERLINK("https://klasma.github.io/Logging_2425/tillsyn/A 35336-2026 tillsynsbegäran.docx", "A 35336-2026")</f>
        <v/>
      </c>
      <c r="AD36">
        <f>HYPERLINK("https://klasma.github.io/Logging_2425/tillsynsmail/A 35336-2026 tillsynsbegäran mail.docx", "A 35336-2026")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46318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46318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46318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46318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57060-2024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46318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8.9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HYPERLINK("https://klasma.github.io/Logging_2425/artfynd/A 57060-2024 artfynd.xlsx", "A 57060-2024")</f>
        <v/>
      </c>
      <c r="X41">
        <f>HYPERLINK("https://klasma.github.io/Logging_2425/kartor/A 57060-2024 karta.png", "A 57060-2024")</f>
        <v/>
      </c>
      <c r="Y41">
        <f>HYPERLINK("https://klasma.github.io/Logging_2425/kartor_geotiff/A 57060-2024 georefererad karta.tif", "A 57060-2024")</f>
        <v/>
      </c>
      <c r="AA41">
        <f>HYPERLINK("https://klasma.github.io/Logging_2425/klagomål/A 57060-2024 FSC-klagomål.docx", "A 57060-2024")</f>
        <v/>
      </c>
      <c r="AB41">
        <f>HYPERLINK("https://klasma.github.io/Logging_2425/klagomålsmail/A 57060-2024 FSC-klagomål mail.docx", "A 57060-2024")</f>
        <v/>
      </c>
      <c r="AC41">
        <f>HYPERLINK("https://klasma.github.io/Logging_2425/tillsyn/A 57060-2024 tillsynsbegäran.docx", "A 57060-2024")</f>
        <v/>
      </c>
      <c r="AD41">
        <f>HYPERLINK("https://klasma.github.io/Logging_2425/tillsynsmail/A 57060-2024 tillsynsbegäran mail.docx", "A 57060-2024")</f>
        <v/>
      </c>
    </row>
    <row r="42" ht="15" customHeight="1">
      <c r="A42" t="inlineStr">
        <is>
          <t>A 41079-2025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46318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41079-2025 artfynd.xlsx", "A 41079-2025")</f>
        <v/>
      </c>
      <c r="X42">
        <f>HYPERLINK("https://klasma.github.io/Logging_2425/kartor/A 41079-2025 karta.png", "A 41079-2025")</f>
        <v/>
      </c>
      <c r="Y42">
        <f>HYPERLINK("https://klasma.github.io/Logging_2425/kartor_geotiff/A 41079-2025 georefererad karta.tif", "A 41079-2025")</f>
        <v/>
      </c>
      <c r="AA42">
        <f>HYPERLINK("https://klasma.github.io/Logging_2425/klagomål/A 41079-2025 FSC-klagomål.docx", "A 41079-2025")</f>
        <v/>
      </c>
      <c r="AB42">
        <f>HYPERLINK("https://klasma.github.io/Logging_2425/klagomålsmail/A 41079-2025 FSC-klagomål mail.docx", "A 41079-2025")</f>
        <v/>
      </c>
      <c r="AC42">
        <f>HYPERLINK("https://klasma.github.io/Logging_2425/tillsyn/A 41079-2025 tillsynsbegäran.docx", "A 41079-2025")</f>
        <v/>
      </c>
      <c r="AD42">
        <f>HYPERLINK("https://klasma.github.io/Logging_2425/tillsynsmail/A 41079-2025 tillsynsbegäran mail.docx", "A 41079-2025")</f>
        <v/>
      </c>
    </row>
    <row r="43" ht="15" customHeight="1">
      <c r="A43" t="inlineStr">
        <is>
          <t>A 53309-2022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44878</v>
      </c>
      <c r="E43" s="1" t="n">
        <v>46318</v>
      </c>
      <c r="F43" t="inlineStr">
        <is>
          <t>VÄSTERBOTTENS LÄN</t>
        </is>
      </c>
      <c r="G43" t="inlineStr">
        <is>
          <t>DOROTEA</t>
        </is>
      </c>
      <c r="I43" t="n">
        <v>6.6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HYPERLINK("https://klasma.github.io/Logging_2425/artfynd/A 53309-2022 artfynd.xlsx", "A 53309-2022")</f>
        <v/>
      </c>
      <c r="X43">
        <f>HYPERLINK("https://klasma.github.io/Logging_2425/kartor/A 53309-2022 karta.png", "A 53309-2022")</f>
        <v/>
      </c>
      <c r="Y43">
        <f>HYPERLINK("https://klasma.github.io/Logging_2425/kartor_geotiff/A 53309-2022 georefererad karta.tif", "A 53309-2022")</f>
        <v/>
      </c>
      <c r="AA43">
        <f>HYPERLINK("https://klasma.github.io/Logging_2425/klagomål/A 53309-2022 FSC-klagomål.docx", "A 53309-2022")</f>
        <v/>
      </c>
      <c r="AB43">
        <f>HYPERLINK("https://klasma.github.io/Logging_2425/klagomålsmail/A 53309-2022 FSC-klagomål mail.docx", "A 53309-2022")</f>
        <v/>
      </c>
      <c r="AC43">
        <f>HYPERLINK("https://klasma.github.io/Logging_2425/tillsyn/A 53309-2022 tillsynsbegäran.docx", "A 53309-2022")</f>
        <v/>
      </c>
      <c r="AD43">
        <f>HYPERLINK("https://klasma.github.io/Logging_2425/tillsynsmail/A 53309-2022 tillsynsbegäran mail.docx", "A 53309-2022")</f>
        <v/>
      </c>
      <c r="AE43">
        <f>HYPERLINK("https://klasma.github.io/Logging_2425/fåglar/A 53309-2022 prioriterade fågelarter.docx", "A 53309-2022")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46318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57058-2024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46318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HYPERLINK("https://klasma.github.io/Logging_2425/artfynd/A 57058-2024 artfynd.xlsx", "A 57058-2024")</f>
        <v/>
      </c>
      <c r="X45">
        <f>HYPERLINK("https://klasma.github.io/Logging_2425/kartor/A 57058-2024 karta.png", "A 57058-2024")</f>
        <v/>
      </c>
      <c r="Y45">
        <f>HYPERLINK("https://klasma.github.io/Logging_2425/kartor_geotiff/A 57058-2024 georefererad karta.tif", "A 57058-2024")</f>
        <v/>
      </c>
      <c r="AA45">
        <f>HYPERLINK("https://klasma.github.io/Logging_2425/klagomål/A 57058-2024 FSC-klagomål.docx", "A 57058-2024")</f>
        <v/>
      </c>
      <c r="AB45">
        <f>HYPERLINK("https://klasma.github.io/Logging_2425/klagomålsmail/A 57058-2024 FSC-klagomål mail.docx", "A 57058-2024")</f>
        <v/>
      </c>
      <c r="AC45">
        <f>HYPERLINK("https://klasma.github.io/Logging_2425/tillsyn/A 57058-2024 tillsynsbegäran.docx", "A 57058-2024")</f>
        <v/>
      </c>
      <c r="AD45">
        <f>HYPERLINK("https://klasma.github.io/Logging_2425/tillsynsmail/A 57058-2024 tillsynsbegäran mail.docx", "A 57058-2024")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46318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46815-2023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45198</v>
      </c>
      <c r="E47" s="1" t="n">
        <v>46318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Harticka</t>
        </is>
      </c>
      <c r="W47">
        <f>HYPERLINK("https://klasma.github.io/Logging_2425/artfynd/A 46815-2023 artfynd.xlsx", "A 46815-2023")</f>
        <v/>
      </c>
      <c r="X47">
        <f>HYPERLINK("https://klasma.github.io/Logging_2425/kartor/A 46815-2023 karta.png", "A 46815-2023")</f>
        <v/>
      </c>
      <c r="Y47">
        <f>HYPERLINK("https://klasma.github.io/Logging_2425/kartor_geotiff/A 46815-2023 georefererad karta.tif", "A 46815-2023")</f>
        <v/>
      </c>
      <c r="AA47">
        <f>HYPERLINK("https://klasma.github.io/Logging_2425/klagomål/A 46815-2023 FSC-klagomål.docx", "A 46815-2023")</f>
        <v/>
      </c>
      <c r="AB47">
        <f>HYPERLINK("https://klasma.github.io/Logging_2425/klagomålsmail/A 46815-2023 FSC-klagomål mail.docx", "A 46815-2023")</f>
        <v/>
      </c>
      <c r="AC47">
        <f>HYPERLINK("https://klasma.github.io/Logging_2425/tillsyn/A 46815-2023 tillsynsbegäran.docx", "A 46815-2023")</f>
        <v/>
      </c>
      <c r="AD47">
        <f>HYPERLINK("https://klasma.github.io/Logging_2425/tillsynsmail/A 46815-2023 tillsynsbegäran mail.docx", "A 46815-2023")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46318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46318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48089-2022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44855</v>
      </c>
      <c r="E50" s="1" t="n">
        <v>46318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9.199999999999999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Gammelgransskål</t>
        </is>
      </c>
      <c r="W50">
        <f>HYPERLINK("https://klasma.github.io/Logging_2425/artfynd/A 48089-2022 artfynd.xlsx", "A 48089-2022")</f>
        <v/>
      </c>
      <c r="X50">
        <f>HYPERLINK("https://klasma.github.io/Logging_2425/kartor/A 48089-2022 karta.png", "A 48089-2022")</f>
        <v/>
      </c>
      <c r="Y50">
        <f>HYPERLINK("https://klasma.github.io/Logging_2425/kartor_geotiff/A 48089-2022 georefererad karta.tif", "A 48089-2022")</f>
        <v/>
      </c>
      <c r="AA50">
        <f>HYPERLINK("https://klasma.github.io/Logging_2425/klagomål/A 48089-2022 FSC-klagomål.docx", "A 48089-2022")</f>
        <v/>
      </c>
      <c r="AB50">
        <f>HYPERLINK("https://klasma.github.io/Logging_2425/klagomålsmail/A 48089-2022 FSC-klagomål mail.docx", "A 48089-2022")</f>
        <v/>
      </c>
      <c r="AC50">
        <f>HYPERLINK("https://klasma.github.io/Logging_2425/tillsyn/A 48089-2022 tillsynsbegäran.docx", "A 48089-2022")</f>
        <v/>
      </c>
      <c r="AD50">
        <f>HYPERLINK("https://klasma.github.io/Logging_2425/tillsynsmail/A 48089-2022 tillsynsbegäran mail.docx", "A 48089-2022")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46318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36318-2024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45534</v>
      </c>
      <c r="E52" s="1" t="n">
        <v>46318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2.5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8</v>
      </c>
      <c r="V52" s="2" t="inlineStr">
        <is>
          <t>Garnlav</t>
        </is>
      </c>
      <c r="W52">
        <f>HYPERLINK("https://klasma.github.io/Logging_2425/artfynd/A 36318-2024 artfynd.xlsx", "A 36318-2024")</f>
        <v/>
      </c>
      <c r="X52">
        <f>HYPERLINK("https://klasma.github.io/Logging_2425/kartor/A 36318-2024 karta.png", "A 36318-2024")</f>
        <v/>
      </c>
      <c r="Y52">
        <f>HYPERLINK("https://klasma.github.io/Logging_2425/kartor_geotiff/A 36318-2024 georefererad karta.tif", "A 36318-2024")</f>
        <v/>
      </c>
      <c r="AA52">
        <f>HYPERLINK("https://klasma.github.io/Logging_2425/klagomål/A 36318-2024 FSC-klagomål.docx", "A 36318-2024")</f>
        <v/>
      </c>
      <c r="AB52">
        <f>HYPERLINK("https://klasma.github.io/Logging_2425/klagomålsmail/A 36318-2024 FSC-klagomål mail.docx", "A 36318-2024")</f>
        <v/>
      </c>
      <c r="AC52">
        <f>HYPERLINK("https://klasma.github.io/Logging_2425/tillsyn/A 36318-2024 tillsynsbegäran.docx", "A 36318-2024")</f>
        <v/>
      </c>
      <c r="AD52">
        <f>HYPERLINK("https://klasma.github.io/Logging_2425/tillsynsmail/A 36318-2024 tillsynsbegäran mail.docx", "A 36318-2024")</f>
        <v/>
      </c>
    </row>
    <row r="53" ht="15" customHeight="1">
      <c r="A53" t="inlineStr">
        <is>
          <t>A 30286-2023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46318</v>
      </c>
      <c r="F53" t="inlineStr">
        <is>
          <t>VÄSTERBOTTENS LÄN</t>
        </is>
      </c>
      <c r="G53" t="inlineStr">
        <is>
          <t>DOROTEA</t>
        </is>
      </c>
      <c r="I53" t="n">
        <v>21.2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Skogsrör</t>
        </is>
      </c>
      <c r="W53">
        <f>HYPERLINK("https://klasma.github.io/Logging_2425/artfynd/A 30286-2023 artfynd.xlsx", "A 30286-2023")</f>
        <v/>
      </c>
      <c r="X53">
        <f>HYPERLINK("https://klasma.github.io/Logging_2425/kartor/A 30286-2023 karta.png", "A 30286-2023")</f>
        <v/>
      </c>
      <c r="Y53">
        <f>HYPERLINK("https://klasma.github.io/Logging_2425/kartor_geotiff/A 30286-2023 georefererad karta.tif", "A 30286-2023")</f>
        <v/>
      </c>
      <c r="AA53">
        <f>HYPERLINK("https://klasma.github.io/Logging_2425/klagomål/A 30286-2023 FSC-klagomål.docx", "A 30286-2023")</f>
        <v/>
      </c>
      <c r="AB53">
        <f>HYPERLINK("https://klasma.github.io/Logging_2425/klagomålsmail/A 30286-2023 FSC-klagomål mail.docx", "A 30286-2023")</f>
        <v/>
      </c>
      <c r="AC53">
        <f>HYPERLINK("https://klasma.github.io/Logging_2425/tillsyn/A 30286-2023 tillsynsbegäran.docx", "A 30286-2023")</f>
        <v/>
      </c>
      <c r="AD53">
        <f>HYPERLINK("https://klasma.github.io/Logging_2425/tillsynsmail/A 30286-2023 tillsynsbegäran mail.docx", "A 30286-2023")</f>
        <v/>
      </c>
    </row>
    <row r="54" ht="15" customHeight="1">
      <c r="A54" t="inlineStr">
        <is>
          <t>A 1278-2024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45302</v>
      </c>
      <c r="E54" s="1" t="n">
        <v>46318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Gräddticka</t>
        </is>
      </c>
      <c r="W54">
        <f>HYPERLINK("https://klasma.github.io/Logging_2425/artfynd/A 1278-2024 artfynd.xlsx", "A 1278-2024")</f>
        <v/>
      </c>
      <c r="X54">
        <f>HYPERLINK("https://klasma.github.io/Logging_2425/kartor/A 1278-2024 karta.png", "A 1278-2024")</f>
        <v/>
      </c>
      <c r="Y54">
        <f>HYPERLINK("https://klasma.github.io/Logging_2425/kartor_geotiff/A 1278-2024 georefererad karta.tif", "A 1278-2024")</f>
        <v/>
      </c>
      <c r="AA54">
        <f>HYPERLINK("https://klasma.github.io/Logging_2425/klagomål/A 1278-2024 FSC-klagomål.docx", "A 1278-2024")</f>
        <v/>
      </c>
      <c r="AB54">
        <f>HYPERLINK("https://klasma.github.io/Logging_2425/klagomålsmail/A 1278-2024 FSC-klagomål mail.docx", "A 1278-2024")</f>
        <v/>
      </c>
      <c r="AC54">
        <f>HYPERLINK("https://klasma.github.io/Logging_2425/tillsyn/A 1278-2024 tillsynsbegäran.docx", "A 1278-2024")</f>
        <v/>
      </c>
      <c r="AD54">
        <f>HYPERLINK("https://klasma.github.io/Logging_2425/tillsynsmail/A 1278-2024 tillsynsbegäran mail.docx", "A 1278-2024")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46318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A 20600-2023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46318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Korallrot</t>
        </is>
      </c>
      <c r="W56">
        <f>HYPERLINK("https://klasma.github.io/Logging_2425/artfynd/A 20600-2023 artfynd.xlsx", "A 20600-2023")</f>
        <v/>
      </c>
      <c r="X56">
        <f>HYPERLINK("https://klasma.github.io/Logging_2425/kartor/A 20600-2023 karta.png", "A 20600-2023")</f>
        <v/>
      </c>
      <c r="Y56">
        <f>HYPERLINK("https://klasma.github.io/Logging_2425/kartor_geotiff/A 20600-2023 georefererad karta.tif", "A 20600-2023")</f>
        <v/>
      </c>
      <c r="AA56">
        <f>HYPERLINK("https://klasma.github.io/Logging_2425/klagomål/A 20600-2023 FSC-klagomål.docx", "A 20600-2023")</f>
        <v/>
      </c>
      <c r="AB56">
        <f>HYPERLINK("https://klasma.github.io/Logging_2425/klagomålsmail/A 20600-2023 FSC-klagomål mail.docx", "A 20600-2023")</f>
        <v/>
      </c>
      <c r="AC56">
        <f>HYPERLINK("https://klasma.github.io/Logging_2425/tillsyn/A 20600-2023 tillsynsbegäran.docx", "A 20600-2023")</f>
        <v/>
      </c>
      <c r="AD56">
        <f>HYPERLINK("https://klasma.github.io/Logging_2425/tillsynsmail/A 20600-2023 tillsynsbegäran mail.docx", "A 20600-2023")</f>
        <v/>
      </c>
    </row>
    <row r="57" ht="15" customHeight="1">
      <c r="A57" t="inlineStr">
        <is>
          <t>A 42536-2026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46308</v>
      </c>
      <c r="E57" s="1" t="n">
        <v>46318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8.6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Lappranunkel</t>
        </is>
      </c>
      <c r="W57">
        <f>HYPERLINK("https://klasma.github.io/Logging_2425/artfynd/A 42536-2026 artfynd.xlsx", "A 42536-2026")</f>
        <v/>
      </c>
      <c r="X57">
        <f>HYPERLINK("https://klasma.github.io/Logging_2425/kartor/A 42536-2026 karta.png", "A 42536-2026")</f>
        <v/>
      </c>
      <c r="Y57">
        <f>HYPERLINK("https://klasma.github.io/Logging_2425/kartor_geotiff/A 42536-2026 georefererad karta.tif", "A 42536-2026")</f>
        <v/>
      </c>
      <c r="AA57">
        <f>HYPERLINK("https://klasma.github.io/Logging_2425/klagomål/A 42536-2026 FSC-klagomål.docx", "A 42536-2026")</f>
        <v/>
      </c>
      <c r="AB57">
        <f>HYPERLINK("https://klasma.github.io/Logging_2425/klagomålsmail/A 42536-2026 FSC-klagomål mail.docx", "A 42536-2026")</f>
        <v/>
      </c>
      <c r="AC57">
        <f>HYPERLINK("https://klasma.github.io/Logging_2425/tillsyn/A 42536-2026 tillsynsbegäran.docx", "A 42536-2026")</f>
        <v/>
      </c>
      <c r="AD57">
        <f>HYPERLINK("https://klasma.github.io/Logging_2425/tillsynsmail/A 42536-2026 tillsynsbegäran mail.docx", "A 42536-2026")</f>
        <v/>
      </c>
    </row>
    <row r="58" ht="15" customHeight="1">
      <c r="A58" t="inlineStr">
        <is>
          <t>A 12005-2023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44994</v>
      </c>
      <c r="E58" s="1" t="n">
        <v>46318</v>
      </c>
      <c r="F58" t="inlineStr">
        <is>
          <t>VÄSTERBOTTENS LÄN</t>
        </is>
      </c>
      <c r="G58" t="inlineStr">
        <is>
          <t>DOROTEA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HYPERLINK("https://klasma.github.io/Logging_2425/artfynd/A 12005-2023 artfynd.xlsx", "A 12005-2023")</f>
        <v/>
      </c>
      <c r="X58">
        <f>HYPERLINK("https://klasma.github.io/Logging_2425/kartor/A 12005-2023 karta.png", "A 12005-2023")</f>
        <v/>
      </c>
      <c r="Y58">
        <f>HYPERLINK("https://klasma.github.io/Logging_2425/kartor_geotiff/A 12005-2023 georefererad karta.tif", "A 12005-2023")</f>
        <v/>
      </c>
      <c r="AA58">
        <f>HYPERLINK("https://klasma.github.io/Logging_2425/klagomål/A 12005-2023 FSC-klagomål.docx", "A 12005-2023")</f>
        <v/>
      </c>
      <c r="AB58">
        <f>HYPERLINK("https://klasma.github.io/Logging_2425/klagomålsmail/A 12005-2023 FSC-klagomål mail.docx", "A 12005-2023")</f>
        <v/>
      </c>
      <c r="AC58">
        <f>HYPERLINK("https://klasma.github.io/Logging_2425/tillsyn/A 12005-2023 tillsynsbegäran.docx", "A 12005-2023")</f>
        <v/>
      </c>
      <c r="AD58">
        <f>HYPERLINK("https://klasma.github.io/Logging_2425/tillsynsmail/A 12005-2023 tillsynsbegäran mail.docx", "A 12005-2023")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46318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46318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46318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46318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64063-2021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46318</v>
      </c>
      <c r="F63" t="inlineStr">
        <is>
          <t>VÄSTERBOTTENS LÄN</t>
        </is>
      </c>
      <c r="G63" t="inlineStr">
        <is>
          <t>DOROTEA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46318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46318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46318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46318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46318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46318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46318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46318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46318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46318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55549-2024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46318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46318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36137-2023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46318</v>
      </c>
      <c r="F76" t="inlineStr">
        <is>
          <t>VÄSTERBOTTENS LÄN</t>
        </is>
      </c>
      <c r="G76" t="inlineStr">
        <is>
          <t>DOROTEA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46318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9.4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46318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45800</v>
      </c>
      <c r="E79" s="1" t="n">
        <v>46318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46318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46318</v>
      </c>
      <c r="F81" t="inlineStr">
        <is>
          <t>VÄSTERBOTTENS LÄN</t>
        </is>
      </c>
      <c r="G81" t="inlineStr">
        <is>
          <t>DOROTEA</t>
        </is>
      </c>
      <c r="I81" t="n">
        <v>10.6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45807</v>
      </c>
      <c r="E82" s="1" t="n">
        <v>46318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45807</v>
      </c>
      <c r="E83" s="1" t="n">
        <v>46318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46318</v>
      </c>
      <c r="F84" t="inlineStr">
        <is>
          <t>VÄSTERBOTTENS LÄN</t>
        </is>
      </c>
      <c r="G84" t="inlineStr">
        <is>
          <t>DOROTEA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45742</v>
      </c>
      <c r="E85" s="1" t="n">
        <v>46318</v>
      </c>
      <c r="F85" t="inlineStr">
        <is>
          <t>VÄSTERBOTTENS LÄN</t>
        </is>
      </c>
      <c r="G85" t="inlineStr">
        <is>
          <t>DOROTEA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45036</v>
      </c>
      <c r="E86" s="1" t="n">
        <v>46318</v>
      </c>
      <c r="F86" t="inlineStr">
        <is>
          <t>VÄSTERBOTTENS LÄN</t>
        </is>
      </c>
      <c r="G86" t="inlineStr">
        <is>
          <t>DOROTEA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46318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46318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46318</v>
      </c>
      <c r="F89" t="inlineStr">
        <is>
          <t>VÄSTERBOTTENS LÄN</t>
        </is>
      </c>
      <c r="G89" t="inlineStr">
        <is>
          <t>DOROTEA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46318</v>
      </c>
      <c r="F90" t="inlineStr">
        <is>
          <t>VÄSTERBOTTENS LÄN</t>
        </is>
      </c>
      <c r="G90" t="inlineStr">
        <is>
          <t>DOROTEA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14163-2024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45392</v>
      </c>
      <c r="E91" s="1" t="n">
        <v>46318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46318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40435-2023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45169</v>
      </c>
      <c r="E93" s="1" t="n">
        <v>46318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60015-2023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45257</v>
      </c>
      <c r="E94" s="1" t="n">
        <v>46318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46318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40434-2023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45169</v>
      </c>
      <c r="E96" s="1" t="n">
        <v>46318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44956</v>
      </c>
      <c r="E97" s="1" t="n">
        <v>46318</v>
      </c>
      <c r="F97" t="inlineStr">
        <is>
          <t>VÄSTERBOTTENS LÄN</t>
        </is>
      </c>
      <c r="G97" t="inlineStr">
        <is>
          <t>DOROTEA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46318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17658-2023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45036</v>
      </c>
      <c r="E99" s="1" t="n">
        <v>46318</v>
      </c>
      <c r="F99" t="inlineStr">
        <is>
          <t>VÄSTERBOTTENS LÄN</t>
        </is>
      </c>
      <c r="G99" t="inlineStr">
        <is>
          <t>DOROTEA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44910</v>
      </c>
      <c r="E100" s="1" t="n">
        <v>46318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46318</v>
      </c>
      <c r="F101" t="inlineStr">
        <is>
          <t>VÄSTERBOTTENS LÄN</t>
        </is>
      </c>
      <c r="G101" t="inlineStr">
        <is>
          <t>DOROTEA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27199-2024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45471</v>
      </c>
      <c r="E102" s="1" t="n">
        <v>46318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45551</v>
      </c>
      <c r="E103" s="1" t="n">
        <v>46318</v>
      </c>
      <c r="F103" t="inlineStr">
        <is>
          <t>VÄSTERBOTTENS LÄN</t>
        </is>
      </c>
      <c r="G103" t="inlineStr">
        <is>
          <t>DOROTEA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46318</v>
      </c>
      <c r="F104" t="inlineStr">
        <is>
          <t>VÄSTERBOTTENS LÄN</t>
        </is>
      </c>
      <c r="G104" t="inlineStr">
        <is>
          <t>DOROTEA</t>
        </is>
      </c>
      <c r="H104" t="inlineStr">
        <is>
          <t>Övriga statliga verk och myndigheter</t>
        </is>
      </c>
      <c r="I104" t="n">
        <v>13.9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46318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44876</v>
      </c>
      <c r="E106" s="1" t="n">
        <v>46318</v>
      </c>
      <c r="F106" t="inlineStr">
        <is>
          <t>VÄSTERBOTTENS LÄN</t>
        </is>
      </c>
      <c r="G106" t="inlineStr">
        <is>
          <t>DOROTEA</t>
        </is>
      </c>
      <c r="I106" t="n">
        <v>12.3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46318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46318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46318</v>
      </c>
      <c r="F109" t="inlineStr">
        <is>
          <t>VÄSTERBOTTENS LÄN</t>
        </is>
      </c>
      <c r="G109" t="inlineStr">
        <is>
          <t>DOROTEA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46318</v>
      </c>
      <c r="F110" t="inlineStr">
        <is>
          <t>VÄSTERBOTTENS LÄN</t>
        </is>
      </c>
      <c r="G110" t="inlineStr">
        <is>
          <t>DOROTEA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27477-2023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45097</v>
      </c>
      <c r="E111" s="1" t="n">
        <v>46318</v>
      </c>
      <c r="F111" t="inlineStr">
        <is>
          <t>VÄSTERBOTTENS LÄN</t>
        </is>
      </c>
      <c r="G111" t="inlineStr">
        <is>
          <t>DOROTEA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46318</v>
      </c>
      <c r="F112" t="inlineStr">
        <is>
          <t>VÄSTERBOTTENS LÄN</t>
        </is>
      </c>
      <c r="G112" t="inlineStr">
        <is>
          <t>DOROTEA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74013-2021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46318</v>
      </c>
      <c r="F113" t="inlineStr">
        <is>
          <t>VÄSTERBOTTENS LÄN</t>
        </is>
      </c>
      <c r="G113" t="inlineStr">
        <is>
          <t>DOROTEA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46318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46318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45893</v>
      </c>
      <c r="E116" s="1" t="n">
        <v>46318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45565</v>
      </c>
      <c r="E117" s="1" t="n">
        <v>46318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46318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46318</v>
      </c>
      <c r="F119" t="inlineStr">
        <is>
          <t>VÄSTERBOTTENS LÄN</t>
        </is>
      </c>
      <c r="G119" t="inlineStr">
        <is>
          <t>DOROTEA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45848</v>
      </c>
      <c r="E120" s="1" t="n">
        <v>46318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55919-2023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45239</v>
      </c>
      <c r="E121" s="1" t="n">
        <v>46318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45849</v>
      </c>
      <c r="E122" s="1" t="n">
        <v>46318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45852</v>
      </c>
      <c r="E123" s="1" t="n">
        <v>46318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46318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46318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46318</v>
      </c>
      <c r="F126" t="inlineStr">
        <is>
          <t>VÄSTERBOTTENS LÄN</t>
        </is>
      </c>
      <c r="G126" t="inlineStr">
        <is>
          <t>DOROTEA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46318</v>
      </c>
      <c r="F127" t="inlineStr">
        <is>
          <t>VÄSTERBOTTENS LÄN</t>
        </is>
      </c>
      <c r="G127" t="inlineStr">
        <is>
          <t>DOROTEA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46318</v>
      </c>
      <c r="F128" t="inlineStr">
        <is>
          <t>VÄSTERBOTTENS LÄN</t>
        </is>
      </c>
      <c r="G128" t="inlineStr">
        <is>
          <t>DOROTEA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45562</v>
      </c>
      <c r="E129" s="1" t="n">
        <v>46318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46318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46318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46318</v>
      </c>
      <c r="F132" t="inlineStr">
        <is>
          <t>VÄSTERBOTTENS LÄN</t>
        </is>
      </c>
      <c r="G132" t="inlineStr">
        <is>
          <t>DOROTEA</t>
        </is>
      </c>
      <c r="H132" t="inlineStr">
        <is>
          <t>Övriga Aktiebolag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45866</v>
      </c>
      <c r="E133" s="1" t="n">
        <v>46318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45866</v>
      </c>
      <c r="E134" s="1" t="n">
        <v>46318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46318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45223</v>
      </c>
      <c r="E136" s="1" t="n">
        <v>46318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46318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45915</v>
      </c>
      <c r="E138" s="1" t="n">
        <v>46318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46318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46318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46318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47494-2023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45202</v>
      </c>
      <c r="E142" s="1" t="n">
        <v>46318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44282-2025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45916</v>
      </c>
      <c r="E143" s="1" t="n">
        <v>46318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46318</v>
      </c>
      <c r="F144" t="inlineStr">
        <is>
          <t>VÄSTERBOTTENS LÄN</t>
        </is>
      </c>
      <c r="G144" t="inlineStr">
        <is>
          <t>DOROTEA</t>
        </is>
      </c>
      <c r="H144" t="inlineStr">
        <is>
          <t>Övriga statliga verk och myndigheter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45448</v>
      </c>
      <c r="E145" s="1" t="n">
        <v>46318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46318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45874</v>
      </c>
      <c r="E147" s="1" t="n">
        <v>46318</v>
      </c>
      <c r="F147" t="inlineStr">
        <is>
          <t>VÄSTERBOTTENS LÄN</t>
        </is>
      </c>
      <c r="G147" t="inlineStr">
        <is>
          <t>DOROTEA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46318</v>
      </c>
      <c r="F148" t="inlineStr">
        <is>
          <t>VÄSTERBOTTENS LÄN</t>
        </is>
      </c>
      <c r="G148" t="inlineStr">
        <is>
          <t>DOROTEA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46318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45036</v>
      </c>
      <c r="E150" s="1" t="n">
        <v>46318</v>
      </c>
      <c r="F150" t="inlineStr">
        <is>
          <t>VÄSTERBOTTENS LÄN</t>
        </is>
      </c>
      <c r="G150" t="inlineStr">
        <is>
          <t>DOROTEA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45917</v>
      </c>
      <c r="E151" s="1" t="n">
        <v>46318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37259-2025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45876</v>
      </c>
      <c r="E152" s="1" t="n">
        <v>46318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46318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46318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45845</v>
      </c>
      <c r="E155" s="1" t="n">
        <v>46318</v>
      </c>
      <c r="F155" t="inlineStr">
        <is>
          <t>VÄSTERBOTTENS LÄN</t>
        </is>
      </c>
      <c r="G155" t="inlineStr">
        <is>
          <t>DOROTEA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46318</v>
      </c>
      <c r="F156" t="inlineStr">
        <is>
          <t>VÄSTERBOTTENS LÄN</t>
        </is>
      </c>
      <c r="G156" t="inlineStr">
        <is>
          <t>DOROTEA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46318</v>
      </c>
      <c r="F157" t="inlineStr">
        <is>
          <t>VÄSTERBOTTENS LÄN</t>
        </is>
      </c>
      <c r="G157" t="inlineStr">
        <is>
          <t>DOROTEA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45565</v>
      </c>
      <c r="E158" s="1" t="n">
        <v>46318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45882</v>
      </c>
      <c r="E159" s="1" t="n">
        <v>46318</v>
      </c>
      <c r="F159" t="inlineStr">
        <is>
          <t>VÄSTERBOTTENS LÄN</t>
        </is>
      </c>
      <c r="G159" t="inlineStr">
        <is>
          <t>DOROTEA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46318</v>
      </c>
      <c r="F160" t="inlineStr">
        <is>
          <t>VÄSTERBOTTENS LÄN</t>
        </is>
      </c>
      <c r="G160" t="inlineStr">
        <is>
          <t>DOROTEA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46318</v>
      </c>
      <c r="F161" t="inlineStr">
        <is>
          <t>VÄSTERBOTTENS LÄN</t>
        </is>
      </c>
      <c r="G161" t="inlineStr">
        <is>
          <t>DOROTEA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46318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46318</v>
      </c>
      <c r="F163" t="inlineStr">
        <is>
          <t>VÄSTERBOTTENS LÄN</t>
        </is>
      </c>
      <c r="G163" t="inlineStr">
        <is>
          <t>DOROTEA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46318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57070-2023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45244</v>
      </c>
      <c r="E165" s="1" t="n">
        <v>46318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46318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46318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46318</v>
      </c>
      <c r="F168" t="inlineStr">
        <is>
          <t>VÄSTERBOTTENS LÄN</t>
        </is>
      </c>
      <c r="G168" t="inlineStr">
        <is>
          <t>DOROTEA</t>
        </is>
      </c>
      <c r="I168" t="n">
        <v>14.7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45446</v>
      </c>
      <c r="E169" s="1" t="n">
        <v>46318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45125</v>
      </c>
      <c r="E170" s="1" t="n">
        <v>46318</v>
      </c>
      <c r="F170" t="inlineStr">
        <is>
          <t>VÄSTERBOTTENS LÄN</t>
        </is>
      </c>
      <c r="G170" t="inlineStr">
        <is>
          <t>DOROTEA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46136</v>
      </c>
      <c r="E171" s="1" t="n">
        <v>46318</v>
      </c>
      <c r="F171" t="inlineStr">
        <is>
          <t>VÄSTERBOTTENS LÄN</t>
        </is>
      </c>
      <c r="G171" t="inlineStr">
        <is>
          <t>DOROTEA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46318</v>
      </c>
      <c r="F172" t="inlineStr">
        <is>
          <t>VÄSTERBOTTENS LÄN</t>
        </is>
      </c>
      <c r="G172" t="inlineStr">
        <is>
          <t>DOROTEA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46318</v>
      </c>
      <c r="F173" t="inlineStr">
        <is>
          <t>VÄSTERBOTTENS LÄN</t>
        </is>
      </c>
      <c r="G173" t="inlineStr">
        <is>
          <t>DOROTEA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46318</v>
      </c>
      <c r="F174" t="inlineStr">
        <is>
          <t>VÄSTERBOTTENS LÄN</t>
        </is>
      </c>
      <c r="G174" t="inlineStr">
        <is>
          <t>DOROTEA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46318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46318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46318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45491</v>
      </c>
      <c r="E178" s="1" t="n">
        <v>46318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Sveaskog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45937</v>
      </c>
      <c r="E179" s="1" t="n">
        <v>46318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46318</v>
      </c>
      <c r="F180" t="inlineStr">
        <is>
          <t>VÄSTERBOTTENS LÄN</t>
        </is>
      </c>
      <c r="G180" t="inlineStr">
        <is>
          <t>DOROTEA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46318</v>
      </c>
      <c r="F181" t="inlineStr">
        <is>
          <t>VÄSTERBOTTENS LÄN</t>
        </is>
      </c>
      <c r="G181" t="inlineStr">
        <is>
          <t>DOROTEA</t>
        </is>
      </c>
      <c r="I181" t="n">
        <v>22.7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46318</v>
      </c>
      <c r="F182" t="inlineStr">
        <is>
          <t>VÄSTERBOTTENS LÄN</t>
        </is>
      </c>
      <c r="G182" t="inlineStr">
        <is>
          <t>DOROTEA</t>
        </is>
      </c>
      <c r="I182" t="n">
        <v>15.8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46318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46318</v>
      </c>
      <c r="F184" t="inlineStr">
        <is>
          <t>VÄSTERBOTTENS LÄN</t>
        </is>
      </c>
      <c r="G184" t="inlineStr">
        <is>
          <t>DOROTEA</t>
        </is>
      </c>
      <c r="I184" t="n">
        <v>13.3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46139</v>
      </c>
      <c r="E185" s="1" t="n">
        <v>46318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46318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46318</v>
      </c>
      <c r="F187" t="inlineStr">
        <is>
          <t>VÄSTERBOTTENS LÄN</t>
        </is>
      </c>
      <c r="G187" t="inlineStr">
        <is>
          <t>DOROTEA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46318</v>
      </c>
      <c r="F188" t="inlineStr">
        <is>
          <t>VÄSTERBOTTENS LÄN</t>
        </is>
      </c>
      <c r="G188" t="inlineStr">
        <is>
          <t>DOROTEA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45539</v>
      </c>
      <c r="E189" s="1" t="n">
        <v>46318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46318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45463</v>
      </c>
      <c r="E191" s="1" t="n">
        <v>46318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45519</v>
      </c>
      <c r="E192" s="1" t="n">
        <v>46318</v>
      </c>
      <c r="F192" t="inlineStr">
        <is>
          <t>VÄSTERBOTTENS LÄN</t>
        </is>
      </c>
      <c r="G192" t="inlineStr">
        <is>
          <t>DOROTEA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63294-2025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46318</v>
      </c>
      <c r="F193" t="inlineStr">
        <is>
          <t>VÄSTERBOTTENS LÄN</t>
        </is>
      </c>
      <c r="G193" t="inlineStr">
        <is>
          <t>DOROTEA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46318</v>
      </c>
      <c r="F194" t="inlineStr">
        <is>
          <t>VÄSTERBOTTENS LÄN</t>
        </is>
      </c>
      <c r="G194" t="inlineStr">
        <is>
          <t>DOROTEA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46318</v>
      </c>
      <c r="F195" t="inlineStr">
        <is>
          <t>VÄSTERBOTTENS LÄN</t>
        </is>
      </c>
      <c r="G195" t="inlineStr">
        <is>
          <t>DOROTEA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46318</v>
      </c>
      <c r="F196" t="inlineStr">
        <is>
          <t>VÄSTERBOTTENS LÄN</t>
        </is>
      </c>
      <c r="G196" t="inlineStr">
        <is>
          <t>DOROTEA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46318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46318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46318</v>
      </c>
      <c r="F199" t="inlineStr">
        <is>
          <t>VÄSTERBOTTENS LÄN</t>
        </is>
      </c>
      <c r="G199" t="inlineStr">
        <is>
          <t>DOROTEA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46318</v>
      </c>
      <c r="F200" t="inlineStr">
        <is>
          <t>VÄSTERBOTTENS LÄN</t>
        </is>
      </c>
      <c r="G200" t="inlineStr">
        <is>
          <t>DOROTEA</t>
        </is>
      </c>
      <c r="I200" t="n">
        <v>10.2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59418-2023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45253</v>
      </c>
      <c r="E201" s="1" t="n">
        <v>46318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45611</v>
      </c>
      <c r="E202" s="1" t="n">
        <v>46318</v>
      </c>
      <c r="F202" t="inlineStr">
        <is>
          <t>VÄSTERBOTTENS LÄN</t>
        </is>
      </c>
      <c r="G202" t="inlineStr">
        <is>
          <t>DOROTEA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46318</v>
      </c>
      <c r="F203" t="inlineStr">
        <is>
          <t>VÄSTERBOTTENS LÄN</t>
        </is>
      </c>
      <c r="G203" t="inlineStr">
        <is>
          <t>DOROTEA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46318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45295</v>
      </c>
      <c r="E205" s="1" t="n">
        <v>46318</v>
      </c>
      <c r="F205" t="inlineStr">
        <is>
          <t>VÄSTERBOTTENS LÄN</t>
        </is>
      </c>
      <c r="G205" t="inlineStr">
        <is>
          <t>DOROTEA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46318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46318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46318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46318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46318</v>
      </c>
      <c r="F210" t="inlineStr">
        <is>
          <t>VÄSTERBOTTENS LÄN</t>
        </is>
      </c>
      <c r="G210" t="inlineStr">
        <is>
          <t>DOROTEA</t>
        </is>
      </c>
      <c r="I210" t="n">
        <v>17.8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46318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46318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46141</v>
      </c>
      <c r="E213" s="1" t="n">
        <v>46318</v>
      </c>
      <c r="F213" t="inlineStr">
        <is>
          <t>VÄSTERBOTTENS LÄN</t>
        </is>
      </c>
      <c r="G213" t="inlineStr">
        <is>
          <t>DOROTEA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46318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46318</v>
      </c>
      <c r="F215" t="inlineStr">
        <is>
          <t>VÄSTERBOTTENS LÄN</t>
        </is>
      </c>
      <c r="G215" t="inlineStr">
        <is>
          <t>DOROTEA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45614</v>
      </c>
      <c r="E216" s="1" t="n">
        <v>46318</v>
      </c>
      <c r="F216" t="inlineStr">
        <is>
          <t>VÄSTERBOTTENS LÄN</t>
        </is>
      </c>
      <c r="G216" t="inlineStr">
        <is>
          <t>DOROTEA</t>
        </is>
      </c>
      <c r="I216" t="n">
        <v>31.7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46013</v>
      </c>
      <c r="E217" s="1" t="n">
        <v>46318</v>
      </c>
      <c r="F217" t="inlineStr">
        <is>
          <t>VÄSTERBOTTENS LÄN</t>
        </is>
      </c>
      <c r="G217" t="inlineStr">
        <is>
          <t>DOROTEA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46318</v>
      </c>
      <c r="F218" t="inlineStr">
        <is>
          <t>VÄSTERBOTTENS LÄN</t>
        </is>
      </c>
      <c r="G218" t="inlineStr">
        <is>
          <t>DOROTEA</t>
        </is>
      </c>
      <c r="I218" t="n">
        <v>21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46318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45678</v>
      </c>
      <c r="E220" s="1" t="n">
        <v>46318</v>
      </c>
      <c r="F220" t="inlineStr">
        <is>
          <t>VÄSTERBOTTENS LÄN</t>
        </is>
      </c>
      <c r="G220" t="inlineStr">
        <is>
          <t>DOROTEA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45975</v>
      </c>
      <c r="E221" s="1" t="n">
        <v>46318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45866</v>
      </c>
      <c r="E222" s="1" t="n">
        <v>46318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46318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45977</v>
      </c>
      <c r="E224" s="1" t="n">
        <v>46318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4617-2023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44956</v>
      </c>
      <c r="E225" s="1" t="n">
        <v>46318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46318</v>
      </c>
      <c r="F226" t="inlineStr">
        <is>
          <t>VÄSTERBOTTENS LÄN</t>
        </is>
      </c>
      <c r="G226" t="inlineStr">
        <is>
          <t>DOROTEA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46318</v>
      </c>
      <c r="F227" t="inlineStr">
        <is>
          <t>VÄSTERBOTTENS LÄN</t>
        </is>
      </c>
      <c r="G227" t="inlineStr">
        <is>
          <t>DOROTEA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46318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46147</v>
      </c>
      <c r="E229" s="1" t="n">
        <v>46318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46318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46318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46318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46318</v>
      </c>
      <c r="F233" t="inlineStr">
        <is>
          <t>VÄSTERBOTTENS LÄN</t>
        </is>
      </c>
      <c r="G233" t="inlineStr">
        <is>
          <t>DOROTEA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57722-2025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45981</v>
      </c>
      <c r="E234" s="1" t="n">
        <v>46318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21199-2026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46318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46147</v>
      </c>
      <c r="E236" s="1" t="n">
        <v>46318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46318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46318</v>
      </c>
      <c r="F238" t="inlineStr">
        <is>
          <t>VÄSTERBOTTENS LÄN</t>
        </is>
      </c>
      <c r="G238" t="inlineStr">
        <is>
          <t>DOROTEA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27780-2026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46318</v>
      </c>
      <c r="F239" t="inlineStr">
        <is>
          <t>VÄSTERBOTTENS LÄN</t>
        </is>
      </c>
      <c r="G239" t="inlineStr">
        <is>
          <t>DOROTEA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45125</v>
      </c>
      <c r="E240" s="1" t="n">
        <v>46318</v>
      </c>
      <c r="F240" t="inlineStr">
        <is>
          <t>VÄSTERBOTTENS LÄN</t>
        </is>
      </c>
      <c r="G240" t="inlineStr">
        <is>
          <t>DOROTEA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46318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18.2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46318</v>
      </c>
      <c r="F242" t="inlineStr">
        <is>
          <t>VÄSTERBOTTENS LÄN</t>
        </is>
      </c>
      <c r="G242" t="inlineStr">
        <is>
          <t>DOROTEA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46318</v>
      </c>
      <c r="F243" t="inlineStr">
        <is>
          <t>VÄSTERBOTTENS LÄN</t>
        </is>
      </c>
      <c r="G243" t="inlineStr">
        <is>
          <t>DOROTEA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46318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45747</v>
      </c>
      <c r="E245" s="1" t="n">
        <v>46318</v>
      </c>
      <c r="F245" t="inlineStr">
        <is>
          <t>VÄSTERBOTTENS LÄN</t>
        </is>
      </c>
      <c r="G245" t="inlineStr">
        <is>
          <t>DOROTEA</t>
        </is>
      </c>
      <c r="I245" t="n">
        <v>10.3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46318</v>
      </c>
      <c r="F246" t="inlineStr">
        <is>
          <t>VÄSTERBOTTENS LÄN</t>
        </is>
      </c>
      <c r="G246" t="inlineStr">
        <is>
          <t>DOROTEA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46318</v>
      </c>
      <c r="F247" t="inlineStr">
        <is>
          <t>VÄSTERBOTTENS LÄN</t>
        </is>
      </c>
      <c r="G247" t="inlineStr">
        <is>
          <t>DOROTEA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46318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46318</v>
      </c>
      <c r="F249" t="inlineStr">
        <is>
          <t>VÄSTERBOTTENS LÄN</t>
        </is>
      </c>
      <c r="G249" t="inlineStr">
        <is>
          <t>DOROTEA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46318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45988</v>
      </c>
      <c r="E251" s="1" t="n">
        <v>46318</v>
      </c>
      <c r="F251" t="inlineStr">
        <is>
          <t>VÄSTERBOTTENS LÄN</t>
        </is>
      </c>
      <c r="G251" t="inlineStr">
        <is>
          <t>DOROTEA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46318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46318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46318</v>
      </c>
      <c r="F254" t="inlineStr">
        <is>
          <t>VÄSTERBOTTENS LÄN</t>
        </is>
      </c>
      <c r="G254" t="inlineStr">
        <is>
          <t>DOROTEA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21812-2026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46318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46318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45988</v>
      </c>
      <c r="E257" s="1" t="n">
        <v>46318</v>
      </c>
      <c r="F257" t="inlineStr">
        <is>
          <t>VÄSTERBOTTENS LÄN</t>
        </is>
      </c>
      <c r="G257" t="inlineStr">
        <is>
          <t>DOROTEA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46155</v>
      </c>
      <c r="E258" s="1" t="n">
        <v>46318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35937-2025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45862</v>
      </c>
      <c r="E259" s="1" t="n">
        <v>46318</v>
      </c>
      <c r="F259" t="inlineStr">
        <is>
          <t>VÄSTERBOTTENS LÄN</t>
        </is>
      </c>
      <c r="G259" t="inlineStr">
        <is>
          <t>DOROTEA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55888-2022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44888</v>
      </c>
      <c r="E260" s="1" t="n">
        <v>46318</v>
      </c>
      <c r="F260" t="inlineStr">
        <is>
          <t>VÄSTERBOTTENS LÄN</t>
        </is>
      </c>
      <c r="G260" t="inlineStr">
        <is>
          <t>DOROTEA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46318</v>
      </c>
      <c r="F261" t="inlineStr">
        <is>
          <t>VÄSTERBOTTENS LÄN</t>
        </is>
      </c>
      <c r="G261" t="inlineStr">
        <is>
          <t>DOROTEA</t>
        </is>
      </c>
      <c r="I261" t="n">
        <v>23.9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46318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44960</v>
      </c>
      <c r="E263" s="1" t="n">
        <v>46318</v>
      </c>
      <c r="F263" t="inlineStr">
        <is>
          <t>VÄSTERBOTTENS LÄN</t>
        </is>
      </c>
      <c r="G263" t="inlineStr">
        <is>
          <t>DOROTEA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46318</v>
      </c>
      <c r="F264" t="inlineStr">
        <is>
          <t>VÄSTERBOTTENS LÄN</t>
        </is>
      </c>
      <c r="G264" t="inlineStr">
        <is>
          <t>DOROTEA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46318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38377-2023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45161</v>
      </c>
      <c r="E266" s="1" t="n">
        <v>46318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46318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62193-2025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46003</v>
      </c>
      <c r="E268" s="1" t="n">
        <v>46318</v>
      </c>
      <c r="F268" t="inlineStr">
        <is>
          <t>VÄSTERBOTTENS LÄN</t>
        </is>
      </c>
      <c r="G268" t="inlineStr">
        <is>
          <t>DOROTEA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60145-2021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46318</v>
      </c>
      <c r="F269" t="inlineStr">
        <is>
          <t>VÄSTERBOTTENS LÄN</t>
        </is>
      </c>
      <c r="G269" t="inlineStr">
        <is>
          <t>DOROTEA</t>
        </is>
      </c>
      <c r="I269" t="n">
        <v>13.3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46318</v>
      </c>
      <c r="F270" t="inlineStr">
        <is>
          <t>VÄSTERBOTTENS LÄN</t>
        </is>
      </c>
      <c r="G270" t="inlineStr">
        <is>
          <t>DOROTEA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31497-2024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45505</v>
      </c>
      <c r="E271" s="1" t="n">
        <v>46318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46007</v>
      </c>
      <c r="E272" s="1" t="n">
        <v>46318</v>
      </c>
      <c r="F272" t="inlineStr">
        <is>
          <t>VÄSTERBOTTENS LÄN</t>
        </is>
      </c>
      <c r="G272" t="inlineStr">
        <is>
          <t>DOROTEA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46007</v>
      </c>
      <c r="E273" s="1" t="n">
        <v>46318</v>
      </c>
      <c r="F273" t="inlineStr">
        <is>
          <t>VÄSTERBOTTENS LÄN</t>
        </is>
      </c>
      <c r="G273" t="inlineStr">
        <is>
          <t>DOROTEA</t>
        </is>
      </c>
      <c r="I273" t="n">
        <v>16.7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46007</v>
      </c>
      <c r="E274" s="1" t="n">
        <v>46318</v>
      </c>
      <c r="F274" t="inlineStr">
        <is>
          <t>VÄSTERBOTTENS LÄN</t>
        </is>
      </c>
      <c r="G274" t="inlineStr">
        <is>
          <t>DOROTEA</t>
        </is>
      </c>
      <c r="I274" t="n">
        <v>13.2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45755</v>
      </c>
      <c r="E275" s="1" t="n">
        <v>46318</v>
      </c>
      <c r="F275" t="inlineStr">
        <is>
          <t>VÄSTERBOTTENS LÄN</t>
        </is>
      </c>
      <c r="G275" t="inlineStr">
        <is>
          <t>DOROTEA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30461-2024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45491</v>
      </c>
      <c r="E276" s="1" t="n">
        <v>46318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46318</v>
      </c>
      <c r="F277" t="inlineStr">
        <is>
          <t>VÄSTERBOTTENS LÄN</t>
        </is>
      </c>
      <c r="G277" t="inlineStr">
        <is>
          <t>DOROTEA</t>
        </is>
      </c>
      <c r="I277" t="n">
        <v>12.3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54031-2025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45962</v>
      </c>
      <c r="E278" s="1" t="n">
        <v>46318</v>
      </c>
      <c r="F278" t="inlineStr">
        <is>
          <t>VÄSTERBOTTENS LÄN</t>
        </is>
      </c>
      <c r="G278" t="inlineStr">
        <is>
          <t>DOROTEA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23214-2026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46318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46318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45539</v>
      </c>
      <c r="E281" s="1" t="n">
        <v>46318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46318</v>
      </c>
      <c r="F282" t="inlineStr">
        <is>
          <t>VÄSTERBOTTENS LÄN</t>
        </is>
      </c>
      <c r="G282" t="inlineStr">
        <is>
          <t>DOROTEA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46010</v>
      </c>
      <c r="E283" s="1" t="n">
        <v>46318</v>
      </c>
      <c r="F283" t="inlineStr">
        <is>
          <t>VÄSTERBOTTENS LÄN</t>
        </is>
      </c>
      <c r="G283" t="inlineStr">
        <is>
          <t>DOROTEA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46162</v>
      </c>
      <c r="E284" s="1" t="n">
        <v>46318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46318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50582-2024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45600</v>
      </c>
      <c r="E286" s="1" t="n">
        <v>46318</v>
      </c>
      <c r="F286" t="inlineStr">
        <is>
          <t>VÄSTERBOTTENS LÄN</t>
        </is>
      </c>
      <c r="G286" t="inlineStr">
        <is>
          <t>DOROTEA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44848</v>
      </c>
      <c r="E287" s="1" t="n">
        <v>46318</v>
      </c>
      <c r="F287" t="inlineStr">
        <is>
          <t>VÄSTERBOTTENS LÄN</t>
        </is>
      </c>
      <c r="G287" t="inlineStr">
        <is>
          <t>DOROTEA</t>
        </is>
      </c>
      <c r="I287" t="n">
        <v>29.8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13035-2024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46318</v>
      </c>
      <c r="F288" t="inlineStr">
        <is>
          <t>VÄSTERBOTTENS LÄN</t>
        </is>
      </c>
      <c r="G288" t="inlineStr">
        <is>
          <t>DOROTEA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63745-2025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46017</v>
      </c>
      <c r="E289" s="1" t="n">
        <v>46318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46966-2024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45586</v>
      </c>
      <c r="E290" s="1" t="n">
        <v>46318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46318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44748</v>
      </c>
      <c r="E292" s="1" t="n">
        <v>46318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45488</v>
      </c>
      <c r="E293" s="1" t="n">
        <v>46318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45182</v>
      </c>
      <c r="E294" s="1" t="n">
        <v>46318</v>
      </c>
      <c r="F294" t="inlineStr">
        <is>
          <t>VÄSTERBOTTENS LÄN</t>
        </is>
      </c>
      <c r="G294" t="inlineStr">
        <is>
          <t>DOROTEA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46318</v>
      </c>
      <c r="F295" t="inlineStr">
        <is>
          <t>VÄSTERBOTTENS LÄN</t>
        </is>
      </c>
      <c r="G295" t="inlineStr">
        <is>
          <t>DOROTEA</t>
        </is>
      </c>
      <c r="I295" t="n">
        <v>18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46318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46318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45140</v>
      </c>
      <c r="E298" s="1" t="n">
        <v>46318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46318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46318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46318</v>
      </c>
      <c r="F301" t="inlineStr">
        <is>
          <t>VÄSTERBOTTENS LÄN</t>
        </is>
      </c>
      <c r="G301" t="inlineStr">
        <is>
          <t>DOROTEA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46038</v>
      </c>
      <c r="E302" s="1" t="n">
        <v>46318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45734</v>
      </c>
      <c r="E303" s="1" t="n">
        <v>46318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46318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46318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46318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46318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46318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63885-2025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46318</v>
      </c>
      <c r="F309" t="inlineStr">
        <is>
          <t>VÄSTERBOTTENS LÄN</t>
        </is>
      </c>
      <c r="G309" t="inlineStr">
        <is>
          <t>DOROTEA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46318</v>
      </c>
      <c r="F310" t="inlineStr">
        <is>
          <t>VÄSTERBOTTENS LÄN</t>
        </is>
      </c>
      <c r="G310" t="inlineStr">
        <is>
          <t>DOROTEA</t>
        </is>
      </c>
      <c r="I310" t="n">
        <v>26.2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12773-2026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46091</v>
      </c>
      <c r="E311" s="1" t="n">
        <v>46318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46318</v>
      </c>
      <c r="F312" t="inlineStr">
        <is>
          <t>VÄSTERBOTTENS LÄN</t>
        </is>
      </c>
      <c r="G312" t="inlineStr">
        <is>
          <t>DOROTEA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46051</v>
      </c>
      <c r="E313" s="1" t="n">
        <v>46318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46051</v>
      </c>
      <c r="E314" s="1" t="n">
        <v>46318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45572</v>
      </c>
      <c r="E315" s="1" t="n">
        <v>46318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45478</v>
      </c>
      <c r="E316" s="1" t="n">
        <v>46318</v>
      </c>
      <c r="F316" t="inlineStr">
        <is>
          <t>VÄSTERBOTTENS LÄN</t>
        </is>
      </c>
      <c r="G316" t="inlineStr">
        <is>
          <t>DOROTEA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46318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46181</v>
      </c>
      <c r="E318" s="1" t="n">
        <v>46318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45614</v>
      </c>
      <c r="E319" s="1" t="n">
        <v>46318</v>
      </c>
      <c r="F319" t="inlineStr">
        <is>
          <t>VÄSTERBOTTENS LÄN</t>
        </is>
      </c>
      <c r="G319" t="inlineStr">
        <is>
          <t>DOROTEA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46318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46318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46054</v>
      </c>
      <c r="E322" s="1" t="n">
        <v>46318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42104-2024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45562</v>
      </c>
      <c r="E323" s="1" t="n">
        <v>46318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7716-2026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46318</v>
      </c>
      <c r="F324" t="inlineStr">
        <is>
          <t>VÄSTERBOTTENS LÄN</t>
        </is>
      </c>
      <c r="G324" t="inlineStr">
        <is>
          <t>DOROTEA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46318</v>
      </c>
      <c r="F325" t="inlineStr">
        <is>
          <t>VÄSTERBOTTENS LÄN</t>
        </is>
      </c>
      <c r="G325" t="inlineStr">
        <is>
          <t>DOROTEA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46318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45789</v>
      </c>
      <c r="E327" s="1" t="n">
        <v>46318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9796-2026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46072</v>
      </c>
      <c r="E328" s="1" t="n">
        <v>46318</v>
      </c>
      <c r="F328" t="inlineStr">
        <is>
          <t>VÄSTERBOTTENS LÄN</t>
        </is>
      </c>
      <c r="G328" t="inlineStr">
        <is>
          <t>DOROTEA</t>
        </is>
      </c>
      <c r="I328" t="n">
        <v>20.1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45547</v>
      </c>
      <c r="E329" s="1" t="n">
        <v>46318</v>
      </c>
      <c r="F329" t="inlineStr">
        <is>
          <t>VÄSTERBOTTENS LÄN</t>
        </is>
      </c>
      <c r="G329" t="inlineStr">
        <is>
          <t>DOROTEA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46185</v>
      </c>
      <c r="E330" s="1" t="n">
        <v>46318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13364-2025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45735</v>
      </c>
      <c r="E331" s="1" t="n">
        <v>46318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44645</v>
      </c>
      <c r="E332" s="1" t="n">
        <v>46318</v>
      </c>
      <c r="F332" t="inlineStr">
        <is>
          <t>VÄSTERBOTTENS LÄN</t>
        </is>
      </c>
      <c r="G332" t="inlineStr">
        <is>
          <t>DOROTEA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46318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44860</v>
      </c>
      <c r="E334" s="1" t="n">
        <v>46318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25028-2024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45461</v>
      </c>
      <c r="E335" s="1" t="n">
        <v>46318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45140</v>
      </c>
      <c r="E336" s="1" t="n">
        <v>46318</v>
      </c>
      <c r="F336" t="inlineStr">
        <is>
          <t>VÄSTERBOTTENS LÄN</t>
        </is>
      </c>
      <c r="G336" t="inlineStr">
        <is>
          <t>DOROTEA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29737-2024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45485</v>
      </c>
      <c r="E337" s="1" t="n">
        <v>46318</v>
      </c>
      <c r="F337" t="inlineStr">
        <is>
          <t>VÄSTERBOTTENS LÄN</t>
        </is>
      </c>
      <c r="G337" t="inlineStr">
        <is>
          <t>DOROTEA</t>
        </is>
      </c>
      <c r="I337" t="n">
        <v>10.2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45036</v>
      </c>
      <c r="E338" s="1" t="n">
        <v>46318</v>
      </c>
      <c r="F338" t="inlineStr">
        <is>
          <t>VÄSTERBOTTENS LÄN</t>
        </is>
      </c>
      <c r="G338" t="inlineStr">
        <is>
          <t>DOROTEA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46318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27738-2026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46191</v>
      </c>
      <c r="E340" s="1" t="n">
        <v>46318</v>
      </c>
      <c r="F340" t="inlineStr">
        <is>
          <t>VÄSTERBOTTENS LÄN</t>
        </is>
      </c>
      <c r="G340" t="inlineStr">
        <is>
          <t>DOROTEA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45551</v>
      </c>
      <c r="E341" s="1" t="n">
        <v>46318</v>
      </c>
      <c r="F341" t="inlineStr">
        <is>
          <t>VÄSTERBOTTENS LÄN</t>
        </is>
      </c>
      <c r="G341" t="inlineStr">
        <is>
          <t>DOROTEA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45351</v>
      </c>
      <c r="E342" s="1" t="n">
        <v>46318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45517</v>
      </c>
      <c r="E343" s="1" t="n">
        <v>46318</v>
      </c>
      <c r="F343" t="inlineStr">
        <is>
          <t>VÄSTERBOTTENS LÄN</t>
        </is>
      </c>
      <c r="G343" t="inlineStr">
        <is>
          <t>DOROTEA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46086</v>
      </c>
      <c r="E344" s="1" t="n">
        <v>46318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46318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46318</v>
      </c>
      <c r="F346" t="inlineStr">
        <is>
          <t>VÄSTERBOTTENS LÄN</t>
        </is>
      </c>
      <c r="G346" t="inlineStr">
        <is>
          <t>DOROTEA</t>
        </is>
      </c>
      <c r="I346" t="n">
        <v>12.8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46318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46318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46318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49.5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28782-2026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46318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36255-2026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46268</v>
      </c>
      <c r="E351" s="1" t="n">
        <v>46318</v>
      </c>
      <c r="F351" t="inlineStr">
        <is>
          <t>VÄSTERBOTTENS LÄN</t>
        </is>
      </c>
      <c r="G351" t="inlineStr">
        <is>
          <t>DOROTEA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46318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45755</v>
      </c>
      <c r="E353" s="1" t="n">
        <v>46318</v>
      </c>
      <c r="F353" t="inlineStr">
        <is>
          <t>VÄSTERBOTTENS LÄN</t>
        </is>
      </c>
      <c r="G353" t="inlineStr">
        <is>
          <t>DOROTEA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46318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45796</v>
      </c>
      <c r="E355" s="1" t="n">
        <v>46318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46315</v>
      </c>
      <c r="E356" s="1" t="n">
        <v>46318</v>
      </c>
      <c r="F356" t="inlineStr">
        <is>
          <t>VÄSTERBOTTENS LÄN</t>
        </is>
      </c>
      <c r="G356" t="inlineStr">
        <is>
          <t>DOROTEA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14249-2026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46318</v>
      </c>
      <c r="F357" t="inlineStr">
        <is>
          <t>VÄSTERBOTTENS LÄN</t>
        </is>
      </c>
      <c r="G357" t="inlineStr">
        <is>
          <t>DOROTEA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46204</v>
      </c>
      <c r="E358" s="1" t="n">
        <v>46318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46318</v>
      </c>
      <c r="F359" t="inlineStr">
        <is>
          <t>VÄSTERBOTTENS LÄN</t>
        </is>
      </c>
      <c r="G359" t="inlineStr">
        <is>
          <t>DOROTEA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46318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46318</v>
      </c>
      <c r="F361" t="inlineStr">
        <is>
          <t>VÄSTERBOTTENS LÄN</t>
        </is>
      </c>
      <c r="G361" t="inlineStr">
        <is>
          <t>DOROTEA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46318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46111</v>
      </c>
      <c r="E363" s="1" t="n">
        <v>46318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46111</v>
      </c>
      <c r="E364" s="1" t="n">
        <v>46318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46318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33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46318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16985-2026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46318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46317</v>
      </c>
      <c r="E368" s="1" t="n">
        <v>46318</v>
      </c>
      <c r="F368" t="inlineStr">
        <is>
          <t>VÄSTERBOTTENS LÄN</t>
        </is>
      </c>
      <c r="G368" t="inlineStr">
        <is>
          <t>DOROTEA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16896-2026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46318</v>
      </c>
      <c r="F369" t="inlineStr">
        <is>
          <t>VÄSTERBOTTENS LÄN</t>
        </is>
      </c>
      <c r="G369" t="inlineStr">
        <is>
          <t>DOROTEA</t>
        </is>
      </c>
      <c r="H369" t="inlineStr">
        <is>
          <t>Kommuner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46120</v>
      </c>
      <c r="E370" s="1" t="n">
        <v>46318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48006-2023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45198</v>
      </c>
      <c r="E371" s="1" t="n">
        <v>46318</v>
      </c>
      <c r="F371" t="inlineStr">
        <is>
          <t>VÄSTERBOTTENS LÄN</t>
        </is>
      </c>
      <c r="G371" t="inlineStr">
        <is>
          <t>DOROTEA</t>
        </is>
      </c>
      <c r="H371" t="inlineStr">
        <is>
          <t>Övriga statliga verk och myndigheter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46121</v>
      </c>
      <c r="E372" s="1" t="n">
        <v>46318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46123</v>
      </c>
      <c r="E373" s="1" t="n">
        <v>46318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46318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18.3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46318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46125</v>
      </c>
      <c r="E376" s="1" t="n">
        <v>46318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18143-2026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46125</v>
      </c>
      <c r="E377" s="1" t="n">
        <v>46318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46318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46212</v>
      </c>
      <c r="E379" s="1" t="n">
        <v>46318</v>
      </c>
      <c r="F379" t="inlineStr">
        <is>
          <t>VÄSTERBOTTENS LÄN</t>
        </is>
      </c>
      <c r="G379" t="inlineStr">
        <is>
          <t>DOROTEA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46318</v>
      </c>
      <c r="F380" t="inlineStr">
        <is>
          <t>VÄSTERBOTTENS LÄN</t>
        </is>
      </c>
      <c r="G380" t="inlineStr">
        <is>
          <t>DOROTEA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46318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46318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53117-2023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45228</v>
      </c>
      <c r="E383" s="1" t="n">
        <v>46318</v>
      </c>
      <c r="F383" t="inlineStr">
        <is>
          <t>VÄSTERBOTTENS LÄN</t>
        </is>
      </c>
      <c r="G383" t="inlineStr">
        <is>
          <t>DOROTEA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45228</v>
      </c>
      <c r="E384" s="1" t="n">
        <v>46318</v>
      </c>
      <c r="F384" t="inlineStr">
        <is>
          <t>VÄSTERBOTTENS LÄN</t>
        </is>
      </c>
      <c r="G384" t="inlineStr">
        <is>
          <t>DOROTEA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19298-2026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46318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46318</v>
      </c>
      <c r="F386" t="inlineStr">
        <is>
          <t>VÄSTERBOTTENS LÄN</t>
        </is>
      </c>
      <c r="G386" t="inlineStr">
        <is>
          <t>DOROTEA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46213</v>
      </c>
      <c r="E387" s="1" t="n">
        <v>46318</v>
      </c>
      <c r="F387" t="inlineStr">
        <is>
          <t>VÄSTERBOTTENS LÄN</t>
        </is>
      </c>
      <c r="G387" t="inlineStr">
        <is>
          <t>DOROTEA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19445-2026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46318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19446-2026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46133</v>
      </c>
      <c r="E389" s="1" t="n">
        <v>46318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46318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46318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46217</v>
      </c>
      <c r="E392" s="1" t="n">
        <v>46318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46217</v>
      </c>
      <c r="E393" s="1" t="n">
        <v>46318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31259-2026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46218</v>
      </c>
      <c r="E394" s="1" t="n">
        <v>46318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46220</v>
      </c>
      <c r="E395" s="1" t="n">
        <v>46318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46224</v>
      </c>
      <c r="E396" s="1" t="n">
        <v>46318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31573-2026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46224</v>
      </c>
      <c r="E397" s="1" t="n">
        <v>46318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46224</v>
      </c>
      <c r="E398" s="1" t="n">
        <v>46318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3240-2022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44582</v>
      </c>
      <c r="E399" s="1" t="n">
        <v>46318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37826-2026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46279</v>
      </c>
      <c r="E400" s="1" t="n">
        <v>46318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46965-2024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45586</v>
      </c>
      <c r="E401" s="1" t="n">
        <v>46318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Sveaskog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14806-2023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46318</v>
      </c>
      <c r="F402" t="inlineStr">
        <is>
          <t>VÄSTERBOTTENS LÄN</t>
        </is>
      </c>
      <c r="G402" t="inlineStr">
        <is>
          <t>DOROTEA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46281</v>
      </c>
      <c r="E403" s="1" t="n">
        <v>46318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27558-2022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44742</v>
      </c>
      <c r="E404" s="1" t="n">
        <v>46318</v>
      </c>
      <c r="F404" t="inlineStr">
        <is>
          <t>VÄSTERBOTTENS LÄN</t>
        </is>
      </c>
      <c r="G404" t="inlineStr">
        <is>
          <t>DOROTEA</t>
        </is>
      </c>
      <c r="I404" t="n">
        <v>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45720</v>
      </c>
      <c r="E405" s="1" t="n">
        <v>46318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46282</v>
      </c>
      <c r="E406" s="1" t="n">
        <v>46318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45356</v>
      </c>
      <c r="E407" s="1" t="n">
        <v>46318</v>
      </c>
      <c r="F407" t="inlineStr">
        <is>
          <t>VÄSTERBOTTENS LÄN</t>
        </is>
      </c>
      <c r="G407" t="inlineStr">
        <is>
          <t>DOROTEA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27305-2024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45471</v>
      </c>
      <c r="E408" s="1" t="n">
        <v>46318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45331</v>
      </c>
      <c r="E409" s="1" t="n">
        <v>46318</v>
      </c>
      <c r="F409" t="inlineStr">
        <is>
          <t>VÄSTERBOTTENS LÄN</t>
        </is>
      </c>
      <c r="G409" t="inlineStr">
        <is>
          <t>DOROTEA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57431-2022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44889</v>
      </c>
      <c r="E410" s="1" t="n">
        <v>46318</v>
      </c>
      <c r="F410" t="inlineStr">
        <is>
          <t>VÄSTERBOTTENS LÄN</t>
        </is>
      </c>
      <c r="G410" t="inlineStr">
        <is>
          <t>DOROTEA</t>
        </is>
      </c>
      <c r="I410" t="n">
        <v>15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46287</v>
      </c>
      <c r="E411" s="1" t="n">
        <v>46318</v>
      </c>
      <c r="F411" t="inlineStr">
        <is>
          <t>VÄSTERBOTTENS LÄN</t>
        </is>
      </c>
      <c r="G411" t="inlineStr">
        <is>
          <t>DOROTEA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46265</v>
      </c>
      <c r="E412" s="1" t="n">
        <v>46318</v>
      </c>
      <c r="F412" t="inlineStr">
        <is>
          <t>VÄSTERBOTTENS LÄN</t>
        </is>
      </c>
      <c r="G412" t="inlineStr">
        <is>
          <t>DOROTEA</t>
        </is>
      </c>
      <c r="H412" t="inlineStr">
        <is>
          <t>Allmännings- och besparingsskogar</t>
        </is>
      </c>
      <c r="I412" t="n">
        <v>16.4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46265</v>
      </c>
      <c r="E413" s="1" t="n">
        <v>46318</v>
      </c>
      <c r="F413" t="inlineStr">
        <is>
          <t>VÄSTERBOTTENS LÄN</t>
        </is>
      </c>
      <c r="G413" t="inlineStr">
        <is>
          <t>DOROTEA</t>
        </is>
      </c>
      <c r="H413" t="inlineStr">
        <is>
          <t>Allmännings- och besparingsskogar</t>
        </is>
      </c>
      <c r="I413" t="n">
        <v>12.6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45140</v>
      </c>
      <c r="E414" s="1" t="n">
        <v>46318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33514-2026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46248</v>
      </c>
      <c r="E415" s="1" t="n">
        <v>46318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40178-2026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46293</v>
      </c>
      <c r="E416" s="1" t="n">
        <v>46318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46247</v>
      </c>
      <c r="E417" s="1" t="n">
        <v>46318</v>
      </c>
      <c r="F417" t="inlineStr">
        <is>
          <t>VÄSTERBOTTENS LÄN</t>
        </is>
      </c>
      <c r="G417" t="inlineStr">
        <is>
          <t>DOROTEA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46318</v>
      </c>
      <c r="F418" t="inlineStr">
        <is>
          <t>VÄSTERBOTTENS LÄN</t>
        </is>
      </c>
      <c r="G418" t="inlineStr">
        <is>
          <t>DOROTEA</t>
        </is>
      </c>
      <c r="I418" t="n">
        <v>11.1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45142</v>
      </c>
      <c r="E419" s="1" t="n">
        <v>46318</v>
      </c>
      <c r="F419" t="inlineStr">
        <is>
          <t>VÄSTERBOTTENS LÄN</t>
        </is>
      </c>
      <c r="G419" t="inlineStr">
        <is>
          <t>DOROTEA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40614-2026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46295</v>
      </c>
      <c r="E420" s="1" t="n">
        <v>46318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29454-2024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45483</v>
      </c>
      <c r="E421" s="1" t="n">
        <v>46318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17591-2025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45757</v>
      </c>
      <c r="E422" s="1" t="n">
        <v>46318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45098</v>
      </c>
      <c r="E423" s="1" t="n">
        <v>46318</v>
      </c>
      <c r="F423" t="inlineStr">
        <is>
          <t>VÄSTERBOTTENS LÄN</t>
        </is>
      </c>
      <c r="G423" t="inlineStr">
        <is>
          <t>DOROTEA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46318</v>
      </c>
      <c r="F424" t="inlineStr">
        <is>
          <t>VÄSTERBOTTENS LÄN</t>
        </is>
      </c>
      <c r="G424" t="inlineStr">
        <is>
          <t>DOROTEA</t>
        </is>
      </c>
      <c r="I424" t="n">
        <v>11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46318</v>
      </c>
      <c r="F425" t="inlineStr">
        <is>
          <t>VÄSTERBOTTENS LÄN</t>
        </is>
      </c>
      <c r="G425" t="inlineStr">
        <is>
          <t>DOROTEA</t>
        </is>
      </c>
      <c r="I425" t="n">
        <v>13.6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46254</v>
      </c>
      <c r="E426" s="1" t="n">
        <v>46318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8095-2023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44974</v>
      </c>
      <c r="E427" s="1" t="n">
        <v>46318</v>
      </c>
      <c r="F427" t="inlineStr">
        <is>
          <t>VÄSTERBOTTENS LÄN</t>
        </is>
      </c>
      <c r="G427" t="inlineStr">
        <is>
          <t>DOROTEA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45770</v>
      </c>
      <c r="E428" s="1" t="n">
        <v>46318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46318</v>
      </c>
      <c r="F429" t="inlineStr">
        <is>
          <t>VÄSTERBOTTENS LÄN</t>
        </is>
      </c>
      <c r="G429" t="inlineStr">
        <is>
          <t>DOROTEA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46318</v>
      </c>
      <c r="F430" t="inlineStr">
        <is>
          <t>VÄSTERBOTTENS LÄN</t>
        </is>
      </c>
      <c r="G430" t="inlineStr">
        <is>
          <t>DOROTEA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45639</v>
      </c>
      <c r="E431" s="1" t="n">
        <v>46318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45672</v>
      </c>
      <c r="E432" s="1" t="n">
        <v>46318</v>
      </c>
      <c r="F432" t="inlineStr">
        <is>
          <t>VÄSTERBOTTENS LÄN</t>
        </is>
      </c>
      <c r="G432" t="inlineStr">
        <is>
          <t>DOROTEA</t>
        </is>
      </c>
      <c r="H432" t="inlineStr">
        <is>
          <t>Kommuner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45253</v>
      </c>
      <c r="E433" s="1" t="n">
        <v>46318</v>
      </c>
      <c r="F433" t="inlineStr">
        <is>
          <t>VÄSTERBOTTENS LÄN</t>
        </is>
      </c>
      <c r="G433" t="inlineStr">
        <is>
          <t>DOROTEA</t>
        </is>
      </c>
      <c r="I433" t="n">
        <v>28.8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60162-2024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45642</v>
      </c>
      <c r="E434" s="1" t="n">
        <v>46318</v>
      </c>
      <c r="F434" t="inlineStr">
        <is>
          <t>VÄSTERBOTTENS LÄN</t>
        </is>
      </c>
      <c r="G434" t="inlineStr">
        <is>
          <t>DOROTEA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7429-2023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44971</v>
      </c>
      <c r="E435" s="1" t="n">
        <v>46318</v>
      </c>
      <c r="F435" t="inlineStr">
        <is>
          <t>VÄSTERBOTTENS LÄN</t>
        </is>
      </c>
      <c r="G435" t="inlineStr">
        <is>
          <t>DOROTEA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46300</v>
      </c>
      <c r="E436" s="1" t="n">
        <v>46318</v>
      </c>
      <c r="F436" t="inlineStr">
        <is>
          <t>VÄSTERBOTTENS LÄN</t>
        </is>
      </c>
      <c r="G436" t="inlineStr">
        <is>
          <t>DOROTEA</t>
        </is>
      </c>
      <c r="I436" t="n">
        <v>13.1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45720</v>
      </c>
      <c r="E437" s="1" t="n">
        <v>46318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41157-2026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46300</v>
      </c>
      <c r="E438" s="1" t="n">
        <v>46318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44925</v>
      </c>
      <c r="E439" s="1" t="n">
        <v>46318</v>
      </c>
      <c r="F439" t="inlineStr">
        <is>
          <t>VÄSTERBOTTENS LÄN</t>
        </is>
      </c>
      <c r="G439" t="inlineStr">
        <is>
          <t>DOROTEA</t>
        </is>
      </c>
      <c r="I439" t="n">
        <v>22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45069</v>
      </c>
      <c r="E440" s="1" t="n">
        <v>46318</v>
      </c>
      <c r="F440" t="inlineStr">
        <is>
          <t>VÄSTERBOTTENS LÄN</t>
        </is>
      </c>
      <c r="G440" t="inlineStr">
        <is>
          <t>DOROTEA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45614</v>
      </c>
      <c r="E441" s="1" t="n">
        <v>46318</v>
      </c>
      <c r="F441" t="inlineStr">
        <is>
          <t>VÄSTERBOTTENS LÄN</t>
        </is>
      </c>
      <c r="G441" t="inlineStr">
        <is>
          <t>DOROTEA</t>
        </is>
      </c>
      <c r="I441" t="n">
        <v>26.5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60163-2024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45642</v>
      </c>
      <c r="E442" s="1" t="n">
        <v>46318</v>
      </c>
      <c r="F442" t="inlineStr">
        <is>
          <t>VÄSTERBOTTENS LÄN</t>
        </is>
      </c>
      <c r="G442" t="inlineStr">
        <is>
          <t>DOROTEA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45224</v>
      </c>
      <c r="E443" s="1" t="n">
        <v>46318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45713</v>
      </c>
      <c r="E444" s="1" t="n">
        <v>46318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46262</v>
      </c>
      <c r="E445" s="1" t="n">
        <v>46318</v>
      </c>
      <c r="F445" t="inlineStr">
        <is>
          <t>VÄSTERBOTTENS LÄN</t>
        </is>
      </c>
      <c r="G445" t="inlineStr">
        <is>
          <t>DOROTEA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52276-2023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45217</v>
      </c>
      <c r="E446" s="1" t="n">
        <v>46318</v>
      </c>
      <c r="F446" t="inlineStr">
        <is>
          <t>VÄSTERBOTTENS LÄN</t>
        </is>
      </c>
      <c r="G446" t="inlineStr">
        <is>
          <t>DOROTEA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46318</v>
      </c>
      <c r="F447" t="inlineStr">
        <is>
          <t>VÄSTERBOTTENS LÄN</t>
        </is>
      </c>
      <c r="G447" t="inlineStr">
        <is>
          <t>DOROTEA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8088-2023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46318</v>
      </c>
      <c r="F448" t="inlineStr">
        <is>
          <t>VÄSTERBOTTENS LÄN</t>
        </is>
      </c>
      <c r="G448" t="inlineStr">
        <is>
          <t>DOROTEA</t>
        </is>
      </c>
      <c r="I448" t="n">
        <v>14.8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35296-2026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46261</v>
      </c>
      <c r="E449" s="1" t="n">
        <v>46318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44956</v>
      </c>
      <c r="E450" s="1" t="n">
        <v>46318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46318</v>
      </c>
      <c r="F451" t="inlineStr">
        <is>
          <t>VÄSTERBOTTENS LÄN</t>
        </is>
      </c>
      <c r="G451" t="inlineStr">
        <is>
          <t>DOROTEA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46318</v>
      </c>
      <c r="F452" t="inlineStr">
        <is>
          <t>VÄSTERBOTTENS LÄN</t>
        </is>
      </c>
      <c r="G452" t="inlineStr">
        <is>
          <t>DOROTEA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42050-2026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46304</v>
      </c>
      <c r="E453" s="1" t="n">
        <v>46318</v>
      </c>
      <c r="F453" t="inlineStr">
        <is>
          <t>VÄSTERBOTTENS LÄN</t>
        </is>
      </c>
      <c r="G453" t="inlineStr">
        <is>
          <t>DOROTEA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46318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46304</v>
      </c>
      <c r="E455" s="1" t="n">
        <v>46318</v>
      </c>
      <c r="F455" t="inlineStr">
        <is>
          <t>VÄSTERBOTTENS LÄN</t>
        </is>
      </c>
      <c r="G455" t="inlineStr">
        <is>
          <t>DOROTEA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46304</v>
      </c>
      <c r="E456" s="1" t="n">
        <v>46318</v>
      </c>
      <c r="F456" t="inlineStr">
        <is>
          <t>VÄSTERBOTTENS LÄN</t>
        </is>
      </c>
      <c r="G456" t="inlineStr">
        <is>
          <t>DOROTEA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42681-2026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46309</v>
      </c>
      <c r="E457" s="1" t="n">
        <v>46318</v>
      </c>
      <c r="F457" t="inlineStr">
        <is>
          <t>VÄSTERBOTTENS LÄN</t>
        </is>
      </c>
      <c r="G457" t="inlineStr">
        <is>
          <t>DOROTEA</t>
        </is>
      </c>
      <c r="I457" t="n">
        <v>9.199999999999999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45561</v>
      </c>
      <c r="E458" s="1" t="n">
        <v>46318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42809-2026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46309</v>
      </c>
      <c r="E459" s="1" t="n">
        <v>46318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46318</v>
      </c>
      <c r="F460" t="inlineStr">
        <is>
          <t>VÄSTERBOTTENS LÄN</t>
        </is>
      </c>
      <c r="G460" t="inlineStr">
        <is>
          <t>DOROTEA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45642</v>
      </c>
      <c r="E461" s="1" t="n">
        <v>46318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46301</v>
      </c>
      <c r="E462" s="1" t="n">
        <v>46318</v>
      </c>
      <c r="F462" t="inlineStr">
        <is>
          <t>VÄSTERBOTTENS LÄN</t>
        </is>
      </c>
      <c r="G462" t="inlineStr">
        <is>
          <t>DOROTEA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46309</v>
      </c>
      <c r="E463" s="1" t="n">
        <v>46318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745-2022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44568</v>
      </c>
      <c r="E464" s="1" t="n">
        <v>46318</v>
      </c>
      <c r="F464" t="inlineStr">
        <is>
          <t>VÄSTERBOTTENS LÄN</t>
        </is>
      </c>
      <c r="G464" t="inlineStr">
        <is>
          <t>DOROTEA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32821-2024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45516</v>
      </c>
      <c r="E465" s="1" t="n">
        <v>46318</v>
      </c>
      <c r="F465" t="inlineStr">
        <is>
          <t>VÄSTERBOTTENS LÄN</t>
        </is>
      </c>
      <c r="G465" t="inlineStr">
        <is>
          <t>DOROTEA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10360-2023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44980</v>
      </c>
      <c r="E466" s="1" t="n">
        <v>46318</v>
      </c>
      <c r="F466" t="inlineStr">
        <is>
          <t>VÄSTERBOTTENS LÄN</t>
        </is>
      </c>
      <c r="G466" t="inlineStr">
        <is>
          <t>DOROTEA</t>
        </is>
      </c>
      <c r="I466" t="n">
        <v>18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27909-2024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45475</v>
      </c>
      <c r="E467" s="1" t="n">
        <v>46318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22946-2024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45448</v>
      </c>
      <c r="E468" s="1" t="n">
        <v>46318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45071</v>
      </c>
      <c r="E469" s="1" t="n">
        <v>46318</v>
      </c>
      <c r="F469" t="inlineStr">
        <is>
          <t>VÄSTERBOTTENS LÄN</t>
        </is>
      </c>
      <c r="G469" t="inlineStr">
        <is>
          <t>DOROTEA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15057-2024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45399</v>
      </c>
      <c r="E470" s="1" t="n">
        <v>46318</v>
      </c>
      <c r="F470" t="inlineStr">
        <is>
          <t>VÄSTERBOTTENS LÄN</t>
        </is>
      </c>
      <c r="G470" t="inlineStr">
        <is>
          <t>DOROTEA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57236-2022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44889</v>
      </c>
      <c r="E471" s="1" t="n">
        <v>46318</v>
      </c>
      <c r="F471" t="inlineStr">
        <is>
          <t>VÄSTERBOTTENS LÄN</t>
        </is>
      </c>
      <c r="G471" t="inlineStr">
        <is>
          <t>DOROTEA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67686-2021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44524</v>
      </c>
      <c r="E472" s="1" t="n">
        <v>46318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2945-2024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45506</v>
      </c>
      <c r="E473" s="1" t="n">
        <v>46318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1058-2025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45749</v>
      </c>
      <c r="E474" s="1" t="n">
        <v>46318</v>
      </c>
      <c r="F474" t="inlineStr">
        <is>
          <t>VÄSTERBOTTENS LÄN</t>
        </is>
      </c>
      <c r="G474" t="inlineStr">
        <is>
          <t>DOROTEA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844-2025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45733</v>
      </c>
      <c r="E475" s="1" t="n">
        <v>46318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1293.5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2195-2025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45858</v>
      </c>
      <c r="E476" s="1" t="n">
        <v>46318</v>
      </c>
      <c r="F476" t="inlineStr">
        <is>
          <t>VÄSTERBOTTENS LÄN</t>
        </is>
      </c>
      <c r="G476" t="inlineStr">
        <is>
          <t>DOROTEA</t>
        </is>
      </c>
      <c r="I476" t="n">
        <v>27.4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2283-2025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45876</v>
      </c>
      <c r="E477" s="1" t="n">
        <v>46318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10.1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2360-2025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45889</v>
      </c>
      <c r="E478" s="1" t="n">
        <v>46318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2407-2026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46279</v>
      </c>
      <c r="E479" s="1" t="n">
        <v>46318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1763-2026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46189</v>
      </c>
      <c r="E480" s="1" t="n">
        <v>46318</v>
      </c>
      <c r="F480" t="inlineStr">
        <is>
          <t>VÄSTERBOTTENS LÄN</t>
        </is>
      </c>
      <c r="G480" t="inlineStr">
        <is>
          <t>DOROTEA</t>
        </is>
      </c>
      <c r="H480" t="inlineStr">
        <is>
          <t>SCA</t>
        </is>
      </c>
      <c r="I480" t="n">
        <v>13.2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2026-10-23T02:00:38Z</dcterms:created>
  <dcterms:modified xmlns:dcterms="http://purl.org/dc/terms/" xmlns:xsi="http://www.w3.org/2001/XMLSchema-instance" xsi:type="dcterms:W3CDTF">2026-10-23T02:00:39Z</dcterms:modified>
</cp:coreProperties>
</file>