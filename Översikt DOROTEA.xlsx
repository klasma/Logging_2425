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46324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46324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46324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35203-2025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45852</v>
      </c>
      <c r="E5" s="1" t="n">
        <v>46324</v>
      </c>
      <c r="F5" t="inlineStr">
        <is>
          <t>VÄSTERBOTTENS LÄN</t>
        </is>
      </c>
      <c r="G5" t="inlineStr">
        <is>
          <t>DOROTEA</t>
        </is>
      </c>
      <c r="H5" t="inlineStr">
        <is>
          <t>Allmännings- och besparingsskogar</t>
        </is>
      </c>
      <c r="I5" t="n">
        <v>20.3</v>
      </c>
      <c r="J5" t="n">
        <v>1</v>
      </c>
      <c r="K5" t="n">
        <v>1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14</v>
      </c>
      <c r="T5" t="n">
        <v>14</v>
      </c>
      <c r="U5" t="n">
        <v>14</v>
      </c>
      <c r="V5" s="2" t="inlineStr">
        <is>
          <t>Garnlav
Gränsticka
Liten sotlav
Skuggnål
Vitskaftad svartspik
Doftskinn
Harticka
Liten svartspik
Rynkskinn
Stjärntagging
Talltita
Ullticka
Vitgrynig nållav
Trådticka</t>
        </is>
      </c>
      <c r="W5">
        <f>HYPERLINK("https://klasma.github.io/Logging_2425/artfynd/A 35203-2025 artfynd.xlsx", "A 35203-2025")</f>
        <v/>
      </c>
      <c r="X5">
        <f>HYPERLINK("https://klasma.github.io/Logging_2425/kartor/A 35203-2025 karta.png", "A 35203-2025")</f>
        <v/>
      </c>
      <c r="Y5">
        <f>HYPERLINK("https://klasma.github.io/Logging_2425/kartor_geotiff/A 35203-2025 georefererad karta.tif", "A 35203-2025")</f>
        <v/>
      </c>
      <c r="AA5">
        <f>HYPERLINK("https://klasma.github.io/Logging_2425/klagomål/A 35203-2025 FSC-klagomål.docx", "A 35203-2025")</f>
        <v/>
      </c>
      <c r="AB5">
        <f>HYPERLINK("https://klasma.github.io/Logging_2425/klagomålsmail/A 35203-2025 FSC-klagomål mail.docx", "A 35203-2025")</f>
        <v/>
      </c>
      <c r="AC5">
        <f>HYPERLINK("https://klasma.github.io/Logging_2425/tillsyn/A 35203-2025 tillsynsbegäran.docx", "A 35203-2025")</f>
        <v/>
      </c>
      <c r="AD5">
        <f>HYPERLINK("https://klasma.github.io/Logging_2425/tillsynsmail/A 35203-2025 tillsynsbegäran mail.docx", "A 35203-2025")</f>
        <v/>
      </c>
      <c r="AE5">
        <f>HYPERLINK("https://klasma.github.io/Logging_2425/fåglar/A 35203-2025 prioriterade fågelarter.docx", "A 35203-2025")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46324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35202-2025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45852</v>
      </c>
      <c r="E7" s="1" t="n">
        <v>46324</v>
      </c>
      <c r="F7" t="inlineStr">
        <is>
          <t>VÄSTERBOTTENS LÄN</t>
        </is>
      </c>
      <c r="G7" t="inlineStr">
        <is>
          <t>DOROTEA</t>
        </is>
      </c>
      <c r="H7" t="inlineStr">
        <is>
          <t>Allmännings- och besparingsskogar</t>
        </is>
      </c>
      <c r="I7" t="n">
        <v>22.1</v>
      </c>
      <c r="J7" t="n">
        <v>0</v>
      </c>
      <c r="K7" t="n">
        <v>1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12</v>
      </c>
      <c r="T7" t="n">
        <v>18</v>
      </c>
      <c r="U7" t="n">
        <v>18</v>
      </c>
      <c r="V7" s="2" t="inlineStr">
        <is>
          <t>Garnlav
Skuggnål
Vitskaftad svartspik
Brunpudrad nållav
Gammelgransskål
Harticka
Kavernularia
Knottrig blåslav
Rödbrun blekspik
Skrovellav
Vitgrynig nållav
Rostfläck</t>
        </is>
      </c>
      <c r="W7">
        <f>HYPERLINK("https://klasma.github.io/Logging_2425/artfynd/A 35202-2025 artfynd.xlsx", "A 35202-2025")</f>
        <v/>
      </c>
      <c r="X7">
        <f>HYPERLINK("https://klasma.github.io/Logging_2425/kartor/A 35202-2025 karta.png", "A 35202-2025")</f>
        <v/>
      </c>
      <c r="Y7">
        <f>HYPERLINK("https://klasma.github.io/Logging_2425/kartor_geotiff/A 35202-2025 georefererad karta.tif", "A 35202-2025")</f>
        <v/>
      </c>
      <c r="AA7">
        <f>HYPERLINK("https://klasma.github.io/Logging_2425/klagomål/A 35202-2025 FSC-klagomål.docx", "A 35202-2025")</f>
        <v/>
      </c>
      <c r="AB7">
        <f>HYPERLINK("https://klasma.github.io/Logging_2425/klagomålsmail/A 35202-2025 FSC-klagomål mail.docx", "A 35202-2025")</f>
        <v/>
      </c>
      <c r="AC7">
        <f>HYPERLINK("https://klasma.github.io/Logging_2425/tillsyn/A 35202-2025 tillsynsbegäran.docx", "A 35202-2025")</f>
        <v/>
      </c>
      <c r="AD7">
        <f>HYPERLINK("https://klasma.github.io/Logging_2425/tillsynsmail/A 35202-2025 tillsynsbegäran mail.docx", "A 35202-2025")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46324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46324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46324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46324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46324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46324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33655-2023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46324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21.4</v>
      </c>
      <c r="J14" t="n">
        <v>0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12</v>
      </c>
      <c r="U14" t="n">
        <v>12</v>
      </c>
      <c r="V14" s="2" t="inlineStr">
        <is>
          <t>Garnlav
Fjällig taggsvamp s.str.
Harticka
Rosenticka
Ullticka
Trådticka</t>
        </is>
      </c>
      <c r="W14">
        <f>HYPERLINK("https://klasma.github.io/Logging_2425/artfynd/A 33655-2023 artfynd.xlsx", "A 33655-2023")</f>
        <v/>
      </c>
      <c r="X14">
        <f>HYPERLINK("https://klasma.github.io/Logging_2425/kartor/A 33655-2023 karta.png", "A 33655-2023")</f>
        <v/>
      </c>
      <c r="Y14">
        <f>HYPERLINK("https://klasma.github.io/Logging_2425/kartor_geotiff/A 33655-2023 georefererad karta.tif", "A 33655-2023")</f>
        <v/>
      </c>
      <c r="AA14">
        <f>HYPERLINK("https://klasma.github.io/Logging_2425/klagomål/A 33655-2023 FSC-klagomål.docx", "A 33655-2023")</f>
        <v/>
      </c>
      <c r="AB14">
        <f>HYPERLINK("https://klasma.github.io/Logging_2425/klagomålsmail/A 33655-2023 FSC-klagomål mail.docx", "A 33655-2023")</f>
        <v/>
      </c>
      <c r="AC14">
        <f>HYPERLINK("https://klasma.github.io/Logging_2425/tillsyn/A 33655-2023 tillsynsbegäran.docx", "A 33655-2023")</f>
        <v/>
      </c>
      <c r="AD14">
        <f>HYPERLINK("https://klasma.github.io/Logging_2425/tillsynsmail/A 33655-2023 tillsynsbegäran mail.docx", "A 33655-2023")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46324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46324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46324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46324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46324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46324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46324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46324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46324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46324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46324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46324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46324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46324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46324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46324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46324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46324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46324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40013-2024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45553</v>
      </c>
      <c r="E34" s="1" t="n">
        <v>46324</v>
      </c>
      <c r="F34" t="inlineStr">
        <is>
          <t>VÄSTERBOTTENS LÄN</t>
        </is>
      </c>
      <c r="G34" t="inlineStr">
        <is>
          <t>DOROTEA</t>
        </is>
      </c>
      <c r="H34" t="inlineStr">
        <is>
          <t>Övriga statliga verk och myndigheter</t>
        </is>
      </c>
      <c r="I34" t="n">
        <v>1.5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Tretåig hackspett
Tjäder</t>
        </is>
      </c>
      <c r="W34">
        <f>HYPERLINK("https://klasma.github.io/Logging_2425/artfynd/A 40013-2024 artfynd.xlsx", "A 40013-2024")</f>
        <v/>
      </c>
      <c r="X34">
        <f>HYPERLINK("https://klasma.github.io/Logging_2425/kartor/A 40013-2024 karta.png", "A 40013-2024")</f>
        <v/>
      </c>
      <c r="Y34">
        <f>HYPERLINK("https://klasma.github.io/Logging_2425/kartor_geotiff/A 40013-2024 georefererad karta.tif", "A 40013-2024")</f>
        <v/>
      </c>
      <c r="AA34">
        <f>HYPERLINK("https://klasma.github.io/Logging_2425/klagomål/A 40013-2024 FSC-klagomål.docx", "A 40013-2024")</f>
        <v/>
      </c>
      <c r="AB34">
        <f>HYPERLINK("https://klasma.github.io/Logging_2425/klagomålsmail/A 40013-2024 FSC-klagomål mail.docx", "A 40013-2024")</f>
        <v/>
      </c>
      <c r="AC34">
        <f>HYPERLINK("https://klasma.github.io/Logging_2425/tillsyn/A 40013-2024 tillsynsbegäran.docx", "A 40013-2024")</f>
        <v/>
      </c>
      <c r="AD34">
        <f>HYPERLINK("https://klasma.github.io/Logging_2425/tillsynsmail/A 40013-2024 tillsynsbegäran mail.docx", "A 40013-2024")</f>
        <v/>
      </c>
      <c r="AE34">
        <f>HYPERLINK("https://klasma.github.io/Logging_2425/fåglar/A 40013-2024 prioriterade fågelarter.docx", "A 40013-2024")</f>
        <v/>
      </c>
    </row>
    <row r="35" ht="15" customHeight="1">
      <c r="A35" t="inlineStr">
        <is>
          <t>A 35336-2026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46261</v>
      </c>
      <c r="E35" s="1" t="n">
        <v>46324</v>
      </c>
      <c r="F35" t="inlineStr">
        <is>
          <t>VÄSTERBOTTENS LÄN</t>
        </is>
      </c>
      <c r="G35" t="inlineStr">
        <is>
          <t>DOROTEA</t>
        </is>
      </c>
      <c r="I35" t="n">
        <v>4.2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Blodticka</t>
        </is>
      </c>
      <c r="W35">
        <f>HYPERLINK("https://klasma.github.io/Logging_2425/artfynd/A 35336-2026 artfynd.xlsx", "A 35336-2026")</f>
        <v/>
      </c>
      <c r="X35">
        <f>HYPERLINK("https://klasma.github.io/Logging_2425/kartor/A 35336-2026 karta.png", "A 35336-2026")</f>
        <v/>
      </c>
      <c r="Y35">
        <f>HYPERLINK("https://klasma.github.io/Logging_2425/kartor_geotiff/A 35336-2026 georefererad karta.tif", "A 35336-2026")</f>
        <v/>
      </c>
      <c r="AA35">
        <f>HYPERLINK("https://klasma.github.io/Logging_2425/klagomål/A 35336-2026 FSC-klagomål.docx", "A 35336-2026")</f>
        <v/>
      </c>
      <c r="AB35">
        <f>HYPERLINK("https://klasma.github.io/Logging_2425/klagomålsmail/A 35336-2026 FSC-klagomål mail.docx", "A 35336-2026")</f>
        <v/>
      </c>
      <c r="AC35">
        <f>HYPERLINK("https://klasma.github.io/Logging_2425/tillsyn/A 35336-2026 tillsynsbegäran.docx", "A 35336-2026")</f>
        <v/>
      </c>
      <c r="AD35">
        <f>HYPERLINK("https://klasma.github.io/Logging_2425/tillsynsmail/A 35336-2026 tillsynsbegäran mail.docx", "A 35336-2026")</f>
        <v/>
      </c>
    </row>
    <row r="36" ht="15" customHeight="1">
      <c r="A36" t="inlineStr">
        <is>
          <t>A 19589-2024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45429</v>
      </c>
      <c r="E36" s="1" t="n">
        <v>46324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Lunglav
Talltita</t>
        </is>
      </c>
      <c r="W36">
        <f>HYPERLINK("https://klasma.github.io/Logging_2425/artfynd/A 19589-2024 artfynd.xlsx", "A 19589-2024")</f>
        <v/>
      </c>
      <c r="X36">
        <f>HYPERLINK("https://klasma.github.io/Logging_2425/kartor/A 19589-2024 karta.png", "A 19589-2024")</f>
        <v/>
      </c>
      <c r="Y36">
        <f>HYPERLINK("https://klasma.github.io/Logging_2425/kartor_geotiff/A 19589-2024 georefererad karta.tif", "A 19589-2024")</f>
        <v/>
      </c>
      <c r="AA36">
        <f>HYPERLINK("https://klasma.github.io/Logging_2425/klagomål/A 19589-2024 FSC-klagomål.docx", "A 19589-2024")</f>
        <v/>
      </c>
      <c r="AB36">
        <f>HYPERLINK("https://klasma.github.io/Logging_2425/klagomålsmail/A 19589-2024 FSC-klagomål mail.docx", "A 19589-2024")</f>
        <v/>
      </c>
      <c r="AC36">
        <f>HYPERLINK("https://klasma.github.io/Logging_2425/tillsyn/A 19589-2024 tillsynsbegäran.docx", "A 19589-2024")</f>
        <v/>
      </c>
      <c r="AD36">
        <f>HYPERLINK("https://klasma.github.io/Logging_2425/tillsynsmail/A 19589-2024 tillsynsbegäran mail.docx", "A 19589-2024")</f>
        <v/>
      </c>
      <c r="AE36">
        <f>HYPERLINK("https://klasma.github.io/Logging_2425/fåglar/A 19589-2024 prioriterade fågelarter.docx", "A 19589-2024")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46324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46324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46324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12005-2023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44994</v>
      </c>
      <c r="E40" s="1" t="n">
        <v>46324</v>
      </c>
      <c r="F40" t="inlineStr">
        <is>
          <t>VÄSTERBOTTENS LÄN</t>
        </is>
      </c>
      <c r="G40" t="inlineStr">
        <is>
          <t>DOROTEA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12005-2023 artfynd.xlsx", "A 12005-2023")</f>
        <v/>
      </c>
      <c r="X40">
        <f>HYPERLINK("https://klasma.github.io/Logging_2425/kartor/A 12005-2023 karta.png", "A 12005-2023")</f>
        <v/>
      </c>
      <c r="Y40">
        <f>HYPERLINK("https://klasma.github.io/Logging_2425/kartor_geotiff/A 12005-2023 georefererad karta.tif", "A 12005-2023")</f>
        <v/>
      </c>
      <c r="AA40">
        <f>HYPERLINK("https://klasma.github.io/Logging_2425/klagomål/A 12005-2023 FSC-klagomål.docx", "A 12005-2023")</f>
        <v/>
      </c>
      <c r="AB40">
        <f>HYPERLINK("https://klasma.github.io/Logging_2425/klagomålsmail/A 12005-2023 FSC-klagomål mail.docx", "A 12005-2023")</f>
        <v/>
      </c>
      <c r="AC40">
        <f>HYPERLINK("https://klasma.github.io/Logging_2425/tillsyn/A 12005-2023 tillsynsbegäran.docx", "A 12005-2023")</f>
        <v/>
      </c>
      <c r="AD40">
        <f>HYPERLINK("https://klasma.github.io/Logging_2425/tillsynsmail/A 12005-2023 tillsynsbegäran mail.docx", "A 12005-2023")</f>
        <v/>
      </c>
    </row>
    <row r="41" ht="15" customHeight="1">
      <c r="A41" t="inlineStr">
        <is>
          <t>A 39686-2025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46324</v>
      </c>
      <c r="F41" t="inlineStr">
        <is>
          <t>VÄSTERBOTTENS LÄN</t>
        </is>
      </c>
      <c r="G41" t="inlineStr">
        <is>
          <t>DOROTEA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HYPERLINK("https://klasma.github.io/Logging_2425/artfynd/A 39686-2025 artfynd.xlsx", "A 39686-2025")</f>
        <v/>
      </c>
      <c r="X41">
        <f>HYPERLINK("https://klasma.github.io/Logging_2425/kartor/A 39686-2025 karta.png", "A 39686-2025")</f>
        <v/>
      </c>
      <c r="Y41">
        <f>HYPERLINK("https://klasma.github.io/Logging_2425/kartor_geotiff/A 39686-2025 georefererad karta.tif", "A 39686-2025")</f>
        <v/>
      </c>
      <c r="AA41">
        <f>HYPERLINK("https://klasma.github.io/Logging_2425/klagomål/A 39686-2025 FSC-klagomål.docx", "A 39686-2025")</f>
        <v/>
      </c>
      <c r="AB41">
        <f>HYPERLINK("https://klasma.github.io/Logging_2425/klagomålsmail/A 39686-2025 FSC-klagomål mail.docx", "A 39686-2025")</f>
        <v/>
      </c>
      <c r="AC41">
        <f>HYPERLINK("https://klasma.github.io/Logging_2425/tillsyn/A 39686-2025 tillsynsbegäran.docx", "A 39686-2025")</f>
        <v/>
      </c>
      <c r="AD41">
        <f>HYPERLINK("https://klasma.github.io/Logging_2425/tillsynsmail/A 39686-2025 tillsynsbegäran mail.docx", "A 39686-2025")</f>
        <v/>
      </c>
    </row>
    <row r="42" ht="15" customHeight="1">
      <c r="A42" t="inlineStr">
        <is>
          <t>A 41079-2025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46324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41079-2025 artfynd.xlsx", "A 41079-2025")</f>
        <v/>
      </c>
      <c r="X42">
        <f>HYPERLINK("https://klasma.github.io/Logging_2425/kartor/A 41079-2025 karta.png", "A 41079-2025")</f>
        <v/>
      </c>
      <c r="Y42">
        <f>HYPERLINK("https://klasma.github.io/Logging_2425/kartor_geotiff/A 41079-2025 georefererad karta.tif", "A 41079-2025")</f>
        <v/>
      </c>
      <c r="AA42">
        <f>HYPERLINK("https://klasma.github.io/Logging_2425/klagomål/A 41079-2025 FSC-klagomål.docx", "A 41079-2025")</f>
        <v/>
      </c>
      <c r="AB42">
        <f>HYPERLINK("https://klasma.github.io/Logging_2425/klagomålsmail/A 41079-2025 FSC-klagomål mail.docx", "A 41079-2025")</f>
        <v/>
      </c>
      <c r="AC42">
        <f>HYPERLINK("https://klasma.github.io/Logging_2425/tillsyn/A 41079-2025 tillsynsbegäran.docx", "A 41079-2025")</f>
        <v/>
      </c>
      <c r="AD42">
        <f>HYPERLINK("https://klasma.github.io/Logging_2425/tillsynsmail/A 41079-2025 tillsynsbegäran mail.docx", "A 41079-2025")</f>
        <v/>
      </c>
    </row>
    <row r="43" ht="15" customHeight="1">
      <c r="A43" t="inlineStr">
        <is>
          <t>A 50530-2025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45945</v>
      </c>
      <c r="E43" s="1" t="n">
        <v>46324</v>
      </c>
      <c r="F43" t="inlineStr">
        <is>
          <t>VÄSTERBOTTENS LÄN</t>
        </is>
      </c>
      <c r="G43" t="inlineStr">
        <is>
          <t>DOROTEA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Ängsnycklar</t>
        </is>
      </c>
      <c r="W43">
        <f>HYPERLINK("https://klasma.github.io/Logging_2425/artfynd/A 50530-2025 artfynd.xlsx", "A 50530-2025")</f>
        <v/>
      </c>
      <c r="X43">
        <f>HYPERLINK("https://klasma.github.io/Logging_2425/kartor/A 50530-2025 karta.png", "A 50530-2025")</f>
        <v/>
      </c>
      <c r="Y43">
        <f>HYPERLINK("https://klasma.github.io/Logging_2425/kartor_geotiff/A 50530-2025 georefererad karta.tif", "A 50530-2025")</f>
        <v/>
      </c>
      <c r="AA43">
        <f>HYPERLINK("https://klasma.github.io/Logging_2425/klagomål/A 50530-2025 FSC-klagomål.docx", "A 50530-2025")</f>
        <v/>
      </c>
      <c r="AB43">
        <f>HYPERLINK("https://klasma.github.io/Logging_2425/klagomålsmail/A 50530-2025 FSC-klagomål mail.docx", "A 50530-2025")</f>
        <v/>
      </c>
      <c r="AC43">
        <f>HYPERLINK("https://klasma.github.io/Logging_2425/tillsyn/A 50530-2025 tillsynsbegäran.docx", "A 50530-2025")</f>
        <v/>
      </c>
      <c r="AD43">
        <f>HYPERLINK("https://klasma.github.io/Logging_2425/tillsynsmail/A 50530-2025 tillsynsbegäran mail.docx", "A 50530-2025")</f>
        <v/>
      </c>
    </row>
    <row r="44" ht="15" customHeight="1">
      <c r="A44" t="inlineStr">
        <is>
          <t>A 57060-2024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46324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8.9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57060-2024 artfynd.xlsx", "A 57060-2024")</f>
        <v/>
      </c>
      <c r="X44">
        <f>HYPERLINK("https://klasma.github.io/Logging_2425/kartor/A 57060-2024 karta.png", "A 57060-2024")</f>
        <v/>
      </c>
      <c r="Y44">
        <f>HYPERLINK("https://klasma.github.io/Logging_2425/kartor_geotiff/A 57060-2024 georefererad karta.tif", "A 57060-2024")</f>
        <v/>
      </c>
      <c r="AA44">
        <f>HYPERLINK("https://klasma.github.io/Logging_2425/klagomål/A 57060-2024 FSC-klagomål.docx", "A 57060-2024")</f>
        <v/>
      </c>
      <c r="AB44">
        <f>HYPERLINK("https://klasma.github.io/Logging_2425/klagomålsmail/A 57060-2024 FSC-klagomål mail.docx", "A 57060-2024")</f>
        <v/>
      </c>
      <c r="AC44">
        <f>HYPERLINK("https://klasma.github.io/Logging_2425/tillsyn/A 57060-2024 tillsynsbegäran.docx", "A 57060-2024")</f>
        <v/>
      </c>
      <c r="AD44">
        <f>HYPERLINK("https://klasma.github.io/Logging_2425/tillsynsmail/A 57060-2024 tillsynsbegäran mail.docx", "A 57060-2024")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46324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57058-2024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46324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HYPERLINK("https://klasma.github.io/Logging_2425/artfynd/A 57058-2024 artfynd.xlsx", "A 57058-2024")</f>
        <v/>
      </c>
      <c r="X46">
        <f>HYPERLINK("https://klasma.github.io/Logging_2425/kartor/A 57058-2024 karta.png", "A 57058-2024")</f>
        <v/>
      </c>
      <c r="Y46">
        <f>HYPERLINK("https://klasma.github.io/Logging_2425/kartor_geotiff/A 57058-2024 georefererad karta.tif", "A 57058-2024")</f>
        <v/>
      </c>
      <c r="AA46">
        <f>HYPERLINK("https://klasma.github.io/Logging_2425/klagomål/A 57058-2024 FSC-klagomål.docx", "A 57058-2024")</f>
        <v/>
      </c>
      <c r="AB46">
        <f>HYPERLINK("https://klasma.github.io/Logging_2425/klagomålsmail/A 57058-2024 FSC-klagomål mail.docx", "A 57058-2024")</f>
        <v/>
      </c>
      <c r="AC46">
        <f>HYPERLINK("https://klasma.github.io/Logging_2425/tillsyn/A 57058-2024 tillsynsbegäran.docx", "A 57058-2024")</f>
        <v/>
      </c>
      <c r="AD46">
        <f>HYPERLINK("https://klasma.github.io/Logging_2425/tillsynsmail/A 57058-2024 tillsynsbegäran mail.docx", "A 57058-2024")</f>
        <v/>
      </c>
    </row>
    <row r="47" ht="15" customHeight="1">
      <c r="A47" t="inlineStr">
        <is>
          <t>A 53309-2022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44878</v>
      </c>
      <c r="E47" s="1" t="n">
        <v>46324</v>
      </c>
      <c r="F47" t="inlineStr">
        <is>
          <t>VÄSTERBOTTENS LÄN</t>
        </is>
      </c>
      <c r="G47" t="inlineStr">
        <is>
          <t>DOROTEA</t>
        </is>
      </c>
      <c r="I47" t="n">
        <v>6.6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Göktyta</t>
        </is>
      </c>
      <c r="W47">
        <f>HYPERLINK("https://klasma.github.io/Logging_2425/artfynd/A 53309-2022 artfynd.xlsx", "A 53309-2022")</f>
        <v/>
      </c>
      <c r="X47">
        <f>HYPERLINK("https://klasma.github.io/Logging_2425/kartor/A 53309-2022 karta.png", "A 53309-2022")</f>
        <v/>
      </c>
      <c r="Y47">
        <f>HYPERLINK("https://klasma.github.io/Logging_2425/kartor_geotiff/A 53309-2022 georefererad karta.tif", "A 53309-2022")</f>
        <v/>
      </c>
      <c r="AA47">
        <f>HYPERLINK("https://klasma.github.io/Logging_2425/klagomål/A 53309-2022 FSC-klagomål.docx", "A 53309-2022")</f>
        <v/>
      </c>
      <c r="AB47">
        <f>HYPERLINK("https://klasma.github.io/Logging_2425/klagomålsmail/A 53309-2022 FSC-klagomål mail.docx", "A 53309-2022")</f>
        <v/>
      </c>
      <c r="AC47">
        <f>HYPERLINK("https://klasma.github.io/Logging_2425/tillsyn/A 53309-2022 tillsynsbegäran.docx", "A 53309-2022")</f>
        <v/>
      </c>
      <c r="AD47">
        <f>HYPERLINK("https://klasma.github.io/Logging_2425/tillsynsmail/A 53309-2022 tillsynsbegäran mail.docx", "A 53309-2022")</f>
        <v/>
      </c>
      <c r="AE47">
        <f>HYPERLINK("https://klasma.github.io/Logging_2425/fåglar/A 53309-2022 prioriterade fågelarter.docx", "A 53309-2022")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46324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46324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46324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46324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48089-2022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44855</v>
      </c>
      <c r="E52" s="1" t="n">
        <v>46324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Gammelgransskål</t>
        </is>
      </c>
      <c r="W52">
        <f>HYPERLINK("https://klasma.github.io/Logging_2425/artfynd/A 48089-2022 artfynd.xlsx", "A 48089-2022")</f>
        <v/>
      </c>
      <c r="X52">
        <f>HYPERLINK("https://klasma.github.io/Logging_2425/kartor/A 48089-2022 karta.png", "A 48089-2022")</f>
        <v/>
      </c>
      <c r="Y52">
        <f>HYPERLINK("https://klasma.github.io/Logging_2425/kartor_geotiff/A 48089-2022 georefererad karta.tif", "A 48089-2022")</f>
        <v/>
      </c>
      <c r="AA52">
        <f>HYPERLINK("https://klasma.github.io/Logging_2425/klagomål/A 48089-2022 FSC-klagomål.docx", "A 48089-2022")</f>
        <v/>
      </c>
      <c r="AB52">
        <f>HYPERLINK("https://klasma.github.io/Logging_2425/klagomålsmail/A 48089-2022 FSC-klagomål mail.docx", "A 48089-2022")</f>
        <v/>
      </c>
      <c r="AC52">
        <f>HYPERLINK("https://klasma.github.io/Logging_2425/tillsyn/A 48089-2022 tillsynsbegäran.docx", "A 48089-2022")</f>
        <v/>
      </c>
      <c r="AD52">
        <f>HYPERLINK("https://klasma.github.io/Logging_2425/tillsynsmail/A 48089-2022 tillsynsbegäran mail.docx", "A 48089-2022")</f>
        <v/>
      </c>
    </row>
    <row r="53" ht="15" customHeight="1">
      <c r="A53" t="inlineStr">
        <is>
          <t>A 36318-2024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45534</v>
      </c>
      <c r="E53" s="1" t="n">
        <v>46324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8</v>
      </c>
      <c r="V53" s="2" t="inlineStr">
        <is>
          <t>Garnlav</t>
        </is>
      </c>
      <c r="W53">
        <f>HYPERLINK("https://klasma.github.io/Logging_2425/artfynd/A 36318-2024 artfynd.xlsx", "A 36318-2024")</f>
        <v/>
      </c>
      <c r="X53">
        <f>HYPERLINK("https://klasma.github.io/Logging_2425/kartor/A 36318-2024 karta.png", "A 36318-2024")</f>
        <v/>
      </c>
      <c r="Y53">
        <f>HYPERLINK("https://klasma.github.io/Logging_2425/kartor_geotiff/A 36318-2024 georefererad karta.tif", "A 36318-2024")</f>
        <v/>
      </c>
      <c r="AA53">
        <f>HYPERLINK("https://klasma.github.io/Logging_2425/klagomål/A 36318-2024 FSC-klagomål.docx", "A 36318-2024")</f>
        <v/>
      </c>
      <c r="AB53">
        <f>HYPERLINK("https://klasma.github.io/Logging_2425/klagomålsmail/A 36318-2024 FSC-klagomål mail.docx", "A 36318-2024")</f>
        <v/>
      </c>
      <c r="AC53">
        <f>HYPERLINK("https://klasma.github.io/Logging_2425/tillsyn/A 36318-2024 tillsynsbegäran.docx", "A 36318-2024")</f>
        <v/>
      </c>
      <c r="AD53">
        <f>HYPERLINK("https://klasma.github.io/Logging_2425/tillsynsmail/A 36318-2024 tillsynsbegäran mail.docx", "A 36318-2024")</f>
        <v/>
      </c>
    </row>
    <row r="54" ht="15" customHeight="1">
      <c r="A54" t="inlineStr">
        <is>
          <t>A 35297-2026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46324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35297-2026 artfynd.xlsx", "A 35297-2026")</f>
        <v/>
      </c>
      <c r="X54">
        <f>HYPERLINK("https://klasma.github.io/Logging_2425/kartor/A 35297-2026 karta.png", "A 35297-2026")</f>
        <v/>
      </c>
      <c r="Y54">
        <f>HYPERLINK("https://klasma.github.io/Logging_2425/kartor_geotiff/A 35297-2026 georefererad karta.tif", "A 35297-2026")</f>
        <v/>
      </c>
      <c r="AA54">
        <f>HYPERLINK("https://klasma.github.io/Logging_2425/klagomål/A 35297-2026 FSC-klagomål.docx", "A 35297-2026")</f>
        <v/>
      </c>
      <c r="AB54">
        <f>HYPERLINK("https://klasma.github.io/Logging_2425/klagomålsmail/A 35297-2026 FSC-klagomål mail.docx", "A 35297-2026")</f>
        <v/>
      </c>
      <c r="AC54">
        <f>HYPERLINK("https://klasma.github.io/Logging_2425/tillsyn/A 35297-2026 tillsynsbegäran.docx", "A 35297-2026")</f>
        <v/>
      </c>
      <c r="AD54">
        <f>HYPERLINK("https://klasma.github.io/Logging_2425/tillsynsmail/A 35297-2026 tillsynsbegäran mail.docx", "A 35297-2026")</f>
        <v/>
      </c>
    </row>
    <row r="55" ht="15" customHeight="1">
      <c r="A55" t="inlineStr">
        <is>
          <t>A 20600-2023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46324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Korallrot</t>
        </is>
      </c>
      <c r="W55">
        <f>HYPERLINK("https://klasma.github.io/Logging_2425/artfynd/A 20600-2023 artfynd.xlsx", "A 20600-2023")</f>
        <v/>
      </c>
      <c r="X55">
        <f>HYPERLINK("https://klasma.github.io/Logging_2425/kartor/A 20600-2023 karta.png", "A 20600-2023")</f>
        <v/>
      </c>
      <c r="Y55">
        <f>HYPERLINK("https://klasma.github.io/Logging_2425/kartor_geotiff/A 20600-2023 georefererad karta.tif", "A 20600-2023")</f>
        <v/>
      </c>
      <c r="AA55">
        <f>HYPERLINK("https://klasma.github.io/Logging_2425/klagomål/A 20600-2023 FSC-klagomål.docx", "A 20600-2023")</f>
        <v/>
      </c>
      <c r="AB55">
        <f>HYPERLINK("https://klasma.github.io/Logging_2425/klagomålsmail/A 20600-2023 FSC-klagomål mail.docx", "A 20600-2023")</f>
        <v/>
      </c>
      <c r="AC55">
        <f>HYPERLINK("https://klasma.github.io/Logging_2425/tillsyn/A 20600-2023 tillsynsbegäran.docx", "A 20600-2023")</f>
        <v/>
      </c>
      <c r="AD55">
        <f>HYPERLINK("https://klasma.github.io/Logging_2425/tillsynsmail/A 20600-2023 tillsynsbegäran mail.docx", "A 20600-2023")</f>
        <v/>
      </c>
    </row>
    <row r="56" ht="15" customHeight="1">
      <c r="A56" t="inlineStr">
        <is>
          <t>A 42536-2026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46324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8.6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Lappranunkel</t>
        </is>
      </c>
      <c r="W56">
        <f>HYPERLINK("https://klasma.github.io/Logging_2425/artfynd/A 42536-2026 artfynd.xlsx", "A 42536-2026")</f>
        <v/>
      </c>
      <c r="X56">
        <f>HYPERLINK("https://klasma.github.io/Logging_2425/kartor/A 42536-2026 karta.png", "A 42536-2026")</f>
        <v/>
      </c>
      <c r="Y56">
        <f>HYPERLINK("https://klasma.github.io/Logging_2425/kartor_geotiff/A 42536-2026 georefererad karta.tif", "A 42536-2026")</f>
        <v/>
      </c>
      <c r="AA56">
        <f>HYPERLINK("https://klasma.github.io/Logging_2425/klagomål/A 42536-2026 FSC-klagomål.docx", "A 42536-2026")</f>
        <v/>
      </c>
      <c r="AB56">
        <f>HYPERLINK("https://klasma.github.io/Logging_2425/klagomålsmail/A 42536-2026 FSC-klagomål mail.docx", "A 42536-2026")</f>
        <v/>
      </c>
      <c r="AC56">
        <f>HYPERLINK("https://klasma.github.io/Logging_2425/tillsyn/A 42536-2026 tillsynsbegäran.docx", "A 42536-2026")</f>
        <v/>
      </c>
      <c r="AD56">
        <f>HYPERLINK("https://klasma.github.io/Logging_2425/tillsynsmail/A 42536-2026 tillsynsbegäran mail.docx", "A 42536-2026")</f>
        <v/>
      </c>
    </row>
    <row r="57" ht="15" customHeight="1">
      <c r="A57" t="inlineStr">
        <is>
          <t>A 30286-2023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46324</v>
      </c>
      <c r="F57" t="inlineStr">
        <is>
          <t>VÄSTERBOTTENS LÄN</t>
        </is>
      </c>
      <c r="G57" t="inlineStr">
        <is>
          <t>DOROTEA</t>
        </is>
      </c>
      <c r="I57" t="n">
        <v>21.2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Skogsrör</t>
        </is>
      </c>
      <c r="W57">
        <f>HYPERLINK("https://klasma.github.io/Logging_2425/artfynd/A 30286-2023 artfynd.xlsx", "A 30286-2023")</f>
        <v/>
      </c>
      <c r="X57">
        <f>HYPERLINK("https://klasma.github.io/Logging_2425/kartor/A 30286-2023 karta.png", "A 30286-2023")</f>
        <v/>
      </c>
      <c r="Y57">
        <f>HYPERLINK("https://klasma.github.io/Logging_2425/kartor_geotiff/A 30286-2023 georefererad karta.tif", "A 30286-2023")</f>
        <v/>
      </c>
      <c r="AA57">
        <f>HYPERLINK("https://klasma.github.io/Logging_2425/klagomål/A 30286-2023 FSC-klagomål.docx", "A 30286-2023")</f>
        <v/>
      </c>
      <c r="AB57">
        <f>HYPERLINK("https://klasma.github.io/Logging_2425/klagomålsmail/A 30286-2023 FSC-klagomål mail.docx", "A 30286-2023")</f>
        <v/>
      </c>
      <c r="AC57">
        <f>HYPERLINK("https://klasma.github.io/Logging_2425/tillsyn/A 30286-2023 tillsynsbegäran.docx", "A 30286-2023")</f>
        <v/>
      </c>
      <c r="AD57">
        <f>HYPERLINK("https://klasma.github.io/Logging_2425/tillsynsmail/A 30286-2023 tillsynsbegäran mail.docx", "A 30286-2023")</f>
        <v/>
      </c>
    </row>
    <row r="58" ht="15" customHeight="1">
      <c r="A58" t="inlineStr">
        <is>
          <t>A 1278-2024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45302</v>
      </c>
      <c r="E58" s="1" t="n">
        <v>46324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Gräddticka</t>
        </is>
      </c>
      <c r="W58">
        <f>HYPERLINK("https://klasma.github.io/Logging_2425/artfynd/A 1278-2024 artfynd.xlsx", "A 1278-2024")</f>
        <v/>
      </c>
      <c r="X58">
        <f>HYPERLINK("https://klasma.github.io/Logging_2425/kartor/A 1278-2024 karta.png", "A 1278-2024")</f>
        <v/>
      </c>
      <c r="Y58">
        <f>HYPERLINK("https://klasma.github.io/Logging_2425/kartor_geotiff/A 1278-2024 georefererad karta.tif", "A 1278-2024")</f>
        <v/>
      </c>
      <c r="AA58">
        <f>HYPERLINK("https://klasma.github.io/Logging_2425/klagomål/A 1278-2024 FSC-klagomål.docx", "A 1278-2024")</f>
        <v/>
      </c>
      <c r="AB58">
        <f>HYPERLINK("https://klasma.github.io/Logging_2425/klagomålsmail/A 1278-2024 FSC-klagomål mail.docx", "A 1278-2024")</f>
        <v/>
      </c>
      <c r="AC58">
        <f>HYPERLINK("https://klasma.github.io/Logging_2425/tillsyn/A 1278-2024 tillsynsbegäran.docx", "A 1278-2024")</f>
        <v/>
      </c>
      <c r="AD58">
        <f>HYPERLINK("https://klasma.github.io/Logging_2425/tillsynsmail/A 1278-2024 tillsynsbegäran mail.docx", "A 1278-2024")</f>
        <v/>
      </c>
    </row>
    <row r="59" ht="15" customHeight="1">
      <c r="A59" t="inlineStr">
        <is>
          <t>A 44905-2026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46323</v>
      </c>
      <c r="E59" s="1" t="n">
        <v>46324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16.6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Korallrot</t>
        </is>
      </c>
      <c r="W59">
        <f>HYPERLINK("https://klasma.github.io/Logging_2425/artfynd/A 44905-2026 artfynd.xlsx", "A 44905-2026")</f>
        <v/>
      </c>
      <c r="X59">
        <f>HYPERLINK("https://klasma.github.io/Logging_2425/kartor/A 44905-2026 karta.png", "A 44905-2026")</f>
        <v/>
      </c>
      <c r="Y59">
        <f>HYPERLINK("https://klasma.github.io/Logging_2425/kartor_geotiff/A 44905-2026 georefererad karta.tif", "A 44905-2026")</f>
        <v/>
      </c>
      <c r="AA59">
        <f>HYPERLINK("https://klasma.github.io/Logging_2425/klagomål/A 44905-2026 FSC-klagomål.docx", "A 44905-2026")</f>
        <v/>
      </c>
      <c r="AB59">
        <f>HYPERLINK("https://klasma.github.io/Logging_2425/klagomålsmail/A 44905-2026 FSC-klagomål mail.docx", "A 44905-2026")</f>
        <v/>
      </c>
      <c r="AC59">
        <f>HYPERLINK("https://klasma.github.io/Logging_2425/tillsyn/A 44905-2026 tillsynsbegäran.docx", "A 44905-2026")</f>
        <v/>
      </c>
      <c r="AD59">
        <f>HYPERLINK("https://klasma.github.io/Logging_2425/tillsynsmail/A 44905-2026 tillsynsbegäran mail.docx", "A 44905-2026")</f>
        <v/>
      </c>
    </row>
    <row r="60" ht="15" customHeight="1">
      <c r="A60" t="inlineStr">
        <is>
          <t>S 877-2022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44606</v>
      </c>
      <c r="E60" s="1" t="n">
        <v>46324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598.1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Gammelgransskål</t>
        </is>
      </c>
      <c r="W60">
        <f>HYPERLINK("https://klasma.github.io/Logging_2425/artfynd/S 877-2022 artfynd.xlsx", "S 877-2022")</f>
        <v/>
      </c>
      <c r="X60">
        <f>HYPERLINK("https://klasma.github.io/Logging_2425/kartor/S 877-2022 karta.png", "S 877-2022")</f>
        <v/>
      </c>
      <c r="Y60">
        <f>HYPERLINK("https://klasma.github.io/Logging_2425/kartor_geotiff/S 877-2022 georefererad karta.tif", "S 877-2022")</f>
        <v/>
      </c>
      <c r="AA60">
        <f>HYPERLINK("https://klasma.github.io/Logging_2425/klagomål/S 877-2022 FSC-klagomål.docx", "S 877-2022")</f>
        <v/>
      </c>
      <c r="AB60">
        <f>HYPERLINK("https://klasma.github.io/Logging_2425/klagomålsmail/S 877-2022 FSC-klagomål mail.docx", "S 877-2022")</f>
        <v/>
      </c>
      <c r="AC60">
        <f>HYPERLINK("https://klasma.github.io/Logging_2425/tillsyn/S 877-2022 tillsynsbegäran.docx", "S 877-2022")</f>
        <v/>
      </c>
      <c r="AD60">
        <f>HYPERLINK("https://klasma.github.io/Logging_2425/tillsynsmail/S 877-2022 tillsynsbegäran mail.docx", "S 877-2022")</f>
        <v/>
      </c>
    </row>
    <row r="61" ht="15" customHeight="1">
      <c r="A61" t="inlineStr">
        <is>
          <t>S 1194-2025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45756</v>
      </c>
      <c r="E61" s="1" t="n">
        <v>46324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13.9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Stjärntagging</t>
        </is>
      </c>
      <c r="W61">
        <f>HYPERLINK("https://klasma.github.io/Logging_2425/artfynd/S 1194-2025 artfynd.xlsx", "S 1194-2025")</f>
        <v/>
      </c>
      <c r="X61">
        <f>HYPERLINK("https://klasma.github.io/Logging_2425/kartor/S 1194-2025 karta.png", "S 1194-2025")</f>
        <v/>
      </c>
      <c r="Y61">
        <f>HYPERLINK("https://klasma.github.io/Logging_2425/kartor_geotiff/S 1194-2025 georefererad karta.tif", "S 1194-2025")</f>
        <v/>
      </c>
      <c r="AA61">
        <f>HYPERLINK("https://klasma.github.io/Logging_2425/klagomål/S 1194-2025 FSC-klagomål.docx", "S 1194-2025")</f>
        <v/>
      </c>
      <c r="AB61">
        <f>HYPERLINK("https://klasma.github.io/Logging_2425/klagomålsmail/S 1194-2025 FSC-klagomål mail.docx", "S 1194-2025")</f>
        <v/>
      </c>
      <c r="AC61">
        <f>HYPERLINK("https://klasma.github.io/Logging_2425/tillsyn/S 1194-2025 tillsynsbegäran.docx", "S 1194-2025")</f>
        <v/>
      </c>
      <c r="AD61">
        <f>HYPERLINK("https://klasma.github.io/Logging_2425/tillsynsmail/S 1194-2025 tillsynsbegäran mail.docx", "S 1194-2025")</f>
        <v/>
      </c>
    </row>
    <row r="62" ht="15" customHeight="1">
      <c r="A62" t="inlineStr">
        <is>
          <t>S 2107-2026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46240</v>
      </c>
      <c r="E62" s="1" t="n">
        <v>46324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2107-2026 artfynd.xlsx", "S 2107-2026")</f>
        <v/>
      </c>
      <c r="X62">
        <f>HYPERLINK("https://klasma.github.io/Logging_2425/kartor/S 2107-2026 karta.png", "S 2107-2026")</f>
        <v/>
      </c>
      <c r="Y62">
        <f>HYPERLINK("https://klasma.github.io/Logging_2425/kartor_geotiff/S 2107-2026 georefererad karta.tif", "S 2107-2026")</f>
        <v/>
      </c>
      <c r="AA62">
        <f>HYPERLINK("https://klasma.github.io/Logging_2425/klagomål/S 2107-2026 FSC-klagomål.docx", "S 2107-2026")</f>
        <v/>
      </c>
      <c r="AB62">
        <f>HYPERLINK("https://klasma.github.io/Logging_2425/klagomålsmail/S 2107-2026 FSC-klagomål mail.docx", "S 2107-2026")</f>
        <v/>
      </c>
      <c r="AC62">
        <f>HYPERLINK("https://klasma.github.io/Logging_2425/tillsyn/S 2107-2026 tillsynsbegäran.docx", "S 2107-2026")</f>
        <v/>
      </c>
      <c r="AD62">
        <f>HYPERLINK("https://klasma.github.io/Logging_2425/tillsynsmail/S 2107-2026 tillsynsbegäran mail.docx", "S 2107-2026")</f>
        <v/>
      </c>
    </row>
    <row r="63" ht="15" customHeight="1">
      <c r="A63" t="inlineStr">
        <is>
          <t>S 2218-2026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46258</v>
      </c>
      <c r="E63" s="1" t="n">
        <v>46324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HYPERLINK("https://klasma.github.io/Logging_2425/artfynd/S 2218-2026 artfynd.xlsx", "S 2218-2026")</f>
        <v/>
      </c>
      <c r="X63">
        <f>HYPERLINK("https://klasma.github.io/Logging_2425/kartor/S 2218-2026 karta.png", "S 2218-2026")</f>
        <v/>
      </c>
      <c r="Y63">
        <f>HYPERLINK("https://klasma.github.io/Logging_2425/kartor_geotiff/S 2218-2026 georefererad karta.tif", "S 2218-2026")</f>
        <v/>
      </c>
      <c r="AA63">
        <f>HYPERLINK("https://klasma.github.io/Logging_2425/klagomål/S 2218-2026 FSC-klagomål.docx", "S 2218-2026")</f>
        <v/>
      </c>
      <c r="AB63">
        <f>HYPERLINK("https://klasma.github.io/Logging_2425/klagomålsmail/S 2218-2026 FSC-klagomål mail.docx", "S 2218-2026")</f>
        <v/>
      </c>
      <c r="AC63">
        <f>HYPERLINK("https://klasma.github.io/Logging_2425/tillsyn/S 2218-2026 tillsynsbegäran.docx", "S 2218-2026")</f>
        <v/>
      </c>
      <c r="AD63">
        <f>HYPERLINK("https://klasma.github.io/Logging_2425/tillsynsmail/S 2218-2026 tillsynsbegäran mail.docx", "S 2218-2026")</f>
        <v/>
      </c>
    </row>
    <row r="64" ht="15" customHeight="1">
      <c r="A64" t="inlineStr">
        <is>
          <t>A 64063-2021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46324</v>
      </c>
      <c r="F64" t="inlineStr">
        <is>
          <t>VÄSTERBOTTENS LÄN</t>
        </is>
      </c>
      <c r="G64" t="inlineStr">
        <is>
          <t>DOROTEA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37833-2022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46324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44629</v>
      </c>
      <c r="E66" s="1" t="n">
        <v>46324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43403-2022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46324</v>
      </c>
      <c r="F67" t="inlineStr">
        <is>
          <t>VÄSTERBOTTENS LÄN</t>
        </is>
      </c>
      <c r="G67" t="inlineStr">
        <is>
          <t>DOROTEA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46324</v>
      </c>
      <c r="F68" t="inlineStr">
        <is>
          <t>VÄSTERBOTTENS LÄN</t>
        </is>
      </c>
      <c r="G68" t="inlineStr">
        <is>
          <t>DOROTEA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44859</v>
      </c>
      <c r="E69" s="1" t="n">
        <v>46324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44845</v>
      </c>
      <c r="E70" s="1" t="n">
        <v>46324</v>
      </c>
      <c r="F70" t="inlineStr">
        <is>
          <t>VÄSTERBOTTENS LÄN</t>
        </is>
      </c>
      <c r="G70" t="inlineStr">
        <is>
          <t>DOROTEA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46324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44587</v>
      </c>
      <c r="E72" s="1" t="n">
        <v>46324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45561</v>
      </c>
      <c r="E73" s="1" t="n">
        <v>46324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46324</v>
      </c>
      <c r="F74" t="inlineStr">
        <is>
          <t>VÄSTERBOTTENS LÄN</t>
        </is>
      </c>
      <c r="G74" t="inlineStr">
        <is>
          <t>DOROTEA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46324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34820-2023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46324</v>
      </c>
      <c r="F76" t="inlineStr">
        <is>
          <t>VÄSTERBOTTENS LÄN</t>
        </is>
      </c>
      <c r="G76" t="inlineStr">
        <is>
          <t>DOROTEA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45485</v>
      </c>
      <c r="E77" s="1" t="n">
        <v>46324</v>
      </c>
      <c r="F77" t="inlineStr">
        <is>
          <t>VÄSTERBOTTENS LÄN</t>
        </is>
      </c>
      <c r="G77" t="inlineStr">
        <is>
          <t>DOROTEA</t>
        </is>
      </c>
      <c r="I77" t="n">
        <v>10.2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46324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45551</v>
      </c>
      <c r="E79" s="1" t="n">
        <v>46324</v>
      </c>
      <c r="F79" t="inlineStr">
        <is>
          <t>VÄSTERBOTTENS LÄN</t>
        </is>
      </c>
      <c r="G79" t="inlineStr">
        <is>
          <t>DOROTEA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44568</v>
      </c>
      <c r="E80" s="1" t="n">
        <v>46324</v>
      </c>
      <c r="F80" t="inlineStr">
        <is>
          <t>VÄSTERBOTTENS LÄN</t>
        </is>
      </c>
      <c r="G80" t="inlineStr">
        <is>
          <t>DOROTEA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45517</v>
      </c>
      <c r="E81" s="1" t="n">
        <v>46324</v>
      </c>
      <c r="F81" t="inlineStr">
        <is>
          <t>VÄSTERBOTTENS LÄN</t>
        </is>
      </c>
      <c r="G81" t="inlineStr">
        <is>
          <t>DOROTEA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53380-2024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45614</v>
      </c>
      <c r="E82" s="1" t="n">
        <v>46324</v>
      </c>
      <c r="F82" t="inlineStr">
        <is>
          <t>VÄSTERBOTTENS LÄN</t>
        </is>
      </c>
      <c r="G82" t="inlineStr">
        <is>
          <t>DOROTEA</t>
        </is>
      </c>
      <c r="I82" t="n">
        <v>12.8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25606-2025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46324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45800</v>
      </c>
      <c r="E84" s="1" t="n">
        <v>46324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32821-2024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45516</v>
      </c>
      <c r="E85" s="1" t="n">
        <v>46324</v>
      </c>
      <c r="F85" t="inlineStr">
        <is>
          <t>VÄSTERBOTTENS LÄN</t>
        </is>
      </c>
      <c r="G85" t="inlineStr">
        <is>
          <t>DOROTEA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26315-2025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46324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44980</v>
      </c>
      <c r="E87" s="1" t="n">
        <v>46324</v>
      </c>
      <c r="F87" t="inlineStr">
        <is>
          <t>VÄSTERBOTTENS LÄN</t>
        </is>
      </c>
      <c r="G87" t="inlineStr">
        <is>
          <t>DOROTEA</t>
        </is>
      </c>
      <c r="I87" t="n">
        <v>18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27909-2024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46324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46324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45807</v>
      </c>
      <c r="E90" s="1" t="n">
        <v>46324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46324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45071</v>
      </c>
      <c r="E92" s="1" t="n">
        <v>46324</v>
      </c>
      <c r="F92" t="inlineStr">
        <is>
          <t>VÄSTERBOTTENS LÄN</t>
        </is>
      </c>
      <c r="G92" t="inlineStr">
        <is>
          <t>DOROTEA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46324</v>
      </c>
      <c r="F93" t="inlineStr">
        <is>
          <t>VÄSTERBOTTENS LÄN</t>
        </is>
      </c>
      <c r="G93" t="inlineStr">
        <is>
          <t>DOROTEA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46324</v>
      </c>
      <c r="F94" t="inlineStr">
        <is>
          <t>VÄSTERBOTTENS LÄN</t>
        </is>
      </c>
      <c r="G94" t="inlineStr">
        <is>
          <t>DOROTEA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45399</v>
      </c>
      <c r="E95" s="1" t="n">
        <v>46324</v>
      </c>
      <c r="F95" t="inlineStr">
        <is>
          <t>VÄSTERBOTTENS LÄN</t>
        </is>
      </c>
      <c r="G95" t="inlineStr">
        <is>
          <t>DOROTEA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46324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8092-2023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46324</v>
      </c>
      <c r="F97" t="inlineStr">
        <is>
          <t>VÄSTERBOTTENS LÄN</t>
        </is>
      </c>
      <c r="G97" t="inlineStr">
        <is>
          <t>DOROTEA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44889</v>
      </c>
      <c r="E98" s="1" t="n">
        <v>46324</v>
      </c>
      <c r="F98" t="inlineStr">
        <is>
          <t>VÄSTERBOTTENS LÄN</t>
        </is>
      </c>
      <c r="G98" t="inlineStr">
        <is>
          <t>DOROTEA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45170</v>
      </c>
      <c r="E99" s="1" t="n">
        <v>46324</v>
      </c>
      <c r="F99" t="inlineStr">
        <is>
          <t>VÄSTERBOTTENS LÄN</t>
        </is>
      </c>
      <c r="G99" t="inlineStr">
        <is>
          <t>DOROTEA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44524</v>
      </c>
      <c r="E100" s="1" t="n">
        <v>46324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46324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45556</v>
      </c>
      <c r="E102" s="1" t="n">
        <v>46324</v>
      </c>
      <c r="F102" t="inlineStr">
        <is>
          <t>VÄSTERBOTTENS LÄN</t>
        </is>
      </c>
      <c r="G102" t="inlineStr">
        <is>
          <t>DOROTEA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46324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45891</v>
      </c>
      <c r="E104" s="1" t="n">
        <v>46324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46324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45893</v>
      </c>
      <c r="E106" s="1" t="n">
        <v>46324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45149</v>
      </c>
      <c r="E107" s="1" t="n">
        <v>46324</v>
      </c>
      <c r="F107" t="inlineStr">
        <is>
          <t>VÄSTERBOTTENS LÄN</t>
        </is>
      </c>
      <c r="G107" t="inlineStr">
        <is>
          <t>DOROTEA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29258-2025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46324</v>
      </c>
      <c r="F108" t="inlineStr">
        <is>
          <t>VÄSTERBOTTENS LÄN</t>
        </is>
      </c>
      <c r="G108" t="inlineStr">
        <is>
          <t>DOROTEA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46324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44761</v>
      </c>
      <c r="E110" s="1" t="n">
        <v>46324</v>
      </c>
      <c r="F110" t="inlineStr">
        <is>
          <t>VÄSTERBOTTENS LÄN</t>
        </is>
      </c>
      <c r="G110" t="inlineStr">
        <is>
          <t>DOROTEA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46324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46324</v>
      </c>
      <c r="F112" t="inlineStr">
        <is>
          <t>VÄSTERBOTTENS LÄN</t>
        </is>
      </c>
      <c r="G112" t="inlineStr">
        <is>
          <t>DOROTEA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46324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46324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31532-2025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46324</v>
      </c>
      <c r="F115" t="inlineStr">
        <is>
          <t>VÄSTERBOTTENS LÄN</t>
        </is>
      </c>
      <c r="G115" t="inlineStr">
        <is>
          <t>DOROTEA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46324</v>
      </c>
      <c r="F116" t="inlineStr">
        <is>
          <t>VÄSTERBOTTENS LÄN</t>
        </is>
      </c>
      <c r="G116" t="inlineStr">
        <is>
          <t>DOROTEA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46324</v>
      </c>
      <c r="F117" t="inlineStr">
        <is>
          <t>VÄSTERBOTTENS LÄN</t>
        </is>
      </c>
      <c r="G117" t="inlineStr">
        <is>
          <t>DOROTEA</t>
        </is>
      </c>
      <c r="H117" t="inlineStr">
        <is>
          <t>Övriga Aktiebolag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45721</v>
      </c>
      <c r="E118" s="1" t="n">
        <v>46324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46324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46324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14163-2024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45392</v>
      </c>
      <c r="E121" s="1" t="n">
        <v>46324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23213-2022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46324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46324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46324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46324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40435-2023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45169</v>
      </c>
      <c r="E126" s="1" t="n">
        <v>46324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46324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44282-2025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45916</v>
      </c>
      <c r="E128" s="1" t="n">
        <v>46324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44395-2025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46324</v>
      </c>
      <c r="F129" t="inlineStr">
        <is>
          <t>VÄSTERBOTTENS LÄN</t>
        </is>
      </c>
      <c r="G129" t="inlineStr">
        <is>
          <t>DOROTEA</t>
        </is>
      </c>
      <c r="H129" t="inlineStr">
        <is>
          <t>Övriga statliga verk och myndigheter</t>
        </is>
      </c>
      <c r="I129" t="n">
        <v>15.2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45917</v>
      </c>
      <c r="E130" s="1" t="n">
        <v>46324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46324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45330</v>
      </c>
      <c r="E132" s="1" t="n">
        <v>46324</v>
      </c>
      <c r="F132" t="inlineStr">
        <is>
          <t>VÄSTERBOTTENS LÄN</t>
        </is>
      </c>
      <c r="G132" t="inlineStr">
        <is>
          <t>DOROTEA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46324</v>
      </c>
      <c r="F133" t="inlineStr">
        <is>
          <t>VÄSTERBOTTENS LÄN</t>
        </is>
      </c>
      <c r="G133" t="inlineStr">
        <is>
          <t>DOROTEA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40434-2023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45169</v>
      </c>
      <c r="E134" s="1" t="n">
        <v>46324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44956</v>
      </c>
      <c r="E135" s="1" t="n">
        <v>46324</v>
      </c>
      <c r="F135" t="inlineStr">
        <is>
          <t>VÄSTERBOTTENS LÄN</t>
        </is>
      </c>
      <c r="G135" t="inlineStr">
        <is>
          <t>DOROTEA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44824</v>
      </c>
      <c r="E136" s="1" t="n">
        <v>46324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46324</v>
      </c>
      <c r="F137" t="inlineStr">
        <is>
          <t>VÄSTERBOTTENS LÄN</t>
        </is>
      </c>
      <c r="G137" t="inlineStr">
        <is>
          <t>DOROTEA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44910</v>
      </c>
      <c r="E138" s="1" t="n">
        <v>46324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27199-2024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45471</v>
      </c>
      <c r="E139" s="1" t="n">
        <v>46324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45551</v>
      </c>
      <c r="E140" s="1" t="n">
        <v>46324</v>
      </c>
      <c r="F140" t="inlineStr">
        <is>
          <t>VÄSTERBOTTENS LÄN</t>
        </is>
      </c>
      <c r="G140" t="inlineStr">
        <is>
          <t>DOROTEA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45847</v>
      </c>
      <c r="E141" s="1" t="n">
        <v>46324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34279-2025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46324</v>
      </c>
      <c r="F142" t="inlineStr">
        <is>
          <t>VÄSTERBOTTENS LÄN</t>
        </is>
      </c>
      <c r="G142" t="inlineStr">
        <is>
          <t>DOROTEA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45055</v>
      </c>
      <c r="E143" s="1" t="n">
        <v>46324</v>
      </c>
      <c r="F143" t="inlineStr">
        <is>
          <t>VÄSTERBOTTENS LÄN</t>
        </is>
      </c>
      <c r="G143" t="inlineStr">
        <is>
          <t>DOROTEA</t>
        </is>
      </c>
      <c r="H143" t="inlineStr">
        <is>
          <t>Övriga statliga verk och myndigheter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45848</v>
      </c>
      <c r="E144" s="1" t="n">
        <v>46324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46324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46324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45852</v>
      </c>
      <c r="E147" s="1" t="n">
        <v>46324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46324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46324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46324</v>
      </c>
      <c r="F150" t="inlineStr">
        <is>
          <t>VÄSTERBOTTENS LÄN</t>
        </is>
      </c>
      <c r="G150" t="inlineStr">
        <is>
          <t>DOROTEA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46324</v>
      </c>
      <c r="F151" t="inlineStr">
        <is>
          <t>VÄSTERBOTTENS LÄN</t>
        </is>
      </c>
      <c r="G151" t="inlineStr">
        <is>
          <t>DOROTEA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46324</v>
      </c>
      <c r="F152" t="inlineStr">
        <is>
          <t>VÄSTERBOTTENS LÄN</t>
        </is>
      </c>
      <c r="G152" t="inlineStr">
        <is>
          <t>DOROTEA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46324</v>
      </c>
      <c r="F153" t="inlineStr">
        <is>
          <t>VÄSTERBOTTENS LÄN</t>
        </is>
      </c>
      <c r="G153" t="inlineStr">
        <is>
          <t>DOROTEA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46324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46324</v>
      </c>
      <c r="F155" t="inlineStr">
        <is>
          <t>VÄSTERBOTTENS LÄN</t>
        </is>
      </c>
      <c r="G155" t="inlineStr">
        <is>
          <t>DOROTEA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60015-2023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45257</v>
      </c>
      <c r="E156" s="1" t="n">
        <v>46324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46324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36111-2025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45866</v>
      </c>
      <c r="E158" s="1" t="n">
        <v>46324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45866</v>
      </c>
      <c r="E159" s="1" t="n">
        <v>46324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46324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46324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44958</v>
      </c>
      <c r="E162" s="1" t="n">
        <v>46324</v>
      </c>
      <c r="F162" t="inlineStr">
        <is>
          <t>VÄSTERBOTTENS LÄN</t>
        </is>
      </c>
      <c r="G162" t="inlineStr">
        <is>
          <t>DOROTEA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74013-2021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46324</v>
      </c>
      <c r="F163" t="inlineStr">
        <is>
          <t>VÄSTERBOTTENS LÄN</t>
        </is>
      </c>
      <c r="G163" t="inlineStr">
        <is>
          <t>DOROTEA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45874</v>
      </c>
      <c r="E164" s="1" t="n">
        <v>46324</v>
      </c>
      <c r="F164" t="inlineStr">
        <is>
          <t>VÄSTERBOTTENS LÄN</t>
        </is>
      </c>
      <c r="G164" t="inlineStr">
        <is>
          <t>DOROTEA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46324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46324</v>
      </c>
      <c r="F166" t="inlineStr">
        <is>
          <t>VÄSTERBOTTENS LÄN</t>
        </is>
      </c>
      <c r="G166" t="inlineStr">
        <is>
          <t>DOROTEA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45875</v>
      </c>
      <c r="E167" s="1" t="n">
        <v>46324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45876</v>
      </c>
      <c r="E168" s="1" t="n">
        <v>46324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45877</v>
      </c>
      <c r="E169" s="1" t="n">
        <v>46324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45565</v>
      </c>
      <c r="E170" s="1" t="n">
        <v>46324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45876</v>
      </c>
      <c r="E171" s="1" t="n">
        <v>46324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46324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46324</v>
      </c>
      <c r="F173" t="inlineStr">
        <is>
          <t>VÄSTERBOTTENS LÄN</t>
        </is>
      </c>
      <c r="G173" t="inlineStr">
        <is>
          <t>DOROTEA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55919-2023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45239</v>
      </c>
      <c r="E174" s="1" t="n">
        <v>46324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46324</v>
      </c>
      <c r="F175" t="inlineStr">
        <is>
          <t>VÄSTERBOTTENS LÄN</t>
        </is>
      </c>
      <c r="G175" t="inlineStr">
        <is>
          <t>DOROTEA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45882</v>
      </c>
      <c r="E176" s="1" t="n">
        <v>46324</v>
      </c>
      <c r="F176" t="inlineStr">
        <is>
          <t>VÄSTERBOTTENS LÄN</t>
        </is>
      </c>
      <c r="G176" t="inlineStr">
        <is>
          <t>DOROTEA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46324</v>
      </c>
      <c r="F177" t="inlineStr">
        <is>
          <t>VÄSTERBOTTENS LÄN</t>
        </is>
      </c>
      <c r="G177" t="inlineStr">
        <is>
          <t>DOROTEA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46324</v>
      </c>
      <c r="F178" t="inlineStr">
        <is>
          <t>VÄSTERBOTTENS LÄN</t>
        </is>
      </c>
      <c r="G178" t="inlineStr">
        <is>
          <t>DOROTEA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46324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38101-2025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46324</v>
      </c>
      <c r="F180" t="inlineStr">
        <is>
          <t>VÄSTERBOTTENS LÄN</t>
        </is>
      </c>
      <c r="G180" t="inlineStr">
        <is>
          <t>DOROTEA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46324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46324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53795-2022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44876</v>
      </c>
      <c r="E183" s="1" t="n">
        <v>46324</v>
      </c>
      <c r="F183" t="inlineStr">
        <is>
          <t>VÄSTERBOTTENS LÄN</t>
        </is>
      </c>
      <c r="G183" t="inlineStr">
        <is>
          <t>DOROTEA</t>
        </is>
      </c>
      <c r="I183" t="n">
        <v>12.3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46324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46324</v>
      </c>
      <c r="F185" t="inlineStr">
        <is>
          <t>VÄSTERBOTTENS LÄN</t>
        </is>
      </c>
      <c r="G185" t="inlineStr">
        <is>
          <t>DOROTEA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45614</v>
      </c>
      <c r="E186" s="1" t="n">
        <v>46324</v>
      </c>
      <c r="F186" t="inlineStr">
        <is>
          <t>VÄSTERBOTTENS LÄN</t>
        </is>
      </c>
      <c r="G186" t="inlineStr">
        <is>
          <t>DOROTEA</t>
        </is>
      </c>
      <c r="I186" t="n">
        <v>31.7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63575-2025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46013</v>
      </c>
      <c r="E187" s="1" t="n">
        <v>46324</v>
      </c>
      <c r="F187" t="inlineStr">
        <is>
          <t>VÄSTERBOTTENS LÄN</t>
        </is>
      </c>
      <c r="G187" t="inlineStr">
        <is>
          <t>DOROTEA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46324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46324</v>
      </c>
      <c r="F189" t="inlineStr">
        <is>
          <t>VÄSTERBOTTENS LÄN</t>
        </is>
      </c>
      <c r="G189" t="inlineStr">
        <is>
          <t>DOROTEA</t>
        </is>
      </c>
      <c r="I189" t="n">
        <v>21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45678</v>
      </c>
      <c r="E190" s="1" t="n">
        <v>46324</v>
      </c>
      <c r="F190" t="inlineStr">
        <is>
          <t>VÄSTERBOTTENS LÄN</t>
        </is>
      </c>
      <c r="G190" t="inlineStr">
        <is>
          <t>DOROTEA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45866</v>
      </c>
      <c r="E191" s="1" t="n">
        <v>46324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45223</v>
      </c>
      <c r="E192" s="1" t="n">
        <v>46324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47494-2023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45202</v>
      </c>
      <c r="E193" s="1" t="n">
        <v>46324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46324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46324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46146</v>
      </c>
      <c r="E196" s="1" t="n">
        <v>46324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46147</v>
      </c>
      <c r="E197" s="1" t="n">
        <v>46324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27477-2023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45097</v>
      </c>
      <c r="E198" s="1" t="n">
        <v>46324</v>
      </c>
      <c r="F198" t="inlineStr">
        <is>
          <t>VÄSTERBOTTENS LÄN</t>
        </is>
      </c>
      <c r="G198" t="inlineStr">
        <is>
          <t>DOROTEA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45036</v>
      </c>
      <c r="E199" s="1" t="n">
        <v>46324</v>
      </c>
      <c r="F199" t="inlineStr">
        <is>
          <t>VÄSTERBOTTENS LÄN</t>
        </is>
      </c>
      <c r="G199" t="inlineStr">
        <is>
          <t>DOROTEA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46146</v>
      </c>
      <c r="E200" s="1" t="n">
        <v>46324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46147</v>
      </c>
      <c r="E201" s="1" t="n">
        <v>46324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46324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46324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46324</v>
      </c>
      <c r="F204" t="inlineStr">
        <is>
          <t>VÄSTERBOTTENS LÄN</t>
        </is>
      </c>
      <c r="G204" t="inlineStr">
        <is>
          <t>DOROTEA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27780-2026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46324</v>
      </c>
      <c r="F205" t="inlineStr">
        <is>
          <t>VÄSTERBOTTENS LÄN</t>
        </is>
      </c>
      <c r="G205" t="inlineStr">
        <is>
          <t>DOROTEA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46324</v>
      </c>
      <c r="F206" t="inlineStr">
        <is>
          <t>VÄSTERBOTTENS LÄN</t>
        </is>
      </c>
      <c r="G206" t="inlineStr">
        <is>
          <t>DOROTEA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46324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46324</v>
      </c>
      <c r="F208" t="inlineStr">
        <is>
          <t>VÄSTERBOTTENS LÄN</t>
        </is>
      </c>
      <c r="G208" t="inlineStr">
        <is>
          <t>DOROTEA</t>
        </is>
      </c>
      <c r="I208" t="n">
        <v>10.3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45565</v>
      </c>
      <c r="E209" s="1" t="n">
        <v>46324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46150</v>
      </c>
      <c r="E210" s="1" t="n">
        <v>46324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45975</v>
      </c>
      <c r="E211" s="1" t="n">
        <v>46324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57070-2023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45244</v>
      </c>
      <c r="E212" s="1" t="n">
        <v>46324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22128-2026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46153</v>
      </c>
      <c r="E213" s="1" t="n">
        <v>46324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45636</v>
      </c>
      <c r="E214" s="1" t="n">
        <v>46324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46324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45448</v>
      </c>
      <c r="E216" s="1" t="n">
        <v>46324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21812-2026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46150</v>
      </c>
      <c r="E217" s="1" t="n">
        <v>46324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22214-2026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46324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45977</v>
      </c>
      <c r="E219" s="1" t="n">
        <v>46324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46324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46324</v>
      </c>
      <c r="F221" t="inlineStr">
        <is>
          <t>VÄSTERBOTTENS LÄN</t>
        </is>
      </c>
      <c r="G221" t="inlineStr">
        <is>
          <t>DOROTEA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46324</v>
      </c>
      <c r="F222" t="inlineStr">
        <is>
          <t>VÄSTERBOTTENS LÄN</t>
        </is>
      </c>
      <c r="G222" t="inlineStr">
        <is>
          <t>DOROTEA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46324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46324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45980</v>
      </c>
      <c r="E225" s="1" t="n">
        <v>46324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46324</v>
      </c>
      <c r="F226" t="inlineStr">
        <is>
          <t>VÄSTERBOTTENS LÄN</t>
        </is>
      </c>
      <c r="G226" t="inlineStr">
        <is>
          <t>DOROTEA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46324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55888-2022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44888</v>
      </c>
      <c r="E228" s="1" t="n">
        <v>46324</v>
      </c>
      <c r="F228" t="inlineStr">
        <is>
          <t>VÄSTERBOTTENS LÄN</t>
        </is>
      </c>
      <c r="G228" t="inlineStr">
        <is>
          <t>DOROTEA</t>
        </is>
      </c>
      <c r="I228" t="n">
        <v>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46324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46324</v>
      </c>
      <c r="F230" t="inlineStr">
        <is>
          <t>VÄSTERBOTTENS LÄN</t>
        </is>
      </c>
      <c r="G230" t="inlineStr">
        <is>
          <t>DOROTEA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45735</v>
      </c>
      <c r="E231" s="1" t="n">
        <v>46324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46324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18.2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46324</v>
      </c>
      <c r="F233" t="inlineStr">
        <is>
          <t>VÄSTERBOTTENS LÄN</t>
        </is>
      </c>
      <c r="G233" t="inlineStr">
        <is>
          <t>DOROTEA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46324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38377-2023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46324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42889-2024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45566</v>
      </c>
      <c r="E236" s="1" t="n">
        <v>46324</v>
      </c>
      <c r="F236" t="inlineStr">
        <is>
          <t>VÄSTERBOTTENS LÄN</t>
        </is>
      </c>
      <c r="G236" t="inlineStr">
        <is>
          <t>DOROTEA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44942</v>
      </c>
      <c r="E237" s="1" t="n">
        <v>46324</v>
      </c>
      <c r="F237" t="inlineStr">
        <is>
          <t>VÄSTERBOTTENS LÄN</t>
        </is>
      </c>
      <c r="G237" t="inlineStr">
        <is>
          <t>DOROTEA</t>
        </is>
      </c>
      <c r="I237" t="n">
        <v>22.7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46324</v>
      </c>
      <c r="F238" t="inlineStr">
        <is>
          <t>VÄSTERBOTTENS LÄN</t>
        </is>
      </c>
      <c r="G238" t="inlineStr">
        <is>
          <t>DOROTEA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45505</v>
      </c>
      <c r="E239" s="1" t="n">
        <v>46324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46324</v>
      </c>
      <c r="F240" t="inlineStr">
        <is>
          <t>VÄSTERBOTTENS LÄN</t>
        </is>
      </c>
      <c r="G240" t="inlineStr">
        <is>
          <t>DOROTEA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46324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46324</v>
      </c>
      <c r="F242" t="inlineStr">
        <is>
          <t>VÄSTERBOTTENS LÄN</t>
        </is>
      </c>
      <c r="G242" t="inlineStr">
        <is>
          <t>DOROTEA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30461-2024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45491</v>
      </c>
      <c r="E243" s="1" t="n">
        <v>46324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46324</v>
      </c>
      <c r="F244" t="inlineStr">
        <is>
          <t>VÄSTERBOTTENS LÄN</t>
        </is>
      </c>
      <c r="G244" t="inlineStr">
        <is>
          <t>DOROTEA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45962</v>
      </c>
      <c r="E245" s="1" t="n">
        <v>46324</v>
      </c>
      <c r="F245" t="inlineStr">
        <is>
          <t>VÄSTERBOTTENS LÄN</t>
        </is>
      </c>
      <c r="G245" t="inlineStr">
        <is>
          <t>DOROTEA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23214-2026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46324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46162</v>
      </c>
      <c r="E247" s="1" t="n">
        <v>46324</v>
      </c>
      <c r="F247" t="inlineStr">
        <is>
          <t>VÄSTERBOTTENS LÄN</t>
        </is>
      </c>
      <c r="G247" t="inlineStr">
        <is>
          <t>DOROTEA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35937-2025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45862</v>
      </c>
      <c r="E248" s="1" t="n">
        <v>46324</v>
      </c>
      <c r="F248" t="inlineStr">
        <is>
          <t>VÄSTERBOTTENS LÄN</t>
        </is>
      </c>
      <c r="G248" t="inlineStr">
        <is>
          <t>DOROTEA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46324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46324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45996</v>
      </c>
      <c r="E251" s="1" t="n">
        <v>46324</v>
      </c>
      <c r="F251" t="inlineStr">
        <is>
          <t>VÄSTERBOTTENS LÄN</t>
        </is>
      </c>
      <c r="G251" t="inlineStr">
        <is>
          <t>DOROTEA</t>
        </is>
      </c>
      <c r="I251" t="n">
        <v>23.9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46324</v>
      </c>
      <c r="F252" t="inlineStr">
        <is>
          <t>VÄSTERBOTTENS LÄN</t>
        </is>
      </c>
      <c r="G252" t="inlineStr">
        <is>
          <t>DOROTEA</t>
        </is>
      </c>
      <c r="I252" t="n">
        <v>8.9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50582-2024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45600</v>
      </c>
      <c r="E253" s="1" t="n">
        <v>46324</v>
      </c>
      <c r="F253" t="inlineStr">
        <is>
          <t>VÄSTERBOTTENS LÄN</t>
        </is>
      </c>
      <c r="G253" t="inlineStr">
        <is>
          <t>DOROTEA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46324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62193-2025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46003</v>
      </c>
      <c r="E255" s="1" t="n">
        <v>46324</v>
      </c>
      <c r="F255" t="inlineStr">
        <is>
          <t>VÄSTERBOTTENS LÄN</t>
        </is>
      </c>
      <c r="G255" t="inlineStr">
        <is>
          <t>DOROTEA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46324</v>
      </c>
      <c r="F256" t="inlineStr">
        <is>
          <t>VÄSTERBOTTENS LÄN</t>
        </is>
      </c>
      <c r="G256" t="inlineStr">
        <is>
          <t>DOROTEA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46324</v>
      </c>
      <c r="F257" t="inlineStr">
        <is>
          <t>VÄSTERBOTTENS LÄN</t>
        </is>
      </c>
      <c r="G257" t="inlineStr">
        <is>
          <t>DOROTEA</t>
        </is>
      </c>
      <c r="I257" t="n">
        <v>16.7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62423-2025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46324</v>
      </c>
      <c r="F258" t="inlineStr">
        <is>
          <t>VÄSTERBOTTENS LÄN</t>
        </is>
      </c>
      <c r="G258" t="inlineStr">
        <is>
          <t>DOROTEA</t>
        </is>
      </c>
      <c r="I258" t="n">
        <v>13.2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45755</v>
      </c>
      <c r="E259" s="1" t="n">
        <v>46324</v>
      </c>
      <c r="F259" t="inlineStr">
        <is>
          <t>VÄSTERBOTTENS LÄN</t>
        </is>
      </c>
      <c r="G259" t="inlineStr">
        <is>
          <t>DOROTEA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46324</v>
      </c>
      <c r="F260" t="inlineStr">
        <is>
          <t>VÄSTERBOTTENS LÄN</t>
        </is>
      </c>
      <c r="G260" t="inlineStr">
        <is>
          <t>DOROTEA</t>
        </is>
      </c>
      <c r="I260" t="n">
        <v>12.3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46324</v>
      </c>
      <c r="F261" t="inlineStr">
        <is>
          <t>VÄSTERBOTTENS LÄN</t>
        </is>
      </c>
      <c r="G261" t="inlineStr">
        <is>
          <t>DOROTEA</t>
        </is>
      </c>
      <c r="I261" t="n">
        <v>10.2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59418-2023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45253</v>
      </c>
      <c r="E262" s="1" t="n">
        <v>46324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62974-2025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46324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45539</v>
      </c>
      <c r="E264" s="1" t="n">
        <v>46324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8.199999999999999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22450-2024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45446</v>
      </c>
      <c r="E265" s="1" t="n">
        <v>46324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45125</v>
      </c>
      <c r="E266" s="1" t="n">
        <v>46324</v>
      </c>
      <c r="F266" t="inlineStr">
        <is>
          <t>VÄSTERBOTTENS LÄN</t>
        </is>
      </c>
      <c r="G266" t="inlineStr">
        <is>
          <t>DOROTEA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44979</v>
      </c>
      <c r="E267" s="1" t="n">
        <v>46324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63939-2025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46324</v>
      </c>
      <c r="F268" t="inlineStr">
        <is>
          <t>VÄSTERBOTTENS LÄN</t>
        </is>
      </c>
      <c r="G268" t="inlineStr">
        <is>
          <t>DOROTEA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46324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24839-2026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46324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45111</v>
      </c>
      <c r="E271" s="1" t="n">
        <v>46324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45180</v>
      </c>
      <c r="E272" s="1" t="n">
        <v>46324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63745-2025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46017</v>
      </c>
      <c r="E273" s="1" t="n">
        <v>46324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8.699999999999999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45223</v>
      </c>
      <c r="E274" s="1" t="n">
        <v>46324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46324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45491</v>
      </c>
      <c r="E276" s="1" t="n">
        <v>46324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Sveaskog</t>
        </is>
      </c>
      <c r="I276" t="n">
        <v>13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4617-2023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44956</v>
      </c>
      <c r="E277" s="1" t="n">
        <v>46324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46324</v>
      </c>
      <c r="F278" t="inlineStr">
        <is>
          <t>VÄSTERBOTTENS LÄN</t>
        </is>
      </c>
      <c r="G278" t="inlineStr">
        <is>
          <t>DOROTEA</t>
        </is>
      </c>
      <c r="I278" t="n">
        <v>18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46324</v>
      </c>
      <c r="F279" t="inlineStr">
        <is>
          <t>VÄSTERBOTTENS LÄN</t>
        </is>
      </c>
      <c r="G279" t="inlineStr">
        <is>
          <t>DOROTEA</t>
        </is>
      </c>
      <c r="I279" t="n">
        <v>26.2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46036</v>
      </c>
      <c r="E280" s="1" t="n">
        <v>46324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46324</v>
      </c>
      <c r="F281" t="inlineStr">
        <is>
          <t>VÄSTERBOTTENS LÄN</t>
        </is>
      </c>
      <c r="G281" t="inlineStr">
        <is>
          <t>DOROTEA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46324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46038</v>
      </c>
      <c r="E283" s="1" t="n">
        <v>46324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46182</v>
      </c>
      <c r="E284" s="1" t="n">
        <v>46324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26255-2026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46324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45253</v>
      </c>
      <c r="E286" s="1" t="n">
        <v>46324</v>
      </c>
      <c r="F286" t="inlineStr">
        <is>
          <t>VÄSTERBOTTENS LÄN</t>
        </is>
      </c>
      <c r="G286" t="inlineStr">
        <is>
          <t>DOROTEA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46324</v>
      </c>
      <c r="F287" t="inlineStr">
        <is>
          <t>VÄSTERBOTTENS LÄN</t>
        </is>
      </c>
      <c r="G287" t="inlineStr">
        <is>
          <t>DOROTEA</t>
        </is>
      </c>
      <c r="I287" t="n">
        <v>8.5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46324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46324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35990-2023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45148</v>
      </c>
      <c r="E290" s="1" t="n">
        <v>46324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46324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46324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46324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63885-2025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46010</v>
      </c>
      <c r="E294" s="1" t="n">
        <v>46324</v>
      </c>
      <c r="F294" t="inlineStr">
        <is>
          <t>VÄSTERBOTTENS LÄN</t>
        </is>
      </c>
      <c r="G294" t="inlineStr">
        <is>
          <t>DOROTEA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12773-2026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46324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46324</v>
      </c>
      <c r="F296" t="inlineStr">
        <is>
          <t>VÄSTERBOTTENS LÄN</t>
        </is>
      </c>
      <c r="G296" t="inlineStr">
        <is>
          <t>DOROTEA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46051</v>
      </c>
      <c r="E297" s="1" t="n">
        <v>46324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46051</v>
      </c>
      <c r="E298" s="1" t="n">
        <v>46324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46324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46054</v>
      </c>
      <c r="E300" s="1" t="n">
        <v>46324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46324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45244</v>
      </c>
      <c r="E302" s="1" t="n">
        <v>46324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46059</v>
      </c>
      <c r="E303" s="1" t="n">
        <v>46324</v>
      </c>
      <c r="F303" t="inlineStr">
        <is>
          <t>VÄSTERBOTTENS LÄN</t>
        </is>
      </c>
      <c r="G303" t="inlineStr">
        <is>
          <t>DOROTEA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46059</v>
      </c>
      <c r="E304" s="1" t="n">
        <v>46324</v>
      </c>
      <c r="F304" t="inlineStr">
        <is>
          <t>VÄSTERBOTTENS LÄN</t>
        </is>
      </c>
      <c r="G304" t="inlineStr">
        <is>
          <t>DOROTEA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46063</v>
      </c>
      <c r="E305" s="1" t="n">
        <v>46324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27738-2026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46191</v>
      </c>
      <c r="E306" s="1" t="n">
        <v>46324</v>
      </c>
      <c r="F306" t="inlineStr">
        <is>
          <t>VÄSTERBOTTENS LÄN</t>
        </is>
      </c>
      <c r="G306" t="inlineStr">
        <is>
          <t>DOROTEA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46324</v>
      </c>
      <c r="F307" t="inlineStr">
        <is>
          <t>VÄSTERBOTTENS LÄN</t>
        </is>
      </c>
      <c r="G307" t="inlineStr">
        <is>
          <t>DOROTEA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46324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46324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46072</v>
      </c>
      <c r="E310" s="1" t="n">
        <v>46324</v>
      </c>
      <c r="F310" t="inlineStr">
        <is>
          <t>VÄSTERBOTTENS LÄN</t>
        </is>
      </c>
      <c r="G310" t="inlineStr">
        <is>
          <t>DOROTEA</t>
        </is>
      </c>
      <c r="I310" t="n">
        <v>20.1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46324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46324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46324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46817-2022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44848</v>
      </c>
      <c r="E314" s="1" t="n">
        <v>46324</v>
      </c>
      <c r="F314" t="inlineStr">
        <is>
          <t>VÄSTERBOTTENS LÄN</t>
        </is>
      </c>
      <c r="G314" t="inlineStr">
        <is>
          <t>DOROTEA</t>
        </is>
      </c>
      <c r="I314" t="n">
        <v>29.8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45125</v>
      </c>
      <c r="E315" s="1" t="n">
        <v>46324</v>
      </c>
      <c r="F315" t="inlineStr">
        <is>
          <t>VÄSTERBOTTENS LÄN</t>
        </is>
      </c>
      <c r="G315" t="inlineStr">
        <is>
          <t>DOROTEA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28741-2026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46324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45385</v>
      </c>
      <c r="E317" s="1" t="n">
        <v>46324</v>
      </c>
      <c r="F317" t="inlineStr">
        <is>
          <t>VÄSTERBOTTENS LÄN</t>
        </is>
      </c>
      <c r="G317" t="inlineStr">
        <is>
          <t>DOROTEA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57376-2022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44889</v>
      </c>
      <c r="E318" s="1" t="n">
        <v>46324</v>
      </c>
      <c r="F318" t="inlineStr">
        <is>
          <t>VÄSTERBOTTENS LÄN</t>
        </is>
      </c>
      <c r="G318" t="inlineStr">
        <is>
          <t>DOROTEA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46966-2024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45586</v>
      </c>
      <c r="E319" s="1" t="n">
        <v>46324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46086</v>
      </c>
      <c r="E320" s="1" t="n">
        <v>46324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46324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45075</v>
      </c>
      <c r="E322" s="1" t="n">
        <v>46324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44748</v>
      </c>
      <c r="E323" s="1" t="n">
        <v>46324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30059-2024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45488</v>
      </c>
      <c r="E324" s="1" t="n">
        <v>46324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46324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45182</v>
      </c>
      <c r="E326" s="1" t="n">
        <v>46324</v>
      </c>
      <c r="F326" t="inlineStr">
        <is>
          <t>VÄSTERBOTTENS LÄN</t>
        </is>
      </c>
      <c r="G326" t="inlineStr">
        <is>
          <t>DOROTEA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46324</v>
      </c>
      <c r="F327" t="inlineStr">
        <is>
          <t>VÄSTERBOTTENS LÄN</t>
        </is>
      </c>
      <c r="G327" t="inlineStr">
        <is>
          <t>DOROTEA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45755</v>
      </c>
      <c r="E328" s="1" t="n">
        <v>46324</v>
      </c>
      <c r="F328" t="inlineStr">
        <is>
          <t>VÄSTERBOTTENS LÄN</t>
        </is>
      </c>
      <c r="G328" t="inlineStr">
        <is>
          <t>DOROTEA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46324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46324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46324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46324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46324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14249-2026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46324</v>
      </c>
      <c r="F334" t="inlineStr">
        <is>
          <t>VÄSTERBOTTENS LÄN</t>
        </is>
      </c>
      <c r="G334" t="inlineStr">
        <is>
          <t>DOROTEA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30645-2026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46211</v>
      </c>
      <c r="E335" s="1" t="n">
        <v>46324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46212</v>
      </c>
      <c r="E336" s="1" t="n">
        <v>46324</v>
      </c>
      <c r="F336" t="inlineStr">
        <is>
          <t>VÄSTERBOTTENS LÄN</t>
        </is>
      </c>
      <c r="G336" t="inlineStr">
        <is>
          <t>DOROTEA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46324</v>
      </c>
      <c r="F337" t="inlineStr">
        <is>
          <t>VÄSTERBOTTENS LÄN</t>
        </is>
      </c>
      <c r="G337" t="inlineStr">
        <is>
          <t>DOROTEA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46212</v>
      </c>
      <c r="E338" s="1" t="n">
        <v>46324</v>
      </c>
      <c r="F338" t="inlineStr">
        <is>
          <t>VÄSTERBOTTENS LÄN</t>
        </is>
      </c>
      <c r="G338" t="inlineStr">
        <is>
          <t>DOROTEA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30823-2026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46212</v>
      </c>
      <c r="E339" s="1" t="n">
        <v>46324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46211</v>
      </c>
      <c r="E340" s="1" t="n">
        <v>46324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46107</v>
      </c>
      <c r="E341" s="1" t="n">
        <v>46324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46213</v>
      </c>
      <c r="E342" s="1" t="n">
        <v>46324</v>
      </c>
      <c r="F342" t="inlineStr">
        <is>
          <t>VÄSTERBOTTENS LÄN</t>
        </is>
      </c>
      <c r="G342" t="inlineStr">
        <is>
          <t>DOROTEA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46213</v>
      </c>
      <c r="E343" s="1" t="n">
        <v>46324</v>
      </c>
      <c r="F343" t="inlineStr">
        <is>
          <t>VÄSTERBOTTENS LÄN</t>
        </is>
      </c>
      <c r="G343" t="inlineStr">
        <is>
          <t>DOROTEA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31260-2026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46218</v>
      </c>
      <c r="E344" s="1" t="n">
        <v>46324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46324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43944-2024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45572</v>
      </c>
      <c r="E346" s="1" t="n">
        <v>46324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45478</v>
      </c>
      <c r="E347" s="1" t="n">
        <v>46324</v>
      </c>
      <c r="F347" t="inlineStr">
        <is>
          <t>VÄSTERBOTTENS LÄN</t>
        </is>
      </c>
      <c r="G347" t="inlineStr">
        <is>
          <t>DOROTEA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31302-2026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46218</v>
      </c>
      <c r="E348" s="1" t="n">
        <v>46324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46324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45614</v>
      </c>
      <c r="E350" s="1" t="n">
        <v>46324</v>
      </c>
      <c r="F350" t="inlineStr">
        <is>
          <t>VÄSTERBOTTENS LÄN</t>
        </is>
      </c>
      <c r="G350" t="inlineStr">
        <is>
          <t>DOROTEA</t>
        </is>
      </c>
      <c r="I350" t="n">
        <v>11.2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46217</v>
      </c>
      <c r="E351" s="1" t="n">
        <v>46324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46324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33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46217</v>
      </c>
      <c r="E353" s="1" t="n">
        <v>46324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31259-2026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46218</v>
      </c>
      <c r="E354" s="1" t="n">
        <v>46324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46220</v>
      </c>
      <c r="E355" s="1" t="n">
        <v>46324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16985-2026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46114</v>
      </c>
      <c r="E356" s="1" t="n">
        <v>46324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42104-2024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45562</v>
      </c>
      <c r="E357" s="1" t="n">
        <v>46324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16896-2026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46113</v>
      </c>
      <c r="E358" s="1" t="n">
        <v>46324</v>
      </c>
      <c r="F358" t="inlineStr">
        <is>
          <t>VÄSTERBOTTENS LÄN</t>
        </is>
      </c>
      <c r="G358" t="inlineStr">
        <is>
          <t>DOROTEA</t>
        </is>
      </c>
      <c r="H358" t="inlineStr">
        <is>
          <t>Kommuner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46324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8.6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17623-2026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46121</v>
      </c>
      <c r="E360" s="1" t="n">
        <v>46324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17971-2026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46123</v>
      </c>
      <c r="E361" s="1" t="n">
        <v>46324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18130-2026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46125</v>
      </c>
      <c r="E362" s="1" t="n">
        <v>46324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18.3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46126</v>
      </c>
      <c r="E363" s="1" t="n">
        <v>46324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31574-2026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46224</v>
      </c>
      <c r="E364" s="1" t="n">
        <v>46324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46125</v>
      </c>
      <c r="E365" s="1" t="n">
        <v>46324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46125</v>
      </c>
      <c r="E366" s="1" t="n">
        <v>46324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46224</v>
      </c>
      <c r="E367" s="1" t="n">
        <v>46324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46224</v>
      </c>
      <c r="E368" s="1" t="n">
        <v>46324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45789</v>
      </c>
      <c r="E369" s="1" t="n">
        <v>46324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19298-2026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46324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13451-2022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44645</v>
      </c>
      <c r="E371" s="1" t="n">
        <v>46324</v>
      </c>
      <c r="F371" t="inlineStr">
        <is>
          <t>VÄSTERBOTTENS LÄN</t>
        </is>
      </c>
      <c r="G371" t="inlineStr">
        <is>
          <t>DOROTEA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46324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19445-2026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46324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19446-2026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46324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34503-2025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46324</v>
      </c>
      <c r="F375" t="inlineStr">
        <is>
          <t>VÄSTERBOTTENS LÄN</t>
        </is>
      </c>
      <c r="G375" t="inlineStr">
        <is>
          <t>DOROTEA</t>
        </is>
      </c>
      <c r="I375" t="n">
        <v>14.7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20316-2026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46324</v>
      </c>
      <c r="F376" t="inlineStr">
        <is>
          <t>VÄSTERBOTTENS LÄN</t>
        </is>
      </c>
      <c r="G376" t="inlineStr">
        <is>
          <t>DOROTEA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46324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20333-2026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46324</v>
      </c>
      <c r="F378" t="inlineStr">
        <is>
          <t>VÄSTERBOTTENS LÄN</t>
        </is>
      </c>
      <c r="G378" t="inlineStr">
        <is>
          <t>DOROTEA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46324</v>
      </c>
      <c r="F379" t="inlineStr">
        <is>
          <t>VÄSTERBOTTENS LÄN</t>
        </is>
      </c>
      <c r="G379" t="inlineStr">
        <is>
          <t>DOROTEA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44888</v>
      </c>
      <c r="E380" s="1" t="n">
        <v>46324</v>
      </c>
      <c r="F380" t="inlineStr">
        <is>
          <t>VÄSTERBOTTENS LÄN</t>
        </is>
      </c>
      <c r="G380" t="inlineStr">
        <is>
          <t>DOROTEA</t>
        </is>
      </c>
      <c r="I380" t="n">
        <v>15.8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45735</v>
      </c>
      <c r="E381" s="1" t="n">
        <v>46324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45705</v>
      </c>
      <c r="E382" s="1" t="n">
        <v>46324</v>
      </c>
      <c r="F382" t="inlineStr">
        <is>
          <t>VÄSTERBOTTENS LÄN</t>
        </is>
      </c>
      <c r="G382" t="inlineStr">
        <is>
          <t>DOROTEA</t>
        </is>
      </c>
      <c r="I382" t="n">
        <v>13.3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20390-2026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46139</v>
      </c>
      <c r="E383" s="1" t="n">
        <v>46324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44860</v>
      </c>
      <c r="E384" s="1" t="n">
        <v>46324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Sveaskog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45351</v>
      </c>
      <c r="E385" s="1" t="n">
        <v>46324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25028-2024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45461</v>
      </c>
      <c r="E386" s="1" t="n">
        <v>46324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45036</v>
      </c>
      <c r="E387" s="1" t="n">
        <v>46324</v>
      </c>
      <c r="F387" t="inlineStr">
        <is>
          <t>VÄSTERBOTTENS LÄN</t>
        </is>
      </c>
      <c r="G387" t="inlineStr">
        <is>
          <t>DOROTEA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46324</v>
      </c>
      <c r="F388" t="inlineStr">
        <is>
          <t>VÄSTERBOTTENS LÄN</t>
        </is>
      </c>
      <c r="G388" t="inlineStr">
        <is>
          <t>DOROTEA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20327-2026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46324</v>
      </c>
      <c r="F389" t="inlineStr">
        <is>
          <t>VÄSTERBOTTENS LÄN</t>
        </is>
      </c>
      <c r="G389" t="inlineStr">
        <is>
          <t>DOROTEA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45351</v>
      </c>
      <c r="E390" s="1" t="n">
        <v>46324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39088-2026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46287</v>
      </c>
      <c r="E391" s="1" t="n">
        <v>46324</v>
      </c>
      <c r="F391" t="inlineStr">
        <is>
          <t>VÄSTERBOTTENS LÄN</t>
        </is>
      </c>
      <c r="G391" t="inlineStr">
        <is>
          <t>DOROTEA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63294-2025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46324</v>
      </c>
      <c r="F392" t="inlineStr">
        <is>
          <t>VÄSTERBOTTENS LÄN</t>
        </is>
      </c>
      <c r="G392" t="inlineStr">
        <is>
          <t>DOROTEA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57170-2025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46324</v>
      </c>
      <c r="F393" t="inlineStr">
        <is>
          <t>VÄSTERBOTTENS LÄN</t>
        </is>
      </c>
      <c r="G393" t="inlineStr">
        <is>
          <t>DOROTEA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46324</v>
      </c>
      <c r="F394" t="inlineStr">
        <is>
          <t>VÄSTERBOTTENS LÄN</t>
        </is>
      </c>
      <c r="G394" t="inlineStr">
        <is>
          <t>DOROTEA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35457-2025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45855</v>
      </c>
      <c r="E395" s="1" t="n">
        <v>46324</v>
      </c>
      <c r="F395" t="inlineStr">
        <is>
          <t>VÄSTERBOTTENS LÄN</t>
        </is>
      </c>
      <c r="G395" t="inlineStr">
        <is>
          <t>DOROTEA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48006-2023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45198</v>
      </c>
      <c r="E396" s="1" t="n">
        <v>46324</v>
      </c>
      <c r="F396" t="inlineStr">
        <is>
          <t>VÄSTERBOTTENS LÄN</t>
        </is>
      </c>
      <c r="G396" t="inlineStr">
        <is>
          <t>DOROTEA</t>
        </is>
      </c>
      <c r="H396" t="inlineStr">
        <is>
          <t>Övriga statliga verk och myndigheter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20321-2026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46136</v>
      </c>
      <c r="E397" s="1" t="n">
        <v>46324</v>
      </c>
      <c r="F397" t="inlineStr">
        <is>
          <t>VÄSTERBOTTENS LÄN</t>
        </is>
      </c>
      <c r="G397" t="inlineStr">
        <is>
          <t>DOROTEA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46265</v>
      </c>
      <c r="E398" s="1" t="n">
        <v>46324</v>
      </c>
      <c r="F398" t="inlineStr">
        <is>
          <t>VÄSTERBOTTENS LÄN</t>
        </is>
      </c>
      <c r="G398" t="inlineStr">
        <is>
          <t>DOROTEA</t>
        </is>
      </c>
      <c r="H398" t="inlineStr">
        <is>
          <t>Allmännings- och besparingsskogar</t>
        </is>
      </c>
      <c r="I398" t="n">
        <v>16.4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46265</v>
      </c>
      <c r="E399" s="1" t="n">
        <v>46324</v>
      </c>
      <c r="F399" t="inlineStr">
        <is>
          <t>VÄSTERBOTTENS LÄN</t>
        </is>
      </c>
      <c r="G399" t="inlineStr">
        <is>
          <t>DOROTEA</t>
        </is>
      </c>
      <c r="H399" t="inlineStr">
        <is>
          <t>Allmännings- och besparingsskogar</t>
        </is>
      </c>
      <c r="I399" t="n">
        <v>12.6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46248</v>
      </c>
      <c r="E400" s="1" t="n">
        <v>46324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46324</v>
      </c>
      <c r="F401" t="inlineStr">
        <is>
          <t>VÄSTERBOTTENS LÄN</t>
        </is>
      </c>
      <c r="G401" t="inlineStr">
        <is>
          <t>DOROTEA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40178-2026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46293</v>
      </c>
      <c r="E402" s="1" t="n">
        <v>46324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46247</v>
      </c>
      <c r="E403" s="1" t="n">
        <v>46324</v>
      </c>
      <c r="F403" t="inlineStr">
        <is>
          <t>VÄSTERBOTTENS LÄN</t>
        </is>
      </c>
      <c r="G403" t="inlineStr">
        <is>
          <t>DOROTEA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46136</v>
      </c>
      <c r="E404" s="1" t="n">
        <v>46324</v>
      </c>
      <c r="F404" t="inlineStr">
        <is>
          <t>VÄSTERBOTTENS LÄN</t>
        </is>
      </c>
      <c r="G404" t="inlineStr">
        <is>
          <t>DOROTEA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45295</v>
      </c>
      <c r="E405" s="1" t="n">
        <v>46324</v>
      </c>
      <c r="F405" t="inlineStr">
        <is>
          <t>VÄSTERBOTTENS LÄN</t>
        </is>
      </c>
      <c r="G405" t="inlineStr">
        <is>
          <t>DOROTEA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46324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37282-2025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45876</v>
      </c>
      <c r="E407" s="1" t="n">
        <v>46324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46136</v>
      </c>
      <c r="E408" s="1" t="n">
        <v>46324</v>
      </c>
      <c r="F408" t="inlineStr">
        <is>
          <t>VÄSTERBOTTENS LÄN</t>
        </is>
      </c>
      <c r="G408" t="inlineStr">
        <is>
          <t>DOROTEA</t>
        </is>
      </c>
      <c r="I408" t="n">
        <v>17.8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53117-2023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45228</v>
      </c>
      <c r="E409" s="1" t="n">
        <v>46324</v>
      </c>
      <c r="F409" t="inlineStr">
        <is>
          <t>VÄSTERBOTTENS LÄN</t>
        </is>
      </c>
      <c r="G409" t="inlineStr">
        <is>
          <t>DOROTEA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53118-2023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45228</v>
      </c>
      <c r="E410" s="1" t="n">
        <v>46324</v>
      </c>
      <c r="F410" t="inlineStr">
        <is>
          <t>VÄSTERBOTTENS LÄN</t>
        </is>
      </c>
      <c r="G410" t="inlineStr">
        <is>
          <t>DOROTEA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20754-2026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46141</v>
      </c>
      <c r="E411" s="1" t="n">
        <v>46324</v>
      </c>
      <c r="F411" t="inlineStr">
        <is>
          <t>VÄSTERBOTTENS LÄN</t>
        </is>
      </c>
      <c r="G411" t="inlineStr">
        <is>
          <t>DOROTEA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46140</v>
      </c>
      <c r="E412" s="1" t="n">
        <v>46324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33738-2024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45520</v>
      </c>
      <c r="E413" s="1" t="n">
        <v>46324</v>
      </c>
      <c r="F413" t="inlineStr">
        <is>
          <t>VÄSTERBOTTENS LÄN</t>
        </is>
      </c>
      <c r="G413" t="inlineStr">
        <is>
          <t>DOROTEA</t>
        </is>
      </c>
      <c r="I413" t="n">
        <v>11.1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46295</v>
      </c>
      <c r="E414" s="1" t="n">
        <v>46324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44582</v>
      </c>
      <c r="E415" s="1" t="n">
        <v>46324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46965-2024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45586</v>
      </c>
      <c r="E416" s="1" t="n">
        <v>46324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14806-2023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45013</v>
      </c>
      <c r="E417" s="1" t="n">
        <v>46324</v>
      </c>
      <c r="F417" t="inlineStr">
        <is>
          <t>VÄSTERBOTTENS LÄN</t>
        </is>
      </c>
      <c r="G417" t="inlineStr">
        <is>
          <t>DOROTEA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46324</v>
      </c>
      <c r="F418" t="inlineStr">
        <is>
          <t>VÄSTERBOTTENS LÄN</t>
        </is>
      </c>
      <c r="G418" t="inlineStr">
        <is>
          <t>DOROTEA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46324</v>
      </c>
      <c r="F419" t="inlineStr">
        <is>
          <t>VÄSTERBOTTENS LÄN</t>
        </is>
      </c>
      <c r="G419" t="inlineStr">
        <is>
          <t>DOROTEA</t>
        </is>
      </c>
      <c r="I419" t="n">
        <v>13.6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34448-2026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46254</v>
      </c>
      <c r="E420" s="1" t="n">
        <v>46324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27558-2022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44742</v>
      </c>
      <c r="E421" s="1" t="n">
        <v>46324</v>
      </c>
      <c r="F421" t="inlineStr">
        <is>
          <t>VÄSTERBOTTENS LÄN</t>
        </is>
      </c>
      <c r="G421" t="inlineStr">
        <is>
          <t>DOROTEA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45720</v>
      </c>
      <c r="E422" s="1" t="n">
        <v>46324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34187-2026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46324</v>
      </c>
      <c r="F423" t="inlineStr">
        <is>
          <t>VÄSTERBOTTENS LÄN</t>
        </is>
      </c>
      <c r="G423" t="inlineStr">
        <is>
          <t>DOROTEA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46324</v>
      </c>
      <c r="F424" t="inlineStr">
        <is>
          <t>VÄSTERBOTTENS LÄN</t>
        </is>
      </c>
      <c r="G424" t="inlineStr">
        <is>
          <t>DOROTEA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46300</v>
      </c>
      <c r="E425" s="1" t="n">
        <v>46324</v>
      </c>
      <c r="F425" t="inlineStr">
        <is>
          <t>VÄSTERBOTTENS LÄN</t>
        </is>
      </c>
      <c r="G425" t="inlineStr">
        <is>
          <t>DOROTEA</t>
        </is>
      </c>
      <c r="I425" t="n">
        <v>13.1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8852-2024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45356</v>
      </c>
      <c r="E426" s="1" t="n">
        <v>46324</v>
      </c>
      <c r="F426" t="inlineStr">
        <is>
          <t>VÄSTERBOTTENS LÄN</t>
        </is>
      </c>
      <c r="G426" t="inlineStr">
        <is>
          <t>DOROTEA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27305-2024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45471</v>
      </c>
      <c r="E427" s="1" t="n">
        <v>46324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41157-2026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46300</v>
      </c>
      <c r="E428" s="1" t="n">
        <v>46324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45331</v>
      </c>
      <c r="E429" s="1" t="n">
        <v>46324</v>
      </c>
      <c r="F429" t="inlineStr">
        <is>
          <t>VÄSTERBOTTENS LÄN</t>
        </is>
      </c>
      <c r="G429" t="inlineStr">
        <is>
          <t>DOROTEA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57431-2022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44889</v>
      </c>
      <c r="E430" s="1" t="n">
        <v>46324</v>
      </c>
      <c r="F430" t="inlineStr">
        <is>
          <t>VÄSTERBOTTENS LÄN</t>
        </is>
      </c>
      <c r="G430" t="inlineStr">
        <is>
          <t>DOROTEA</t>
        </is>
      </c>
      <c r="I430" t="n">
        <v>15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35500-2026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46262</v>
      </c>
      <c r="E431" s="1" t="n">
        <v>46324</v>
      </c>
      <c r="F431" t="inlineStr">
        <is>
          <t>VÄSTERBOTTENS LÄN</t>
        </is>
      </c>
      <c r="G431" t="inlineStr">
        <is>
          <t>DOROTEA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46261</v>
      </c>
      <c r="E432" s="1" t="n">
        <v>46324</v>
      </c>
      <c r="F432" t="inlineStr">
        <is>
          <t>VÄSTERBOTTENS LÄN</t>
        </is>
      </c>
      <c r="G432" t="inlineStr">
        <is>
          <t>DOROTEA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46261</v>
      </c>
      <c r="E433" s="1" t="n">
        <v>46324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46261</v>
      </c>
      <c r="E434" s="1" t="n">
        <v>46324</v>
      </c>
      <c r="F434" t="inlineStr">
        <is>
          <t>VÄSTERBOTTENS LÄN</t>
        </is>
      </c>
      <c r="G434" t="inlineStr">
        <is>
          <t>DOROTEA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46261</v>
      </c>
      <c r="E435" s="1" t="n">
        <v>46324</v>
      </c>
      <c r="F435" t="inlineStr">
        <is>
          <t>VÄSTERBOTTENS LÄN</t>
        </is>
      </c>
      <c r="G435" t="inlineStr">
        <is>
          <t>DOROTEA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42050-2026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46304</v>
      </c>
      <c r="E436" s="1" t="n">
        <v>46324</v>
      </c>
      <c r="F436" t="inlineStr">
        <is>
          <t>VÄSTERBOTTENS LÄN</t>
        </is>
      </c>
      <c r="G436" t="inlineStr">
        <is>
          <t>DOROTEA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35353-2026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46261</v>
      </c>
      <c r="E437" s="1" t="n">
        <v>46324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45140</v>
      </c>
      <c r="E438" s="1" t="n">
        <v>46324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42036-2026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46304</v>
      </c>
      <c r="E439" s="1" t="n">
        <v>46324</v>
      </c>
      <c r="F439" t="inlineStr">
        <is>
          <t>VÄSTERBOTTENS LÄN</t>
        </is>
      </c>
      <c r="G439" t="inlineStr">
        <is>
          <t>DOROTEA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42037-2026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46304</v>
      </c>
      <c r="E440" s="1" t="n">
        <v>46324</v>
      </c>
      <c r="F440" t="inlineStr">
        <is>
          <t>VÄSTERBOTTENS LÄN</t>
        </is>
      </c>
      <c r="G440" t="inlineStr">
        <is>
          <t>DOROTEA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35000-2023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45142</v>
      </c>
      <c r="E441" s="1" t="n">
        <v>46324</v>
      </c>
      <c r="F441" t="inlineStr">
        <is>
          <t>VÄSTERBOTTENS LÄN</t>
        </is>
      </c>
      <c r="G441" t="inlineStr">
        <is>
          <t>DOROTEA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42681-2026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46309</v>
      </c>
      <c r="E442" s="1" t="n">
        <v>46324</v>
      </c>
      <c r="F442" t="inlineStr">
        <is>
          <t>VÄSTERBOTTENS LÄN</t>
        </is>
      </c>
      <c r="G442" t="inlineStr">
        <is>
          <t>DOROTEA</t>
        </is>
      </c>
      <c r="I442" t="n">
        <v>9.199999999999999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46309</v>
      </c>
      <c r="E443" s="1" t="n">
        <v>46324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46309</v>
      </c>
      <c r="E444" s="1" t="n">
        <v>46324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29454-2024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45483</v>
      </c>
      <c r="E445" s="1" t="n">
        <v>46324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17591-2025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45757</v>
      </c>
      <c r="E446" s="1" t="n">
        <v>46324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45098</v>
      </c>
      <c r="E447" s="1" t="n">
        <v>46324</v>
      </c>
      <c r="F447" t="inlineStr">
        <is>
          <t>VÄSTERBOTTENS LÄN</t>
        </is>
      </c>
      <c r="G447" t="inlineStr">
        <is>
          <t>DOROTEA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8095-2023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46324</v>
      </c>
      <c r="F448" t="inlineStr">
        <is>
          <t>VÄSTERBOTTENS LÄN</t>
        </is>
      </c>
      <c r="G448" t="inlineStr">
        <is>
          <t>DOROTEA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46268</v>
      </c>
      <c r="E449" s="1" t="n">
        <v>46324</v>
      </c>
      <c r="F449" t="inlineStr">
        <is>
          <t>VÄSTERBOTTENS LÄN</t>
        </is>
      </c>
      <c r="G449" t="inlineStr">
        <is>
          <t>DOROTEA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19657-2025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45770</v>
      </c>
      <c r="E450" s="1" t="n">
        <v>46324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43587-2026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46315</v>
      </c>
      <c r="E451" s="1" t="n">
        <v>46324</v>
      </c>
      <c r="F451" t="inlineStr">
        <is>
          <t>VÄSTERBOTTENS LÄN</t>
        </is>
      </c>
      <c r="G451" t="inlineStr">
        <is>
          <t>DOROTEA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59653-2024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45639</v>
      </c>
      <c r="E452" s="1" t="n">
        <v>46324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45672</v>
      </c>
      <c r="E453" s="1" t="n">
        <v>46324</v>
      </c>
      <c r="F453" t="inlineStr">
        <is>
          <t>VÄSTERBOTTENS LÄN</t>
        </is>
      </c>
      <c r="G453" t="inlineStr">
        <is>
          <t>DOROTEA</t>
        </is>
      </c>
      <c r="H453" t="inlineStr">
        <is>
          <t>Kommuner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46324</v>
      </c>
      <c r="F454" t="inlineStr">
        <is>
          <t>VÄSTERBOTTENS LÄN</t>
        </is>
      </c>
      <c r="G454" t="inlineStr">
        <is>
          <t>DOROTEA</t>
        </is>
      </c>
      <c r="I454" t="n">
        <v>28.8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60162-2024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45642</v>
      </c>
      <c r="E455" s="1" t="n">
        <v>46324</v>
      </c>
      <c r="F455" t="inlineStr">
        <is>
          <t>VÄSTERBOTTENS LÄN</t>
        </is>
      </c>
      <c r="G455" t="inlineStr">
        <is>
          <t>DOROTEA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7429-2023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44971</v>
      </c>
      <c r="E456" s="1" t="n">
        <v>46324</v>
      </c>
      <c r="F456" t="inlineStr">
        <is>
          <t>VÄSTERBOTTENS LÄN</t>
        </is>
      </c>
      <c r="G456" t="inlineStr">
        <is>
          <t>DOROTEA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46317</v>
      </c>
      <c r="E457" s="1" t="n">
        <v>46324</v>
      </c>
      <c r="F457" t="inlineStr">
        <is>
          <t>VÄSTERBOTTENS LÄN</t>
        </is>
      </c>
      <c r="G457" t="inlineStr">
        <is>
          <t>DOROTEA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46301</v>
      </c>
      <c r="E458" s="1" t="n">
        <v>46324</v>
      </c>
      <c r="F458" t="inlineStr">
        <is>
          <t>VÄSTERBOTTENS LÄN</t>
        </is>
      </c>
      <c r="G458" t="inlineStr">
        <is>
          <t>DOROTEA</t>
        </is>
      </c>
      <c r="I458" t="n">
        <v>10.5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45720</v>
      </c>
      <c r="E459" s="1" t="n">
        <v>46324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62657-2022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44925</v>
      </c>
      <c r="E460" s="1" t="n">
        <v>46324</v>
      </c>
      <c r="F460" t="inlineStr">
        <is>
          <t>VÄSTERBOTTENS LÄN</t>
        </is>
      </c>
      <c r="G460" t="inlineStr">
        <is>
          <t>DOROTEA</t>
        </is>
      </c>
      <c r="I460" t="n">
        <v>22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37105-2024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45539</v>
      </c>
      <c r="E461" s="1" t="n">
        <v>46324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44858-2026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46323</v>
      </c>
      <c r="E462" s="1" t="n">
        <v>46324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Sveaskog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38087-2026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46281</v>
      </c>
      <c r="E463" s="1" t="n">
        <v>46324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44604-2026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46322</v>
      </c>
      <c r="E464" s="1" t="n">
        <v>46324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45069</v>
      </c>
      <c r="E465" s="1" t="n">
        <v>46324</v>
      </c>
      <c r="F465" t="inlineStr">
        <is>
          <t>VÄSTERBOTTENS LÄN</t>
        </is>
      </c>
      <c r="G465" t="inlineStr">
        <is>
          <t>DOROTEA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45614</v>
      </c>
      <c r="E466" s="1" t="n">
        <v>46324</v>
      </c>
      <c r="F466" t="inlineStr">
        <is>
          <t>VÄSTERBOTTENS LÄN</t>
        </is>
      </c>
      <c r="G466" t="inlineStr">
        <is>
          <t>DOROTEA</t>
        </is>
      </c>
      <c r="I466" t="n">
        <v>26.5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60163-2024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45642</v>
      </c>
      <c r="E467" s="1" t="n">
        <v>46324</v>
      </c>
      <c r="F467" t="inlineStr">
        <is>
          <t>VÄSTERBOTTENS LÄN</t>
        </is>
      </c>
      <c r="G467" t="inlineStr">
        <is>
          <t>DOROTEA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46279</v>
      </c>
      <c r="E468" s="1" t="n">
        <v>46324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44820-2024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46324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52393-2023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46324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45713</v>
      </c>
      <c r="E471" s="1" t="n">
        <v>46324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44786-2026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46322</v>
      </c>
      <c r="E472" s="1" t="n">
        <v>46324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9.199999999999999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45217</v>
      </c>
      <c r="E473" s="1" t="n">
        <v>46324</v>
      </c>
      <c r="F473" t="inlineStr">
        <is>
          <t>VÄSTERBOTTENS LÄN</t>
        </is>
      </c>
      <c r="G473" t="inlineStr">
        <is>
          <t>DOROTEA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8088-2023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46324</v>
      </c>
      <c r="F474" t="inlineStr">
        <is>
          <t>VÄSTERBOTTENS LÄN</t>
        </is>
      </c>
      <c r="G474" t="inlineStr">
        <is>
          <t>DOROTEA</t>
        </is>
      </c>
      <c r="I474" t="n">
        <v>14.8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44956</v>
      </c>
      <c r="E475" s="1" t="n">
        <v>46324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46321</v>
      </c>
      <c r="E476" s="1" t="n">
        <v>46324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28.4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44941-2026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46323</v>
      </c>
      <c r="E477" s="1" t="n">
        <v>46324</v>
      </c>
      <c r="F477" t="inlineStr">
        <is>
          <t>VÄSTERBOTTENS LÄN</t>
        </is>
      </c>
      <c r="G477" t="inlineStr">
        <is>
          <t>DOROTEA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2945-2024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45506</v>
      </c>
      <c r="E478" s="1" t="n">
        <v>46324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10.2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1058-2025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45749</v>
      </c>
      <c r="E479" s="1" t="n">
        <v>46324</v>
      </c>
      <c r="F479" t="inlineStr">
        <is>
          <t>VÄSTERBOTTENS LÄN</t>
        </is>
      </c>
      <c r="G479" t="inlineStr">
        <is>
          <t>DOROTEA</t>
        </is>
      </c>
      <c r="I479" t="n">
        <v>10.9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844-2025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45733</v>
      </c>
      <c r="E480" s="1" t="n">
        <v>46324</v>
      </c>
      <c r="F480" t="inlineStr">
        <is>
          <t>VÄSTERBOTTENS LÄN</t>
        </is>
      </c>
      <c r="G480" t="inlineStr">
        <is>
          <t>DOROTEA</t>
        </is>
      </c>
      <c r="H480" t="inlineStr">
        <is>
          <t>SCA</t>
        </is>
      </c>
      <c r="I480" t="n">
        <v>1293.5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2195-2025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45858</v>
      </c>
      <c r="E481" s="1" t="n">
        <v>46324</v>
      </c>
      <c r="F481" t="inlineStr">
        <is>
          <t>VÄSTERBOTTENS LÄN</t>
        </is>
      </c>
      <c r="G481" t="inlineStr">
        <is>
          <t>DOROTEA</t>
        </is>
      </c>
      <c r="I481" t="n">
        <v>27.4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2283-2025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45876</v>
      </c>
      <c r="E482" s="1" t="n">
        <v>46324</v>
      </c>
      <c r="F482" t="inlineStr">
        <is>
          <t>VÄSTERBOTTENS LÄN</t>
        </is>
      </c>
      <c r="G482" t="inlineStr">
        <is>
          <t>DOROTEA</t>
        </is>
      </c>
      <c r="H482" t="inlineStr">
        <is>
          <t>SCA</t>
        </is>
      </c>
      <c r="I482" t="n">
        <v>10.1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2360-2025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45889</v>
      </c>
      <c r="E483" s="1" t="n">
        <v>46324</v>
      </c>
      <c r="F483" t="inlineStr">
        <is>
          <t>VÄSTERBOTTENS LÄN</t>
        </is>
      </c>
      <c r="G483" t="inlineStr">
        <is>
          <t>DOROTEA</t>
        </is>
      </c>
      <c r="H483" t="inlineStr">
        <is>
          <t>SCA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1763-2026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46189</v>
      </c>
      <c r="E484" s="1" t="n">
        <v>46324</v>
      </c>
      <c r="F484" t="inlineStr">
        <is>
          <t>VÄSTERBOTTENS LÄN</t>
        </is>
      </c>
      <c r="G484" t="inlineStr">
        <is>
          <t>DOROTEA</t>
        </is>
      </c>
      <c r="H484" t="inlineStr">
        <is>
          <t>SCA</t>
        </is>
      </c>
      <c r="I484" t="n">
        <v>13.2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2407-2026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46279</v>
      </c>
      <c r="E485" s="1" t="n">
        <v>46324</v>
      </c>
      <c r="F485" t="inlineStr">
        <is>
          <t>VÄSTERBOTTENS LÄN</t>
        </is>
      </c>
      <c r="G485" t="inlineStr">
        <is>
          <t>DOROTEA</t>
        </is>
      </c>
      <c r="H485" t="inlineStr">
        <is>
          <t>SCA</t>
        </is>
      </c>
      <c r="I485" t="n">
        <v>7.1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2026-10-29T03:09:52Z</dcterms:created>
  <dcterms:modified xmlns:dcterms="http://purl.org/dc/terms/" xmlns:xsi="http://www.w3.org/2001/XMLSchema-instance" xsi:type="dcterms:W3CDTF">2026-10-29T03:09:53Z</dcterms:modified>
</cp:coreProperties>
</file>