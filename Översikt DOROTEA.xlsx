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46255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46255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46255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46255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46255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57581-2024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45630</v>
      </c>
      <c r="E7" s="1" t="n">
        <v>46255</v>
      </c>
      <c r="F7" t="inlineStr">
        <is>
          <t>VÄSTERBOTTENS LÄN</t>
        </is>
      </c>
      <c r="G7" t="inlineStr">
        <is>
          <t>DOROTEA</t>
        </is>
      </c>
      <c r="I7" t="n">
        <v>9.1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40</v>
      </c>
      <c r="U7" t="n">
        <v>40</v>
      </c>
      <c r="V7" s="2" t="inlineStr">
        <is>
          <t>Garnlav
Lunglav
Skrovellav
Talltagel
Talltita
Tretåig hackspett
Bårdlav
Luddlav
Norrlandslav
Skinnlav
Spillkråka
Fiskgjuse</t>
        </is>
      </c>
      <c r="W7">
        <f>HYPERLINK("https://klasma.github.io/Logging_2425/artfynd/A 57581-2024 artfynd.xlsx", "A 57581-2024")</f>
        <v/>
      </c>
      <c r="X7">
        <f>HYPERLINK("https://klasma.github.io/Logging_2425/kartor/A 57581-2024 karta.png", "A 57581-2024")</f>
        <v/>
      </c>
      <c r="Y7">
        <f>HYPERLINK("https://klasma.github.io/Logging_2425/kartor_geotiff/A 57581-2024 georefererad karta.tif", "A 57581-2024")</f>
        <v/>
      </c>
      <c r="AA7">
        <f>HYPERLINK("https://klasma.github.io/Logging_2425/klagomål/A 57581-2024 FSC-klagomål.docx", "A 57581-2024")</f>
        <v/>
      </c>
      <c r="AB7">
        <f>HYPERLINK("https://klasma.github.io/Logging_2425/klagomålsmail/A 57581-2024 FSC-klagomål mail.docx", "A 57581-2024")</f>
        <v/>
      </c>
      <c r="AC7">
        <f>HYPERLINK("https://klasma.github.io/Logging_2425/tillsyn/A 57581-2024 tillsynsbegäran.docx", "A 57581-2024")</f>
        <v/>
      </c>
      <c r="AD7">
        <f>HYPERLINK("https://klasma.github.io/Logging_2425/tillsynsmail/A 57581-2024 tillsynsbegäran mail.docx", "A 57581-2024")</f>
        <v/>
      </c>
      <c r="AE7">
        <f>HYPERLINK("https://klasma.github.io/Logging_2425/fåglar/A 57581-2024 prioriterade fågelarter.docx", "A 57581-2024")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46255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46255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46255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46255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46255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46255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46255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33659-2023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46255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21.1</v>
      </c>
      <c r="J15" t="n">
        <v>2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36</v>
      </c>
      <c r="U15" t="n">
        <v>36</v>
      </c>
      <c r="V15" s="2" t="inlineStr">
        <is>
          <t>Garnlav
Harticka
Lavskrika
Stjärntagging
Tretåig hackspett
Trådticka</t>
        </is>
      </c>
      <c r="W15">
        <f>HYPERLINK("https://klasma.github.io/Logging_2425/artfynd/A 33659-2023 artfynd.xlsx", "A 33659-2023")</f>
        <v/>
      </c>
      <c r="X15">
        <f>HYPERLINK("https://klasma.github.io/Logging_2425/kartor/A 33659-2023 karta.png", "A 33659-2023")</f>
        <v/>
      </c>
      <c r="Y15">
        <f>HYPERLINK("https://klasma.github.io/Logging_2425/kartor_geotiff/A 33659-2023 georefererad karta.tif", "A 33659-2023")</f>
        <v/>
      </c>
      <c r="AA15">
        <f>HYPERLINK("https://klasma.github.io/Logging_2425/klagomål/A 33659-2023 FSC-klagomål.docx", "A 33659-2023")</f>
        <v/>
      </c>
      <c r="AB15">
        <f>HYPERLINK("https://klasma.github.io/Logging_2425/klagomålsmail/A 33659-2023 FSC-klagomål mail.docx", "A 33659-2023")</f>
        <v/>
      </c>
      <c r="AC15">
        <f>HYPERLINK("https://klasma.github.io/Logging_2425/tillsyn/A 33659-2023 tillsynsbegäran.docx", "A 33659-2023")</f>
        <v/>
      </c>
      <c r="AD15">
        <f>HYPERLINK("https://klasma.github.io/Logging_2425/tillsynsmail/A 33659-2023 tillsynsbegäran mail.docx", "A 33659-2023")</f>
        <v/>
      </c>
      <c r="AE15">
        <f>HYPERLINK("https://klasma.github.io/Logging_2425/fåglar/A 33659-2023 prioriterade fågelarter.docx", "A 33659-2023")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46255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46255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46255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46255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A 28671-2026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46198</v>
      </c>
      <c r="E20" s="1" t="n">
        <v>46255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27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Ostticka
Rosenticka
Skinnlav
Stuplav</t>
        </is>
      </c>
      <c r="W20">
        <f>HYPERLINK("https://klasma.github.io/Logging_2425/artfynd/A 28671-2026 artfynd.xlsx", "A 28671-2026")</f>
        <v/>
      </c>
      <c r="X20">
        <f>HYPERLINK("https://klasma.github.io/Logging_2425/kartor/A 28671-2026 karta.png", "A 28671-2026")</f>
        <v/>
      </c>
      <c r="Y20">
        <f>HYPERLINK("https://klasma.github.io/Logging_2425/kartor_geotiff/A 28671-2026 georefererad karta.tif", "A 28671-2026")</f>
        <v/>
      </c>
      <c r="AA20">
        <f>HYPERLINK("https://klasma.github.io/Logging_2425/klagomål/A 28671-2026 FSC-klagomål.docx", "A 28671-2026")</f>
        <v/>
      </c>
      <c r="AB20">
        <f>HYPERLINK("https://klasma.github.io/Logging_2425/klagomålsmail/A 28671-2026 FSC-klagomål mail.docx", "A 28671-2026")</f>
        <v/>
      </c>
      <c r="AC20">
        <f>HYPERLINK("https://klasma.github.io/Logging_2425/tillsyn/A 28671-2026 tillsynsbegäran.docx", "A 28671-2026")</f>
        <v/>
      </c>
      <c r="AD20">
        <f>HYPERLINK("https://klasma.github.io/Logging_2425/tillsynsmail/A 28671-2026 tillsynsbegäran mail.docx", "A 28671-2026")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46255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46255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46255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46255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A 21672-2023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46255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7.4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Doftskinn
Skrovellav
Ullticka</t>
        </is>
      </c>
      <c r="W25">
        <f>HYPERLINK("https://klasma.github.io/Logging_2425/artfynd/A 21672-2023 artfynd.xlsx", "A 21672-2023")</f>
        <v/>
      </c>
      <c r="X25">
        <f>HYPERLINK("https://klasma.github.io/Logging_2425/kartor/A 21672-2023 karta.png", "A 21672-2023")</f>
        <v/>
      </c>
      <c r="Y25">
        <f>HYPERLINK("https://klasma.github.io/Logging_2425/kartor_geotiff/A 21672-2023 georefererad karta.tif", "A 21672-2023")</f>
        <v/>
      </c>
      <c r="AA25">
        <f>HYPERLINK("https://klasma.github.io/Logging_2425/klagomål/A 21672-2023 FSC-klagomål.docx", "A 21672-2023")</f>
        <v/>
      </c>
      <c r="AB25">
        <f>HYPERLINK("https://klasma.github.io/Logging_2425/klagomålsmail/A 21672-2023 FSC-klagomål mail.docx", "A 21672-2023")</f>
        <v/>
      </c>
      <c r="AC25">
        <f>HYPERLINK("https://klasma.github.io/Logging_2425/tillsyn/A 21672-2023 tillsynsbegäran.docx", "A 21672-2023")</f>
        <v/>
      </c>
      <c r="AD25">
        <f>HYPERLINK("https://klasma.github.io/Logging_2425/tillsynsmail/A 21672-2023 tillsynsbegäran mail.docx", "A 21672-2023")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46255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40013-2024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45553</v>
      </c>
      <c r="E27" s="1" t="n">
        <v>46255</v>
      </c>
      <c r="F27" t="inlineStr">
        <is>
          <t>VÄSTERBOTTENS LÄN</t>
        </is>
      </c>
      <c r="G27" t="inlineStr">
        <is>
          <t>DOROTEA</t>
        </is>
      </c>
      <c r="H27" t="inlineStr">
        <is>
          <t>Övriga statliga verk och myndigheter</t>
        </is>
      </c>
      <c r="I27" t="n">
        <v>1.5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Tretåig hackspett
Tjäder</t>
        </is>
      </c>
      <c r="W27">
        <f>HYPERLINK("https://klasma.github.io/Logging_2425/artfynd/A 40013-2024 artfynd.xlsx", "A 40013-2024")</f>
        <v/>
      </c>
      <c r="X27">
        <f>HYPERLINK("https://klasma.github.io/Logging_2425/kartor/A 40013-2024 karta.png", "A 40013-2024")</f>
        <v/>
      </c>
      <c r="Y27">
        <f>HYPERLINK("https://klasma.github.io/Logging_2425/kartor_geotiff/A 40013-2024 georefererad karta.tif", "A 40013-2024")</f>
        <v/>
      </c>
      <c r="AA27">
        <f>HYPERLINK("https://klasma.github.io/Logging_2425/klagomål/A 40013-2024 FSC-klagomål.docx", "A 40013-2024")</f>
        <v/>
      </c>
      <c r="AB27">
        <f>HYPERLINK("https://klasma.github.io/Logging_2425/klagomålsmail/A 40013-2024 FSC-klagomål mail.docx", "A 40013-2024")</f>
        <v/>
      </c>
      <c r="AC27">
        <f>HYPERLINK("https://klasma.github.io/Logging_2425/tillsyn/A 40013-2024 tillsynsbegäran.docx", "A 40013-2024")</f>
        <v/>
      </c>
      <c r="AD27">
        <f>HYPERLINK("https://klasma.github.io/Logging_2425/tillsynsmail/A 40013-2024 tillsynsbegäran mail.docx", "A 40013-2024")</f>
        <v/>
      </c>
      <c r="AE27">
        <f>HYPERLINK("https://klasma.github.io/Logging_2425/fåglar/A 40013-2024 prioriterade fågelarter.docx", "A 40013-2024")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46255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46255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46255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46255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46255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46255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A 17825-2024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45418</v>
      </c>
      <c r="E34" s="1" t="n">
        <v>46255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24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Skrovellav</t>
        </is>
      </c>
      <c r="W34">
        <f>HYPERLINK("https://klasma.github.io/Logging_2425/artfynd/A 17825-2024 artfynd.xlsx", "A 17825-2024")</f>
        <v/>
      </c>
      <c r="X34">
        <f>HYPERLINK("https://klasma.github.io/Logging_2425/kartor/A 17825-2024 karta.png", "A 17825-2024")</f>
        <v/>
      </c>
      <c r="Y34">
        <f>HYPERLINK("https://klasma.github.io/Logging_2425/kartor_geotiff/A 17825-2024 georefererad karta.tif", "A 17825-2024")</f>
        <v/>
      </c>
      <c r="AA34">
        <f>HYPERLINK("https://klasma.github.io/Logging_2425/klagomål/A 17825-2024 FSC-klagomål.docx", "A 17825-2024")</f>
        <v/>
      </c>
      <c r="AB34">
        <f>HYPERLINK("https://klasma.github.io/Logging_2425/klagomålsmail/A 17825-2024 FSC-klagomål mail.docx", "A 17825-2024")</f>
        <v/>
      </c>
      <c r="AC34">
        <f>HYPERLINK("https://klasma.github.io/Logging_2425/tillsyn/A 17825-2024 tillsynsbegäran.docx", "A 17825-2024")</f>
        <v/>
      </c>
      <c r="AD34">
        <f>HYPERLINK("https://klasma.github.io/Logging_2425/tillsynsmail/A 17825-2024 tillsynsbegäran mail.docx", "A 17825-2024")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46255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A 48089-2022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44855</v>
      </c>
      <c r="E36" s="1" t="n">
        <v>46255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9.199999999999999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Gammelgransskål</t>
        </is>
      </c>
      <c r="W36">
        <f>HYPERLINK("https://klasma.github.io/Logging_2425/artfynd/A 48089-2022 artfynd.xlsx", "A 48089-2022")</f>
        <v/>
      </c>
      <c r="X36">
        <f>HYPERLINK("https://klasma.github.io/Logging_2425/kartor/A 48089-2022 karta.png", "A 48089-2022")</f>
        <v/>
      </c>
      <c r="Y36">
        <f>HYPERLINK("https://klasma.github.io/Logging_2425/kartor_geotiff/A 48089-2022 georefererad karta.tif", "A 48089-2022")</f>
        <v/>
      </c>
      <c r="AA36">
        <f>HYPERLINK("https://klasma.github.io/Logging_2425/klagomål/A 48089-2022 FSC-klagomål.docx", "A 48089-2022")</f>
        <v/>
      </c>
      <c r="AB36">
        <f>HYPERLINK("https://klasma.github.io/Logging_2425/klagomålsmail/A 48089-2022 FSC-klagomål mail.docx", "A 48089-2022")</f>
        <v/>
      </c>
      <c r="AC36">
        <f>HYPERLINK("https://klasma.github.io/Logging_2425/tillsyn/A 48089-2022 tillsynsbegäran.docx", "A 48089-2022")</f>
        <v/>
      </c>
      <c r="AD36">
        <f>HYPERLINK("https://klasma.github.io/Logging_2425/tillsynsmail/A 48089-2022 tillsynsbegäran mail.docx", "A 48089-2022")</f>
        <v/>
      </c>
    </row>
    <row r="37" ht="15" customHeight="1">
      <c r="A37" t="inlineStr">
        <is>
          <t>A 41079-2025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46255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HYPERLINK("https://klasma.github.io/Logging_2425/artfynd/A 41079-2025 artfynd.xlsx", "A 41079-2025")</f>
        <v/>
      </c>
      <c r="X37">
        <f>HYPERLINK("https://klasma.github.io/Logging_2425/kartor/A 41079-2025 karta.png", "A 41079-2025")</f>
        <v/>
      </c>
      <c r="Y37">
        <f>HYPERLINK("https://klasma.github.io/Logging_2425/kartor_geotiff/A 41079-2025 georefererad karta.tif", "A 41079-2025")</f>
        <v/>
      </c>
      <c r="AA37">
        <f>HYPERLINK("https://klasma.github.io/Logging_2425/klagomål/A 41079-2025 FSC-klagomål.docx", "A 41079-2025")</f>
        <v/>
      </c>
      <c r="AB37">
        <f>HYPERLINK("https://klasma.github.io/Logging_2425/klagomålsmail/A 41079-2025 FSC-klagomål mail.docx", "A 41079-2025")</f>
        <v/>
      </c>
      <c r="AC37">
        <f>HYPERLINK("https://klasma.github.io/Logging_2425/tillsyn/A 41079-2025 tillsynsbegäran.docx", "A 41079-2025")</f>
        <v/>
      </c>
      <c r="AD37">
        <f>HYPERLINK("https://klasma.github.io/Logging_2425/tillsynsmail/A 41079-2025 tillsynsbegäran mail.docx", "A 41079-2025")</f>
        <v/>
      </c>
    </row>
    <row r="38" ht="15" customHeight="1">
      <c r="A38" t="inlineStr">
        <is>
          <t>A 20600-2023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45057</v>
      </c>
      <c r="E38" s="1" t="n">
        <v>46255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HYPERLINK("https://klasma.github.io/Logging_2425/artfynd/A 20600-2023 artfynd.xlsx", "A 20600-2023")</f>
        <v/>
      </c>
      <c r="X38">
        <f>HYPERLINK("https://klasma.github.io/Logging_2425/kartor/A 20600-2023 karta.png", "A 20600-2023")</f>
        <v/>
      </c>
      <c r="Y38">
        <f>HYPERLINK("https://klasma.github.io/Logging_2425/kartor_geotiff/A 20600-2023 georefererad karta.tif", "A 20600-2023")</f>
        <v/>
      </c>
      <c r="AA38">
        <f>HYPERLINK("https://klasma.github.io/Logging_2425/klagomål/A 20600-2023 FSC-klagomål.docx", "A 20600-2023")</f>
        <v/>
      </c>
      <c r="AB38">
        <f>HYPERLINK("https://klasma.github.io/Logging_2425/klagomålsmail/A 20600-2023 FSC-klagomål mail.docx", "A 20600-2023")</f>
        <v/>
      </c>
      <c r="AC38">
        <f>HYPERLINK("https://klasma.github.io/Logging_2425/tillsyn/A 20600-2023 tillsynsbegäran.docx", "A 20600-2023")</f>
        <v/>
      </c>
      <c r="AD38">
        <f>HYPERLINK("https://klasma.github.io/Logging_2425/tillsynsmail/A 20600-2023 tillsynsbegäran mail.docx", "A 20600-2023")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46255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46255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30286-2023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46255</v>
      </c>
      <c r="F41" t="inlineStr">
        <is>
          <t>VÄSTERBOTTENS LÄN</t>
        </is>
      </c>
      <c r="G41" t="inlineStr">
        <is>
          <t>DOROTEA</t>
        </is>
      </c>
      <c r="I41" t="n">
        <v>21.2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Skogsrör</t>
        </is>
      </c>
      <c r="W41">
        <f>HYPERLINK("https://klasma.github.io/Logging_2425/artfynd/A 30286-2023 artfynd.xlsx", "A 30286-2023")</f>
        <v/>
      </c>
      <c r="X41">
        <f>HYPERLINK("https://klasma.github.io/Logging_2425/kartor/A 30286-2023 karta.png", "A 30286-2023")</f>
        <v/>
      </c>
      <c r="Y41">
        <f>HYPERLINK("https://klasma.github.io/Logging_2425/kartor_geotiff/A 30286-2023 georefererad karta.tif", "A 30286-2023")</f>
        <v/>
      </c>
      <c r="AA41">
        <f>HYPERLINK("https://klasma.github.io/Logging_2425/klagomål/A 30286-2023 FSC-klagomål.docx", "A 30286-2023")</f>
        <v/>
      </c>
      <c r="AB41">
        <f>HYPERLINK("https://klasma.github.io/Logging_2425/klagomålsmail/A 30286-2023 FSC-klagomål mail.docx", "A 30286-2023")</f>
        <v/>
      </c>
      <c r="AC41">
        <f>HYPERLINK("https://klasma.github.io/Logging_2425/tillsyn/A 30286-2023 tillsynsbegäran.docx", "A 30286-2023")</f>
        <v/>
      </c>
      <c r="AD41">
        <f>HYPERLINK("https://klasma.github.io/Logging_2425/tillsynsmail/A 30286-2023 tillsynsbegäran mail.docx", "A 30286-2023")</f>
        <v/>
      </c>
    </row>
    <row r="42" ht="15" customHeight="1">
      <c r="A42" t="inlineStr">
        <is>
          <t>A 36318-2024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46255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8</v>
      </c>
      <c r="U42" t="n">
        <v>8</v>
      </c>
      <c r="V42" s="2" t="inlineStr">
        <is>
          <t>Garnlav</t>
        </is>
      </c>
      <c r="W42">
        <f>HYPERLINK("https://klasma.github.io/Logging_2425/artfynd/A 36318-2024 artfynd.xlsx", "A 36318-2024")</f>
        <v/>
      </c>
      <c r="X42">
        <f>HYPERLINK("https://klasma.github.io/Logging_2425/kartor/A 36318-2024 karta.png", "A 36318-2024")</f>
        <v/>
      </c>
      <c r="Y42">
        <f>HYPERLINK("https://klasma.github.io/Logging_2425/kartor_geotiff/A 36318-2024 georefererad karta.tif", "A 36318-2024")</f>
        <v/>
      </c>
      <c r="AA42">
        <f>HYPERLINK("https://klasma.github.io/Logging_2425/klagomål/A 36318-2024 FSC-klagomål.docx", "A 36318-2024")</f>
        <v/>
      </c>
      <c r="AB42">
        <f>HYPERLINK("https://klasma.github.io/Logging_2425/klagomålsmail/A 36318-2024 FSC-klagomål mail.docx", "A 36318-2024")</f>
        <v/>
      </c>
      <c r="AC42">
        <f>HYPERLINK("https://klasma.github.io/Logging_2425/tillsyn/A 36318-2024 tillsynsbegäran.docx", "A 36318-2024")</f>
        <v/>
      </c>
      <c r="AD42">
        <f>HYPERLINK("https://klasma.github.io/Logging_2425/tillsynsmail/A 36318-2024 tillsynsbegäran mail.docx", "A 36318-2024")</f>
        <v/>
      </c>
    </row>
    <row r="43" ht="15" customHeight="1">
      <c r="A43" t="inlineStr">
        <is>
          <t>A 12005-2023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44994</v>
      </c>
      <c r="E43" s="1" t="n">
        <v>46255</v>
      </c>
      <c r="F43" t="inlineStr">
        <is>
          <t>VÄSTERBOTTENS LÄN</t>
        </is>
      </c>
      <c r="G43" t="inlineStr">
        <is>
          <t>DOROTEA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HYPERLINK("https://klasma.github.io/Logging_2425/artfynd/A 12005-2023 artfynd.xlsx", "A 12005-2023")</f>
        <v/>
      </c>
      <c r="X43">
        <f>HYPERLINK("https://klasma.github.io/Logging_2425/kartor/A 12005-2023 karta.png", "A 12005-2023")</f>
        <v/>
      </c>
      <c r="Y43">
        <f>HYPERLINK("https://klasma.github.io/Logging_2425/kartor_geotiff/A 12005-2023 georefererad karta.tif", "A 12005-2023")</f>
        <v/>
      </c>
      <c r="AA43">
        <f>HYPERLINK("https://klasma.github.io/Logging_2425/klagomål/A 12005-2023 FSC-klagomål.docx", "A 12005-2023")</f>
        <v/>
      </c>
      <c r="AB43">
        <f>HYPERLINK("https://klasma.github.io/Logging_2425/klagomålsmail/A 12005-2023 FSC-klagomål mail.docx", "A 12005-2023")</f>
        <v/>
      </c>
      <c r="AC43">
        <f>HYPERLINK("https://klasma.github.io/Logging_2425/tillsyn/A 12005-2023 tillsynsbegäran.docx", "A 12005-2023")</f>
        <v/>
      </c>
      <c r="AD43">
        <f>HYPERLINK("https://klasma.github.io/Logging_2425/tillsynsmail/A 12005-2023 tillsynsbegäran mail.docx", "A 12005-2023")</f>
        <v/>
      </c>
    </row>
    <row r="44" ht="15" customHeight="1">
      <c r="A44" t="inlineStr">
        <is>
          <t>A 57058-2024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46255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HYPERLINK("https://klasma.github.io/Logging_2425/artfynd/A 57058-2024 artfynd.xlsx", "A 57058-2024")</f>
        <v/>
      </c>
      <c r="X44">
        <f>HYPERLINK("https://klasma.github.io/Logging_2425/kartor/A 57058-2024 karta.png", "A 57058-2024")</f>
        <v/>
      </c>
      <c r="Y44">
        <f>HYPERLINK("https://klasma.github.io/Logging_2425/kartor_geotiff/A 57058-2024 georefererad karta.tif", "A 57058-2024")</f>
        <v/>
      </c>
      <c r="AA44">
        <f>HYPERLINK("https://klasma.github.io/Logging_2425/klagomål/A 57058-2024 FSC-klagomål.docx", "A 57058-2024")</f>
        <v/>
      </c>
      <c r="AB44">
        <f>HYPERLINK("https://klasma.github.io/Logging_2425/klagomålsmail/A 57058-2024 FSC-klagomål mail.docx", "A 57058-2024")</f>
        <v/>
      </c>
      <c r="AC44">
        <f>HYPERLINK("https://klasma.github.io/Logging_2425/tillsyn/A 57058-2024 tillsynsbegäran.docx", "A 57058-2024")</f>
        <v/>
      </c>
      <c r="AD44">
        <f>HYPERLINK("https://klasma.github.io/Logging_2425/tillsynsmail/A 57058-2024 tillsynsbegäran mail.docx", "A 57058-2024")</f>
        <v/>
      </c>
    </row>
    <row r="45" ht="15" customHeight="1">
      <c r="A45" t="inlineStr">
        <is>
          <t>A 53309-2022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44878</v>
      </c>
      <c r="E45" s="1" t="n">
        <v>46255</v>
      </c>
      <c r="F45" t="inlineStr">
        <is>
          <t>VÄSTERBOTTENS LÄN</t>
        </is>
      </c>
      <c r="G45" t="inlineStr">
        <is>
          <t>DOROTEA</t>
        </is>
      </c>
      <c r="I45" t="n">
        <v>6.6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Göktyta</t>
        </is>
      </c>
      <c r="W45">
        <f>HYPERLINK("https://klasma.github.io/Logging_2425/artfynd/A 53309-2022 artfynd.xlsx", "A 53309-2022")</f>
        <v/>
      </c>
      <c r="X45">
        <f>HYPERLINK("https://klasma.github.io/Logging_2425/kartor/A 53309-2022 karta.png", "A 53309-2022")</f>
        <v/>
      </c>
      <c r="Y45">
        <f>HYPERLINK("https://klasma.github.io/Logging_2425/kartor_geotiff/A 53309-2022 georefererad karta.tif", "A 53309-2022")</f>
        <v/>
      </c>
      <c r="AA45">
        <f>HYPERLINK("https://klasma.github.io/Logging_2425/klagomål/A 53309-2022 FSC-klagomål.docx", "A 53309-2022")</f>
        <v/>
      </c>
      <c r="AB45">
        <f>HYPERLINK("https://klasma.github.io/Logging_2425/klagomålsmail/A 53309-2022 FSC-klagomål mail.docx", "A 53309-2022")</f>
        <v/>
      </c>
      <c r="AC45">
        <f>HYPERLINK("https://klasma.github.io/Logging_2425/tillsyn/A 53309-2022 tillsynsbegäran.docx", "A 53309-2022")</f>
        <v/>
      </c>
      <c r="AD45">
        <f>HYPERLINK("https://klasma.github.io/Logging_2425/tillsynsmail/A 53309-2022 tillsynsbegäran mail.docx", "A 53309-2022")</f>
        <v/>
      </c>
      <c r="AE45">
        <f>HYPERLINK("https://klasma.github.io/Logging_2425/fåglar/A 53309-2022 prioriterade fågelarter.docx", "A 53309-2022")</f>
        <v/>
      </c>
    </row>
    <row r="46" ht="15" customHeight="1">
      <c r="A46" t="inlineStr">
        <is>
          <t>A 46815-2023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45198</v>
      </c>
      <c r="E46" s="1" t="n">
        <v>46255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Harticka</t>
        </is>
      </c>
      <c r="W46">
        <f>HYPERLINK("https://klasma.github.io/Logging_2425/artfynd/A 46815-2023 artfynd.xlsx", "A 46815-2023")</f>
        <v/>
      </c>
      <c r="X46">
        <f>HYPERLINK("https://klasma.github.io/Logging_2425/kartor/A 46815-2023 karta.png", "A 46815-2023")</f>
        <v/>
      </c>
      <c r="Y46">
        <f>HYPERLINK("https://klasma.github.io/Logging_2425/kartor_geotiff/A 46815-2023 georefererad karta.tif", "A 46815-2023")</f>
        <v/>
      </c>
      <c r="AA46">
        <f>HYPERLINK("https://klasma.github.io/Logging_2425/klagomål/A 46815-2023 FSC-klagomål.docx", "A 46815-2023")</f>
        <v/>
      </c>
      <c r="AB46">
        <f>HYPERLINK("https://klasma.github.io/Logging_2425/klagomålsmail/A 46815-2023 FSC-klagomål mail.docx", "A 46815-2023")</f>
        <v/>
      </c>
      <c r="AC46">
        <f>HYPERLINK("https://klasma.github.io/Logging_2425/tillsyn/A 46815-2023 tillsynsbegäran.docx", "A 46815-2023")</f>
        <v/>
      </c>
      <c r="AD46">
        <f>HYPERLINK("https://klasma.github.io/Logging_2425/tillsynsmail/A 46815-2023 tillsynsbegäran mail.docx", "A 46815-2023")</f>
        <v/>
      </c>
    </row>
    <row r="47" ht="15" customHeight="1">
      <c r="A47" t="inlineStr">
        <is>
          <t>A 1278-2024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45302</v>
      </c>
      <c r="E47" s="1" t="n">
        <v>46255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Gräddticka</t>
        </is>
      </c>
      <c r="W47">
        <f>HYPERLINK("https://klasma.github.io/Logging_2425/artfynd/A 1278-2024 artfynd.xlsx", "A 1278-2024")</f>
        <v/>
      </c>
      <c r="X47">
        <f>HYPERLINK("https://klasma.github.io/Logging_2425/kartor/A 1278-2024 karta.png", "A 1278-2024")</f>
        <v/>
      </c>
      <c r="Y47">
        <f>HYPERLINK("https://klasma.github.io/Logging_2425/kartor_geotiff/A 1278-2024 georefererad karta.tif", "A 1278-2024")</f>
        <v/>
      </c>
      <c r="AA47">
        <f>HYPERLINK("https://klasma.github.io/Logging_2425/klagomål/A 1278-2024 FSC-klagomål.docx", "A 1278-2024")</f>
        <v/>
      </c>
      <c r="AB47">
        <f>HYPERLINK("https://klasma.github.io/Logging_2425/klagomålsmail/A 1278-2024 FSC-klagomål mail.docx", "A 1278-2024")</f>
        <v/>
      </c>
      <c r="AC47">
        <f>HYPERLINK("https://klasma.github.io/Logging_2425/tillsyn/A 1278-2024 tillsynsbegäran.docx", "A 1278-2024")</f>
        <v/>
      </c>
      <c r="AD47">
        <f>HYPERLINK("https://klasma.github.io/Logging_2425/tillsynsmail/A 1278-2024 tillsynsbegäran mail.docx", "A 1278-2024")</f>
        <v/>
      </c>
    </row>
    <row r="48" ht="15" customHeight="1">
      <c r="A48" t="inlineStr">
        <is>
          <t>A 21926-2026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46255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HYPERLINK("https://klasma.github.io/Logging_2425/artfynd/A 21926-2026 artfynd.xlsx", "A 21926-2026")</f>
        <v/>
      </c>
      <c r="X48">
        <f>HYPERLINK("https://klasma.github.io/Logging_2425/kartor/A 21926-2026 karta.png", "A 21926-2026")</f>
        <v/>
      </c>
      <c r="Y48">
        <f>HYPERLINK("https://klasma.github.io/Logging_2425/kartor_geotiff/A 21926-2026 georefererad karta.tif", "A 21926-2026")</f>
        <v/>
      </c>
      <c r="AA48">
        <f>HYPERLINK("https://klasma.github.io/Logging_2425/klagomål/A 21926-2026 FSC-klagomål.docx", "A 21926-2026")</f>
        <v/>
      </c>
      <c r="AB48">
        <f>HYPERLINK("https://klasma.github.io/Logging_2425/klagomålsmail/A 21926-2026 FSC-klagomål mail.docx", "A 21926-2026")</f>
        <v/>
      </c>
      <c r="AC48">
        <f>HYPERLINK("https://klasma.github.io/Logging_2425/tillsyn/A 21926-2026 tillsynsbegäran.docx", "A 21926-2026")</f>
        <v/>
      </c>
      <c r="AD48">
        <f>HYPERLINK("https://klasma.github.io/Logging_2425/tillsynsmail/A 21926-2026 tillsynsbegäran mail.docx", "A 21926-2026")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46255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57060-2024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46255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57060-2024 artfynd.xlsx", "A 57060-2024")</f>
        <v/>
      </c>
      <c r="X50">
        <f>HYPERLINK("https://klasma.github.io/Logging_2425/kartor/A 57060-2024 karta.png", "A 57060-2024")</f>
        <v/>
      </c>
      <c r="Y50">
        <f>HYPERLINK("https://klasma.github.io/Logging_2425/kartor_geotiff/A 57060-2024 georefererad karta.tif", "A 57060-2024")</f>
        <v/>
      </c>
      <c r="AA50">
        <f>HYPERLINK("https://klasma.github.io/Logging_2425/klagomål/A 57060-2024 FSC-klagomål.docx", "A 57060-2024")</f>
        <v/>
      </c>
      <c r="AB50">
        <f>HYPERLINK("https://klasma.github.io/Logging_2425/klagomålsmail/A 57060-2024 FSC-klagomål mail.docx", "A 57060-2024")</f>
        <v/>
      </c>
      <c r="AC50">
        <f>HYPERLINK("https://klasma.github.io/Logging_2425/tillsyn/A 57060-2024 tillsynsbegäran.docx", "A 57060-2024")</f>
        <v/>
      </c>
      <c r="AD50">
        <f>HYPERLINK("https://klasma.github.io/Logging_2425/tillsynsmail/A 57060-2024 tillsynsbegäran mail.docx", "A 57060-2024")</f>
        <v/>
      </c>
    </row>
    <row r="51" ht="15" customHeight="1">
      <c r="A51" t="inlineStr">
        <is>
          <t>A 32331-2026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46255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Skrovellav</t>
        </is>
      </c>
      <c r="W51">
        <f>HYPERLINK("https://klasma.github.io/Logging_2425/artfynd/A 32331-2026 artfynd.xlsx", "A 32331-2026")</f>
        <v/>
      </c>
      <c r="X51">
        <f>HYPERLINK("https://klasma.github.io/Logging_2425/kartor/A 32331-2026 karta.png", "A 32331-2026")</f>
        <v/>
      </c>
      <c r="Y51">
        <f>HYPERLINK("https://klasma.github.io/Logging_2425/kartor_geotiff/A 32331-2026 georefererad karta.tif", "A 32331-2026")</f>
        <v/>
      </c>
      <c r="AA51">
        <f>HYPERLINK("https://klasma.github.io/Logging_2425/klagomål/A 32331-2026 FSC-klagomål.docx", "A 32331-2026")</f>
        <v/>
      </c>
      <c r="AB51">
        <f>HYPERLINK("https://klasma.github.io/Logging_2425/klagomålsmail/A 32331-2026 FSC-klagomål mail.docx", "A 32331-2026")</f>
        <v/>
      </c>
      <c r="AC51">
        <f>HYPERLINK("https://klasma.github.io/Logging_2425/tillsyn/A 32331-2026 tillsynsbegäran.docx", "A 32331-2026")</f>
        <v/>
      </c>
      <c r="AD51">
        <f>HYPERLINK("https://klasma.github.io/Logging_2425/tillsynsmail/A 32331-2026 tillsynsbegäran mail.docx", "A 32331-2026")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46255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26440-2025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45807</v>
      </c>
      <c r="E53" s="1" t="n">
        <v>46255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HYPERLINK("https://klasma.github.io/Logging_2425/artfynd/A 26440-2025 artfynd.xlsx", "A 26440-2025")</f>
        <v/>
      </c>
      <c r="X53">
        <f>HYPERLINK("https://klasma.github.io/Logging_2425/kartor/A 26440-2025 karta.png", "A 26440-2025")</f>
        <v/>
      </c>
      <c r="Y53">
        <f>HYPERLINK("https://klasma.github.io/Logging_2425/kartor_geotiff/A 26440-2025 georefererad karta.tif", "A 26440-2025")</f>
        <v/>
      </c>
      <c r="AA53">
        <f>HYPERLINK("https://klasma.github.io/Logging_2425/klagomål/A 26440-2025 FSC-klagomål.docx", "A 26440-2025")</f>
        <v/>
      </c>
      <c r="AB53">
        <f>HYPERLINK("https://klasma.github.io/Logging_2425/klagomålsmail/A 26440-2025 FSC-klagomål mail.docx", "A 26440-2025")</f>
        <v/>
      </c>
      <c r="AC53">
        <f>HYPERLINK("https://klasma.github.io/Logging_2425/tillsyn/A 26440-2025 tillsynsbegäran.docx", "A 26440-2025")</f>
        <v/>
      </c>
      <c r="AD53">
        <f>HYPERLINK("https://klasma.github.io/Logging_2425/tillsynsmail/A 26440-2025 tillsynsbegäran mail.docx", "A 26440-2025")</f>
        <v/>
      </c>
    </row>
    <row r="54" ht="15" customHeight="1">
      <c r="A54" t="inlineStr">
        <is>
          <t>S 877-2022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44606</v>
      </c>
      <c r="E54" s="1" t="n">
        <v>46255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598.1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Gammelgransskål</t>
        </is>
      </c>
      <c r="W54">
        <f>HYPERLINK("https://klasma.github.io/Logging_2425/artfynd/S 877-2022 artfynd.xlsx", "S 877-2022")</f>
        <v/>
      </c>
      <c r="X54">
        <f>HYPERLINK("https://klasma.github.io/Logging_2425/kartor/S 877-2022 karta.png", "S 877-2022")</f>
        <v/>
      </c>
      <c r="Y54">
        <f>HYPERLINK("https://klasma.github.io/Logging_2425/kartor_geotiff/S 877-2022 georefererad karta.tif", "S 877-2022")</f>
        <v/>
      </c>
      <c r="AA54">
        <f>HYPERLINK("https://klasma.github.io/Logging_2425/klagomål/S 877-2022 FSC-klagomål.docx", "S 877-2022")</f>
        <v/>
      </c>
      <c r="AB54">
        <f>HYPERLINK("https://klasma.github.io/Logging_2425/klagomålsmail/S 877-2022 FSC-klagomål mail.docx", "S 877-2022")</f>
        <v/>
      </c>
      <c r="AC54">
        <f>HYPERLINK("https://klasma.github.io/Logging_2425/tillsyn/S 877-2022 tillsynsbegäran.docx", "S 877-2022")</f>
        <v/>
      </c>
      <c r="AD54">
        <f>HYPERLINK("https://klasma.github.io/Logging_2425/tillsynsmail/S 877-2022 tillsynsbegäran mail.docx", "S 877-2022")</f>
        <v/>
      </c>
    </row>
    <row r="55" ht="15" customHeight="1">
      <c r="A55" t="inlineStr">
        <is>
          <t>S 1194-2025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45756</v>
      </c>
      <c r="E55" s="1" t="n">
        <v>46255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13.9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Stjärntagging</t>
        </is>
      </c>
      <c r="W55">
        <f>HYPERLINK("https://klasma.github.io/Logging_2425/artfynd/S 1194-2025 artfynd.xlsx", "S 1194-2025")</f>
        <v/>
      </c>
      <c r="X55">
        <f>HYPERLINK("https://klasma.github.io/Logging_2425/kartor/S 1194-2025 karta.png", "S 1194-2025")</f>
        <v/>
      </c>
      <c r="Y55">
        <f>HYPERLINK("https://klasma.github.io/Logging_2425/kartor_geotiff/S 1194-2025 georefererad karta.tif", "S 1194-2025")</f>
        <v/>
      </c>
      <c r="AA55">
        <f>HYPERLINK("https://klasma.github.io/Logging_2425/klagomål/S 1194-2025 FSC-klagomål.docx", "S 1194-2025")</f>
        <v/>
      </c>
      <c r="AB55">
        <f>HYPERLINK("https://klasma.github.io/Logging_2425/klagomålsmail/S 1194-2025 FSC-klagomål mail.docx", "S 1194-2025")</f>
        <v/>
      </c>
      <c r="AC55">
        <f>HYPERLINK("https://klasma.github.io/Logging_2425/tillsyn/S 1194-2025 tillsynsbegäran.docx", "S 1194-2025")</f>
        <v/>
      </c>
      <c r="AD55">
        <f>HYPERLINK("https://klasma.github.io/Logging_2425/tillsynsmail/S 1194-2025 tillsynsbegäran mail.docx", "S 1194-2025")</f>
        <v/>
      </c>
    </row>
    <row r="56" ht="15" customHeight="1">
      <c r="A56" t="inlineStr">
        <is>
          <t>A 64063-2021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46255</v>
      </c>
      <c r="F56" t="inlineStr">
        <is>
          <t>VÄSTERBOTTENS LÄN</t>
        </is>
      </c>
      <c r="G56" t="inlineStr">
        <is>
          <t>DOROTEA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46255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46255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44725</v>
      </c>
      <c r="E59" s="1" t="n">
        <v>46255</v>
      </c>
      <c r="F59" t="inlineStr">
        <is>
          <t>VÄSTERBOTTENS LÄN</t>
        </is>
      </c>
      <c r="G59" t="inlineStr">
        <is>
          <t>DOROTEA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43403-2022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46255</v>
      </c>
      <c r="F60" t="inlineStr">
        <is>
          <t>VÄSTERBOTTENS LÄN</t>
        </is>
      </c>
      <c r="G60" t="inlineStr">
        <is>
          <t>DOROTEA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46255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46255</v>
      </c>
      <c r="F62" t="inlineStr">
        <is>
          <t>VÄSTERBOTTENS LÄN</t>
        </is>
      </c>
      <c r="G62" t="inlineStr">
        <is>
          <t>DOROTEA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44851</v>
      </c>
      <c r="E63" s="1" t="n">
        <v>46255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44587</v>
      </c>
      <c r="E64" s="1" t="n">
        <v>46255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52362-2021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44465</v>
      </c>
      <c r="E65" s="1" t="n">
        <v>46255</v>
      </c>
      <c r="F65" t="inlineStr">
        <is>
          <t>VÄSTERBOTTENS LÄN</t>
        </is>
      </c>
      <c r="G65" t="inlineStr">
        <is>
          <t>DOROTEA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27199-2024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45471</v>
      </c>
      <c r="E66" s="1" t="n">
        <v>46255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45734</v>
      </c>
      <c r="E67" s="1" t="n">
        <v>46255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45330</v>
      </c>
      <c r="E68" s="1" t="n">
        <v>46255</v>
      </c>
      <c r="F68" t="inlineStr">
        <is>
          <t>VÄSTERBOTTENS LÄN</t>
        </is>
      </c>
      <c r="G68" t="inlineStr">
        <is>
          <t>DOROTEA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45228</v>
      </c>
      <c r="E69" s="1" t="n">
        <v>46255</v>
      </c>
      <c r="F69" t="inlineStr">
        <is>
          <t>VÄSTERBOTTENS LÄN</t>
        </is>
      </c>
      <c r="G69" t="inlineStr">
        <is>
          <t>DOROTEA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45228</v>
      </c>
      <c r="E70" s="1" t="n">
        <v>46255</v>
      </c>
      <c r="F70" t="inlineStr">
        <is>
          <t>VÄSTERBOTTENS LÄN</t>
        </is>
      </c>
      <c r="G70" t="inlineStr">
        <is>
          <t>DOROTEA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46255</v>
      </c>
      <c r="F71" t="inlineStr">
        <is>
          <t>VÄSTERBOTTENS LÄN</t>
        </is>
      </c>
      <c r="G71" t="inlineStr">
        <is>
          <t>DOROTEA</t>
        </is>
      </c>
      <c r="I71" t="n">
        <v>10.2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44761</v>
      </c>
      <c r="E72" s="1" t="n">
        <v>46255</v>
      </c>
      <c r="F72" t="inlineStr">
        <is>
          <t>VÄSTERBOTTENS LÄN</t>
        </is>
      </c>
      <c r="G72" t="inlineStr">
        <is>
          <t>DOROTEA</t>
        </is>
      </c>
      <c r="I72" t="n">
        <v>10.6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48006-2023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45198</v>
      </c>
      <c r="E73" s="1" t="n">
        <v>46255</v>
      </c>
      <c r="F73" t="inlineStr">
        <is>
          <t>VÄSTERBOTTENS LÄN</t>
        </is>
      </c>
      <c r="G73" t="inlineStr">
        <is>
          <t>DOROTEA</t>
        </is>
      </c>
      <c r="H73" t="inlineStr">
        <is>
          <t>Övriga statliga verk och myndigheter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45399</v>
      </c>
      <c r="E74" s="1" t="n">
        <v>46255</v>
      </c>
      <c r="F74" t="inlineStr">
        <is>
          <t>VÄSTERBOTTENS LÄN</t>
        </is>
      </c>
      <c r="G74" t="inlineStr">
        <is>
          <t>DOROTEA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45385</v>
      </c>
      <c r="E75" s="1" t="n">
        <v>46255</v>
      </c>
      <c r="F75" t="inlineStr">
        <is>
          <t>VÄSTERBOTTENS LÄN</t>
        </is>
      </c>
      <c r="G75" t="inlineStr">
        <is>
          <t>DOROTEA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45224</v>
      </c>
      <c r="E76" s="1" t="n">
        <v>46255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46255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44824</v>
      </c>
      <c r="E78" s="1" t="n">
        <v>46255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39471-2024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45551</v>
      </c>
      <c r="E79" s="1" t="n">
        <v>46255</v>
      </c>
      <c r="F79" t="inlineStr">
        <is>
          <t>VÄSTERBOTTENS LÄN</t>
        </is>
      </c>
      <c r="G79" t="inlineStr">
        <is>
          <t>DOROTEA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46255</v>
      </c>
      <c r="F80" t="inlineStr">
        <is>
          <t>VÄSTERBOTTENS LÄN</t>
        </is>
      </c>
      <c r="G80" t="inlineStr">
        <is>
          <t>DOROTEA</t>
        </is>
      </c>
      <c r="I80" t="n">
        <v>14.8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4958-2023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44956</v>
      </c>
      <c r="E81" s="1" t="n">
        <v>46255</v>
      </c>
      <c r="F81" t="inlineStr">
        <is>
          <t>VÄSTERBOTTENS LÄN</t>
        </is>
      </c>
      <c r="G81" t="inlineStr">
        <is>
          <t>DOROTEA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46255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57070-2023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45244</v>
      </c>
      <c r="E83" s="1" t="n">
        <v>46255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46255</v>
      </c>
      <c r="F84" t="inlineStr">
        <is>
          <t>VÄSTERBOTTENS LÄN</t>
        </is>
      </c>
      <c r="G84" t="inlineStr">
        <is>
          <t>DOROTEA</t>
        </is>
      </c>
      <c r="H84" t="inlineStr">
        <is>
          <t>Sveaskog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59418-2023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45253</v>
      </c>
      <c r="E85" s="1" t="n">
        <v>46255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30059-2024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45488</v>
      </c>
      <c r="E86" s="1" t="n">
        <v>46255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45483</v>
      </c>
      <c r="E87" s="1" t="n">
        <v>46255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44582</v>
      </c>
      <c r="E88" s="1" t="n">
        <v>46255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34700-2023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45140</v>
      </c>
      <c r="E89" s="1" t="n">
        <v>46255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46255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46255</v>
      </c>
      <c r="F91" t="inlineStr">
        <is>
          <t>VÄSTERBOTTENS LÄN</t>
        </is>
      </c>
      <c r="G91" t="inlineStr">
        <is>
          <t>DOROTEA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40435-2023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45169</v>
      </c>
      <c r="E92" s="1" t="n">
        <v>46255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46255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45491</v>
      </c>
      <c r="E94" s="1" t="n">
        <v>46255</v>
      </c>
      <c r="F94" t="inlineStr">
        <is>
          <t>VÄSTERBOTTENS LÄN</t>
        </is>
      </c>
      <c r="G94" t="inlineStr">
        <is>
          <t>DOROTEA</t>
        </is>
      </c>
      <c r="H94" t="inlineStr">
        <is>
          <t>Sveaskog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46255</v>
      </c>
      <c r="F95" t="inlineStr">
        <is>
          <t>VÄSTERBOTTENS LÄN</t>
        </is>
      </c>
      <c r="G95" t="inlineStr">
        <is>
          <t>DOROTEA</t>
        </is>
      </c>
      <c r="I95" t="n">
        <v>15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46255</v>
      </c>
      <c r="F96" t="inlineStr">
        <is>
          <t>VÄSTERBOTTENS LÄN</t>
        </is>
      </c>
      <c r="G96" t="inlineStr">
        <is>
          <t>DOROTEA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29258-2025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45824</v>
      </c>
      <c r="E97" s="1" t="n">
        <v>46255</v>
      </c>
      <c r="F97" t="inlineStr">
        <is>
          <t>VÄSTERBOTTENS LÄN</t>
        </is>
      </c>
      <c r="G97" t="inlineStr">
        <is>
          <t>DOROTEA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74013-2021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46255</v>
      </c>
      <c r="F98" t="inlineStr">
        <is>
          <t>VÄSTERBOTTENS LÄN</t>
        </is>
      </c>
      <c r="G98" t="inlineStr">
        <is>
          <t>DOROTEA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45565</v>
      </c>
      <c r="E99" s="1" t="n">
        <v>46255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45552</v>
      </c>
      <c r="E100" s="1" t="n">
        <v>46255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44925</v>
      </c>
      <c r="E101" s="1" t="n">
        <v>46255</v>
      </c>
      <c r="F101" t="inlineStr">
        <is>
          <t>VÄSTERBOTTENS LÄN</t>
        </is>
      </c>
      <c r="G101" t="inlineStr">
        <is>
          <t>DOROTEA</t>
        </is>
      </c>
      <c r="I101" t="n">
        <v>22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7429-2023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44971</v>
      </c>
      <c r="E102" s="1" t="n">
        <v>46255</v>
      </c>
      <c r="F102" t="inlineStr">
        <is>
          <t>VÄSTERBOTTENS LÄN</t>
        </is>
      </c>
      <c r="G102" t="inlineStr">
        <is>
          <t>DOROTEA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14631-2025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45742</v>
      </c>
      <c r="E103" s="1" t="n">
        <v>46255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45833</v>
      </c>
      <c r="E104" s="1" t="n">
        <v>46255</v>
      </c>
      <c r="F104" t="inlineStr">
        <is>
          <t>VÄSTERBOTTENS LÄN</t>
        </is>
      </c>
      <c r="G104" t="inlineStr">
        <is>
          <t>DOROTEA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31510-2025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46255</v>
      </c>
      <c r="F105" t="inlineStr">
        <is>
          <t>VÄSTERBOTTENS LÄN</t>
        </is>
      </c>
      <c r="G105" t="inlineStr">
        <is>
          <t>DOROTEA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45883</v>
      </c>
      <c r="E106" s="1" t="n">
        <v>46255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7713-2026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46255</v>
      </c>
      <c r="F107" t="inlineStr">
        <is>
          <t>VÄSTERBOTTENS LÄN</t>
        </is>
      </c>
      <c r="G107" t="inlineStr">
        <is>
          <t>DOROTEA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46255</v>
      </c>
      <c r="F108" t="inlineStr">
        <is>
          <t>VÄSTERBOTTENS LÄN</t>
        </is>
      </c>
      <c r="G108" t="inlineStr">
        <is>
          <t>DOROTEA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44956</v>
      </c>
      <c r="E109" s="1" t="n">
        <v>46255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45883</v>
      </c>
      <c r="E110" s="1" t="n">
        <v>46255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33267-2025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45840</v>
      </c>
      <c r="E111" s="1" t="n">
        <v>46255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46255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46063</v>
      </c>
      <c r="E113" s="1" t="n">
        <v>46255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45071</v>
      </c>
      <c r="E114" s="1" t="n">
        <v>46255</v>
      </c>
      <c r="F114" t="inlineStr">
        <is>
          <t>VÄSTERBOTTENS LÄN</t>
        </is>
      </c>
      <c r="G114" t="inlineStr">
        <is>
          <t>DOROTEA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22942-2024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46255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34279-2025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45846</v>
      </c>
      <c r="E116" s="1" t="n">
        <v>46255</v>
      </c>
      <c r="F116" t="inlineStr">
        <is>
          <t>VÄSTERBOTTENS LÄN</t>
        </is>
      </c>
      <c r="G116" t="inlineStr">
        <is>
          <t>DOROTEA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45848</v>
      </c>
      <c r="E117" s="1" t="n">
        <v>46255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46255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45893</v>
      </c>
      <c r="E119" s="1" t="n">
        <v>46255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44958</v>
      </c>
      <c r="E120" s="1" t="n">
        <v>46255</v>
      </c>
      <c r="F120" t="inlineStr">
        <is>
          <t>VÄSTERBOTTENS LÄN</t>
        </is>
      </c>
      <c r="G120" t="inlineStr">
        <is>
          <t>DOROTEA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46255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45849</v>
      </c>
      <c r="E122" s="1" t="n">
        <v>46255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45852</v>
      </c>
      <c r="E123" s="1" t="n">
        <v>46255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46255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45855</v>
      </c>
      <c r="E125" s="1" t="n">
        <v>46255</v>
      </c>
      <c r="F125" t="inlineStr">
        <is>
          <t>VÄSTERBOTTENS LÄN</t>
        </is>
      </c>
      <c r="G125" t="inlineStr">
        <is>
          <t>DOROTEA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46255</v>
      </c>
      <c r="F126" t="inlineStr">
        <is>
          <t>VÄSTERBOTTENS LÄN</t>
        </is>
      </c>
      <c r="G126" t="inlineStr">
        <is>
          <t>DOROTEA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45855</v>
      </c>
      <c r="E127" s="1" t="n">
        <v>46255</v>
      </c>
      <c r="F127" t="inlineStr">
        <is>
          <t>VÄSTERBOTTENS LÄN</t>
        </is>
      </c>
      <c r="G127" t="inlineStr">
        <is>
          <t>DOROTEA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46255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25028-2024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45461</v>
      </c>
      <c r="E129" s="1" t="n">
        <v>46255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9796-2026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46072</v>
      </c>
      <c r="E130" s="1" t="n">
        <v>46255</v>
      </c>
      <c r="F130" t="inlineStr">
        <is>
          <t>VÄSTERBOTTENS LÄN</t>
        </is>
      </c>
      <c r="G130" t="inlineStr">
        <is>
          <t>DOROTEA</t>
        </is>
      </c>
      <c r="I130" t="n">
        <v>20.1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36125-2025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45866</v>
      </c>
      <c r="E131" s="1" t="n">
        <v>46255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36111-2025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45866</v>
      </c>
      <c r="E132" s="1" t="n">
        <v>46255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45904</v>
      </c>
      <c r="E133" s="1" t="n">
        <v>46255</v>
      </c>
      <c r="F133" t="inlineStr">
        <is>
          <t>VÄSTERBOTTENS LÄN</t>
        </is>
      </c>
      <c r="G133" t="inlineStr">
        <is>
          <t>DOROTEA</t>
        </is>
      </c>
      <c r="H133" t="inlineStr">
        <is>
          <t>Övriga Aktiebolag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46255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45874</v>
      </c>
      <c r="E135" s="1" t="n">
        <v>46255</v>
      </c>
      <c r="F135" t="inlineStr">
        <is>
          <t>VÄSTERBOTTENS LÄN</t>
        </is>
      </c>
      <c r="G135" t="inlineStr">
        <is>
          <t>DOROTEA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46255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36844-2025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45874</v>
      </c>
      <c r="E137" s="1" t="n">
        <v>46255</v>
      </c>
      <c r="F137" t="inlineStr">
        <is>
          <t>VÄSTERBOTTENS LÄN</t>
        </is>
      </c>
      <c r="G137" t="inlineStr">
        <is>
          <t>DOROTEA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4617-2023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44956</v>
      </c>
      <c r="E138" s="1" t="n">
        <v>46255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37259-2025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45876</v>
      </c>
      <c r="E139" s="1" t="n">
        <v>46255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45875</v>
      </c>
      <c r="E140" s="1" t="n">
        <v>46255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37276-2025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45876</v>
      </c>
      <c r="E141" s="1" t="n">
        <v>46255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46255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43876-2025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45912</v>
      </c>
      <c r="E143" s="1" t="n">
        <v>46255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46255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44282-2025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45916</v>
      </c>
      <c r="E145" s="1" t="n">
        <v>46255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37476-2025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45877</v>
      </c>
      <c r="E146" s="1" t="n">
        <v>46255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45712</v>
      </c>
      <c r="E147" s="1" t="n">
        <v>46255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38100-2025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45882</v>
      </c>
      <c r="E148" s="1" t="n">
        <v>46255</v>
      </c>
      <c r="F148" t="inlineStr">
        <is>
          <t>VÄSTERBOTTENS LÄN</t>
        </is>
      </c>
      <c r="G148" t="inlineStr">
        <is>
          <t>DOROTEA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44357-2025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45916</v>
      </c>
      <c r="E149" s="1" t="n">
        <v>46255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44194-2025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45915</v>
      </c>
      <c r="E150" s="1" t="n">
        <v>46255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8.4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45915</v>
      </c>
      <c r="E151" s="1" t="n">
        <v>46255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45916</v>
      </c>
      <c r="E152" s="1" t="n">
        <v>46255</v>
      </c>
      <c r="F152" t="inlineStr">
        <is>
          <t>VÄSTERBOTTENS LÄN</t>
        </is>
      </c>
      <c r="G152" t="inlineStr">
        <is>
          <t>DOROTEA</t>
        </is>
      </c>
      <c r="H152" t="inlineStr">
        <is>
          <t>Övriga statliga verk och myndigheter</t>
        </is>
      </c>
      <c r="I152" t="n">
        <v>15.2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45882</v>
      </c>
      <c r="E153" s="1" t="n">
        <v>46255</v>
      </c>
      <c r="F153" t="inlineStr">
        <is>
          <t>VÄSTERBOTTENS LÄN</t>
        </is>
      </c>
      <c r="G153" t="inlineStr">
        <is>
          <t>DOROTEA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38099-2025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45882</v>
      </c>
      <c r="E154" s="1" t="n">
        <v>46255</v>
      </c>
      <c r="F154" t="inlineStr">
        <is>
          <t>VÄSTERBOTTENS LÄN</t>
        </is>
      </c>
      <c r="G154" t="inlineStr">
        <is>
          <t>DOROTEA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45917</v>
      </c>
      <c r="E155" s="1" t="n">
        <v>46255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45519</v>
      </c>
      <c r="E156" s="1" t="n">
        <v>46255</v>
      </c>
      <c r="F156" t="inlineStr">
        <is>
          <t>VÄSTERBOTTENS LÄN</t>
        </is>
      </c>
      <c r="G156" t="inlineStr">
        <is>
          <t>DOROTEA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45882</v>
      </c>
      <c r="E157" s="1" t="n">
        <v>46255</v>
      </c>
      <c r="F157" t="inlineStr">
        <is>
          <t>VÄSTERBOTTENS LÄN</t>
        </is>
      </c>
      <c r="G157" t="inlineStr">
        <is>
          <t>DOROTEA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38098-2025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45882</v>
      </c>
      <c r="E158" s="1" t="n">
        <v>46255</v>
      </c>
      <c r="F158" t="inlineStr">
        <is>
          <t>VÄSTERBOTTENS LÄN</t>
        </is>
      </c>
      <c r="G158" t="inlineStr">
        <is>
          <t>DOROTEA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46255</v>
      </c>
      <c r="F159" t="inlineStr">
        <is>
          <t>VÄSTERBOTTENS LÄN</t>
        </is>
      </c>
      <c r="G159" t="inlineStr">
        <is>
          <t>DOROTEA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46255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45917</v>
      </c>
      <c r="E161" s="1" t="n">
        <v>46255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7.7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45845</v>
      </c>
      <c r="E162" s="1" t="n">
        <v>46255</v>
      </c>
      <c r="F162" t="inlineStr">
        <is>
          <t>VÄSTERBOTTENS LÄN</t>
        </is>
      </c>
      <c r="G162" t="inlineStr">
        <is>
          <t>DOROTEA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34408-2025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45845</v>
      </c>
      <c r="E163" s="1" t="n">
        <v>46255</v>
      </c>
      <c r="F163" t="inlineStr">
        <is>
          <t>VÄSTERBOTTENS LÄN</t>
        </is>
      </c>
      <c r="G163" t="inlineStr">
        <is>
          <t>DOROTEA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46255</v>
      </c>
      <c r="F164" t="inlineStr">
        <is>
          <t>VÄSTERBOTTENS LÄN</t>
        </is>
      </c>
      <c r="G164" t="inlineStr">
        <is>
          <t>DOROTEA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45125</v>
      </c>
      <c r="E165" s="1" t="n">
        <v>46255</v>
      </c>
      <c r="F165" t="inlineStr">
        <is>
          <t>VÄSTERBOTTENS LÄN</t>
        </is>
      </c>
      <c r="G165" t="inlineStr">
        <is>
          <t>DOROTEA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48510-2025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45936</v>
      </c>
      <c r="E166" s="1" t="n">
        <v>46255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46255</v>
      </c>
      <c r="F167" t="inlineStr">
        <is>
          <t>VÄSTERBOTTENS LÄN</t>
        </is>
      </c>
      <c r="G167" t="inlineStr">
        <is>
          <t>DOROTEA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46255</v>
      </c>
      <c r="F168" t="inlineStr">
        <is>
          <t>VÄSTERBOTTENS LÄN</t>
        </is>
      </c>
      <c r="G168" t="inlineStr">
        <is>
          <t>DOROTEA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43092-2023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45182</v>
      </c>
      <c r="E169" s="1" t="n">
        <v>46255</v>
      </c>
      <c r="F169" t="inlineStr">
        <is>
          <t>VÄSTERBOTTENS LÄN</t>
        </is>
      </c>
      <c r="G169" t="inlineStr">
        <is>
          <t>DOROTEA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11817-2026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46085</v>
      </c>
      <c r="E170" s="1" t="n">
        <v>46255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58313-2024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46255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46255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36137-2023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45149</v>
      </c>
      <c r="E173" s="1" t="n">
        <v>46255</v>
      </c>
      <c r="F173" t="inlineStr">
        <is>
          <t>VÄSTERBOTTENS LÄN</t>
        </is>
      </c>
      <c r="G173" t="inlineStr">
        <is>
          <t>DOROTEA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12082-2026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46086</v>
      </c>
      <c r="E174" s="1" t="n">
        <v>46255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45937</v>
      </c>
      <c r="E175" s="1" t="n">
        <v>46255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40434-2023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45169</v>
      </c>
      <c r="E176" s="1" t="n">
        <v>46255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46818-2023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46255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46255</v>
      </c>
      <c r="F178" t="inlineStr">
        <is>
          <t>VÄSTERBOTTENS LÄN</t>
        </is>
      </c>
      <c r="G178" t="inlineStr">
        <is>
          <t>DOROTEA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60145-2021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44494</v>
      </c>
      <c r="E179" s="1" t="n">
        <v>46255</v>
      </c>
      <c r="F179" t="inlineStr">
        <is>
          <t>VÄSTERBOTTENS LÄN</t>
        </is>
      </c>
      <c r="G179" t="inlineStr">
        <is>
          <t>DOROTEA</t>
        </is>
      </c>
      <c r="I179" t="n">
        <v>13.3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46255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46255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45539</v>
      </c>
      <c r="E182" s="1" t="n">
        <v>46255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46255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45720</v>
      </c>
      <c r="E184" s="1" t="n">
        <v>46255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45475</v>
      </c>
      <c r="E185" s="1" t="n">
        <v>46255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52412-2025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46255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45796</v>
      </c>
      <c r="E187" s="1" t="n">
        <v>46255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14806-2023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45013</v>
      </c>
      <c r="E188" s="1" t="n">
        <v>46255</v>
      </c>
      <c r="F188" t="inlineStr">
        <is>
          <t>VÄSTERBOTTENS LÄN</t>
        </is>
      </c>
      <c r="G188" t="inlineStr">
        <is>
          <t>DOROTEA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46255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45755</v>
      </c>
      <c r="E190" s="1" t="n">
        <v>46255</v>
      </c>
      <c r="F190" t="inlineStr">
        <is>
          <t>VÄSTERBOTTENS LÄN</t>
        </is>
      </c>
      <c r="G190" t="inlineStr">
        <is>
          <t>DOROTEA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45852</v>
      </c>
      <c r="E191" s="1" t="n">
        <v>46255</v>
      </c>
      <c r="F191" t="inlineStr">
        <is>
          <t>VÄSTERBOTTENS LÄN</t>
        </is>
      </c>
      <c r="G191" t="inlineStr">
        <is>
          <t>DOROTEA</t>
        </is>
      </c>
      <c r="H191" t="inlineStr">
        <is>
          <t>Allmännings- och besparingsskogar</t>
        </is>
      </c>
      <c r="I191" t="n">
        <v>22.1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45852</v>
      </c>
      <c r="E192" s="1" t="n">
        <v>46255</v>
      </c>
      <c r="F192" t="inlineStr">
        <is>
          <t>VÄSTERBOTTENS LÄN</t>
        </is>
      </c>
      <c r="G192" t="inlineStr">
        <is>
          <t>DOROTEA</t>
        </is>
      </c>
      <c r="H192" t="inlineStr">
        <is>
          <t>Allmännings- och besparingsskogar</t>
        </is>
      </c>
      <c r="I192" t="n">
        <v>20.3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46255</v>
      </c>
      <c r="F193" t="inlineStr">
        <is>
          <t>VÄSTERBOTTENS LÄN</t>
        </is>
      </c>
      <c r="G193" t="inlineStr">
        <is>
          <t>DOROTEA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46255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46255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57071-2023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46255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46255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45111</v>
      </c>
      <c r="E198" s="1" t="n">
        <v>46255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43211-2021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44431</v>
      </c>
      <c r="E199" s="1" t="n">
        <v>46255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45714</v>
      </c>
      <c r="E200" s="1" t="n">
        <v>46255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14249-2026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46099</v>
      </c>
      <c r="E201" s="1" t="n">
        <v>46255</v>
      </c>
      <c r="F201" t="inlineStr">
        <is>
          <t>VÄSTERBOTTENS LÄN</t>
        </is>
      </c>
      <c r="G201" t="inlineStr">
        <is>
          <t>DOROTEA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45975</v>
      </c>
      <c r="E202" s="1" t="n">
        <v>46255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45975</v>
      </c>
      <c r="E203" s="1" t="n">
        <v>46255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46255</v>
      </c>
      <c r="F204" t="inlineStr">
        <is>
          <t>VÄSTERBOTTENS LÄN</t>
        </is>
      </c>
      <c r="G204" t="inlineStr">
        <is>
          <t>DOROTEA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46255</v>
      </c>
      <c r="F205" t="inlineStr">
        <is>
          <t>VÄSTERBOTTENS LÄN</t>
        </is>
      </c>
      <c r="G205" t="inlineStr">
        <is>
          <t>DOROTEA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45977</v>
      </c>
      <c r="E206" s="1" t="n">
        <v>46255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46255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46255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57380-2025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46255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45982</v>
      </c>
      <c r="E210" s="1" t="n">
        <v>46255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18.2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46255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46255</v>
      </c>
      <c r="F212" t="inlineStr">
        <is>
          <t>VÄSTERBOTTENS LÄN</t>
        </is>
      </c>
      <c r="G212" t="inlineStr">
        <is>
          <t>DOROTEA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45982</v>
      </c>
      <c r="E213" s="1" t="n">
        <v>46255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46255</v>
      </c>
      <c r="F214" t="inlineStr">
        <is>
          <t>VÄSTERBOTTENS LÄN</t>
        </is>
      </c>
      <c r="G214" t="inlineStr">
        <is>
          <t>DOROTEA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46255</v>
      </c>
      <c r="F215" t="inlineStr">
        <is>
          <t>VÄSTERBOTTENS LÄN</t>
        </is>
      </c>
      <c r="G215" t="inlineStr">
        <is>
          <t>DOROTEA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45986</v>
      </c>
      <c r="E216" s="1" t="n">
        <v>46255</v>
      </c>
      <c r="F216" t="inlineStr">
        <is>
          <t>VÄSTERBOTTENS LÄN</t>
        </is>
      </c>
      <c r="G216" t="inlineStr">
        <is>
          <t>DOROTEA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59338-2025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46255</v>
      </c>
      <c r="F217" t="inlineStr">
        <is>
          <t>VÄSTERBOTTENS LÄN</t>
        </is>
      </c>
      <c r="G217" t="inlineStr">
        <is>
          <t>DOROTEA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46255</v>
      </c>
      <c r="F218" t="inlineStr">
        <is>
          <t>VÄSTERBOTTENS LÄN</t>
        </is>
      </c>
      <c r="G218" t="inlineStr">
        <is>
          <t>DOROTEA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46255</v>
      </c>
      <c r="F219" t="inlineStr">
        <is>
          <t>VÄSTERBOTTENS LÄN</t>
        </is>
      </c>
      <c r="G219" t="inlineStr">
        <is>
          <t>DOROTEA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45757</v>
      </c>
      <c r="E220" s="1" t="n">
        <v>46255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45036</v>
      </c>
      <c r="E221" s="1" t="n">
        <v>46255</v>
      </c>
      <c r="F221" t="inlineStr">
        <is>
          <t>VÄSTERBOTTENS LÄN</t>
        </is>
      </c>
      <c r="G221" t="inlineStr">
        <is>
          <t>DOROTEA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35937-2025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45862</v>
      </c>
      <c r="E222" s="1" t="n">
        <v>46255</v>
      </c>
      <c r="F222" t="inlineStr">
        <is>
          <t>VÄSTERBOTTENS LÄN</t>
        </is>
      </c>
      <c r="G222" t="inlineStr">
        <is>
          <t>DOROTEA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46107</v>
      </c>
      <c r="E223" s="1" t="n">
        <v>46255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45996</v>
      </c>
      <c r="E224" s="1" t="n">
        <v>46255</v>
      </c>
      <c r="F224" t="inlineStr">
        <is>
          <t>VÄSTERBOTTENS LÄN</t>
        </is>
      </c>
      <c r="G224" t="inlineStr">
        <is>
          <t>DOROTEA</t>
        </is>
      </c>
      <c r="I224" t="n">
        <v>23.9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41771-2024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46255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55919-2023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45239</v>
      </c>
      <c r="E226" s="1" t="n">
        <v>46255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45069</v>
      </c>
      <c r="E227" s="1" t="n">
        <v>46255</v>
      </c>
      <c r="F227" t="inlineStr">
        <is>
          <t>VÄSTERBOTTENS LÄN</t>
        </is>
      </c>
      <c r="G227" t="inlineStr">
        <is>
          <t>DOROTEA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46255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46255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33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16276-2026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46111</v>
      </c>
      <c r="E230" s="1" t="n">
        <v>46255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62193-2025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46003</v>
      </c>
      <c r="E231" s="1" t="n">
        <v>46255</v>
      </c>
      <c r="F231" t="inlineStr">
        <is>
          <t>VÄSTERBOTTENS LÄN</t>
        </is>
      </c>
      <c r="G231" t="inlineStr">
        <is>
          <t>DOROTEA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46003</v>
      </c>
      <c r="E232" s="1" t="n">
        <v>46255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45539</v>
      </c>
      <c r="E233" s="1" t="n">
        <v>46255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46255</v>
      </c>
      <c r="F234" t="inlineStr">
        <is>
          <t>VÄSTERBOTTENS LÄN</t>
        </is>
      </c>
      <c r="G234" t="inlineStr">
        <is>
          <t>DOROTEA</t>
        </is>
      </c>
      <c r="I234" t="n">
        <v>16.7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46255</v>
      </c>
      <c r="F235" t="inlineStr">
        <is>
          <t>VÄSTERBOTTENS LÄN</t>
        </is>
      </c>
      <c r="G235" t="inlineStr">
        <is>
          <t>DOROTEA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46255</v>
      </c>
      <c r="F236" t="inlineStr">
        <is>
          <t>VÄSTERBOTTENS LÄN</t>
        </is>
      </c>
      <c r="G236" t="inlineStr">
        <is>
          <t>DOROTEA</t>
        </is>
      </c>
      <c r="I236" t="n">
        <v>13.2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46255</v>
      </c>
      <c r="F237" t="inlineStr">
        <is>
          <t>VÄSTERBOTTENS LÄN</t>
        </is>
      </c>
      <c r="G237" t="inlineStr">
        <is>
          <t>DOROTEA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46255</v>
      </c>
      <c r="F238" t="inlineStr">
        <is>
          <t>VÄSTERBOTTENS LÄN</t>
        </is>
      </c>
      <c r="G238" t="inlineStr">
        <is>
          <t>DOROTEA</t>
        </is>
      </c>
      <c r="I238" t="n">
        <v>12.3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46255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9.4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63939-2025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46010</v>
      </c>
      <c r="E240" s="1" t="n">
        <v>46255</v>
      </c>
      <c r="F240" t="inlineStr">
        <is>
          <t>VÄSTERBOTTENS LÄN</t>
        </is>
      </c>
      <c r="G240" t="inlineStr">
        <is>
          <t>DOROTEA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46255</v>
      </c>
      <c r="F241" t="inlineStr">
        <is>
          <t>VÄSTERBOTTENS LÄN</t>
        </is>
      </c>
      <c r="G241" t="inlineStr">
        <is>
          <t>DOROTEA</t>
        </is>
      </c>
      <c r="H241" t="inlineStr">
        <is>
          <t>Kommuner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46114</v>
      </c>
      <c r="E242" s="1" t="n">
        <v>46255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9102-2023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44979</v>
      </c>
      <c r="E243" s="1" t="n">
        <v>46255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9.4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63745-2025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46017</v>
      </c>
      <c r="E244" s="1" t="n">
        <v>46255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17623-2026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46255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20.3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46120</v>
      </c>
      <c r="E246" s="1" t="n">
        <v>46255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8.6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46255</v>
      </c>
      <c r="F247" t="inlineStr">
        <is>
          <t>VÄSTERBOTTENS LÄN</t>
        </is>
      </c>
      <c r="G247" t="inlineStr">
        <is>
          <t>DOROTEA</t>
        </is>
      </c>
      <c r="I247" t="n">
        <v>11.1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46030</v>
      </c>
      <c r="E248" s="1" t="n">
        <v>46255</v>
      </c>
      <c r="F248" t="inlineStr">
        <is>
          <t>VÄSTERBOTTENS LÄN</t>
        </is>
      </c>
      <c r="G248" t="inlineStr">
        <is>
          <t>DOROTEA</t>
        </is>
      </c>
      <c r="I248" t="n">
        <v>18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18143-2026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46255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46123</v>
      </c>
      <c r="E250" s="1" t="n">
        <v>46255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46125</v>
      </c>
      <c r="E251" s="1" t="n">
        <v>46255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18.3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46125</v>
      </c>
      <c r="E252" s="1" t="n">
        <v>46255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18254-2026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46126</v>
      </c>
      <c r="E253" s="1" t="n">
        <v>46255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45036</v>
      </c>
      <c r="E254" s="1" t="n">
        <v>46255</v>
      </c>
      <c r="F254" t="inlineStr">
        <is>
          <t>VÄSTERBOTTENS LÄN</t>
        </is>
      </c>
      <c r="G254" t="inlineStr">
        <is>
          <t>DOROTEA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46126</v>
      </c>
      <c r="E255" s="1" t="n">
        <v>46255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46255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45098</v>
      </c>
      <c r="E257" s="1" t="n">
        <v>46255</v>
      </c>
      <c r="F257" t="inlineStr">
        <is>
          <t>VÄSTERBOTTENS LÄN</t>
        </is>
      </c>
      <c r="G257" t="inlineStr">
        <is>
          <t>DOROTEA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46255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46255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46042</v>
      </c>
      <c r="E260" s="1" t="n">
        <v>46255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45556</v>
      </c>
      <c r="E261" s="1" t="n">
        <v>46255</v>
      </c>
      <c r="F261" t="inlineStr">
        <is>
          <t>VÄSTERBOTTENS LÄN</t>
        </is>
      </c>
      <c r="G261" t="inlineStr">
        <is>
          <t>DOROTEA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46042</v>
      </c>
      <c r="E262" s="1" t="n">
        <v>46255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7.8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995-2026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46255</v>
      </c>
      <c r="F263" t="inlineStr">
        <is>
          <t>VÄSTERBOTTENS LÄN</t>
        </is>
      </c>
      <c r="G263" t="inlineStr">
        <is>
          <t>DOROTEA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46255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46966-2024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45586</v>
      </c>
      <c r="E265" s="1" t="n">
        <v>46255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Sveaskog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63885-2025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46010</v>
      </c>
      <c r="E266" s="1" t="n">
        <v>46255</v>
      </c>
      <c r="F266" t="inlineStr">
        <is>
          <t>VÄSTERBOTTENS LÄN</t>
        </is>
      </c>
      <c r="G266" t="inlineStr">
        <is>
          <t>DOROTEA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46255</v>
      </c>
      <c r="F267" t="inlineStr">
        <is>
          <t>VÄSTERBOTTENS LÄN</t>
        </is>
      </c>
      <c r="G267" t="inlineStr">
        <is>
          <t>DOROTEA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19445-2026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46133</v>
      </c>
      <c r="E268" s="1" t="n">
        <v>46255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45180</v>
      </c>
      <c r="E269" s="1" t="n">
        <v>46255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12773-2026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46255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46133</v>
      </c>
      <c r="E271" s="1" t="n">
        <v>46255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19446-2026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46133</v>
      </c>
      <c r="E272" s="1" t="n">
        <v>46255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46255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46051</v>
      </c>
      <c r="E274" s="1" t="n">
        <v>46255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20316-2026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46255</v>
      </c>
      <c r="F275" t="inlineStr">
        <is>
          <t>VÄSTERBOTTENS LÄN</t>
        </is>
      </c>
      <c r="G275" t="inlineStr">
        <is>
          <t>DOROTEA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45721</v>
      </c>
      <c r="E276" s="1" t="n">
        <v>46255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46055</v>
      </c>
      <c r="E277" s="1" t="n">
        <v>46255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46054</v>
      </c>
      <c r="E278" s="1" t="n">
        <v>46255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45331</v>
      </c>
      <c r="E279" s="1" t="n">
        <v>46255</v>
      </c>
      <c r="F279" t="inlineStr">
        <is>
          <t>VÄSTERBOTTENS LÄN</t>
        </is>
      </c>
      <c r="G279" t="inlineStr">
        <is>
          <t>DOROTEA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23300-2023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45075</v>
      </c>
      <c r="E280" s="1" t="n">
        <v>46255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17658-2023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45036</v>
      </c>
      <c r="E281" s="1" t="n">
        <v>46255</v>
      </c>
      <c r="F281" t="inlineStr">
        <is>
          <t>VÄSTERBOTTENS LÄN</t>
        </is>
      </c>
      <c r="G281" t="inlineStr">
        <is>
          <t>DOROTEA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35990-2023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45148</v>
      </c>
      <c r="E282" s="1" t="n">
        <v>46255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45614</v>
      </c>
      <c r="E283" s="1" t="n">
        <v>46255</v>
      </c>
      <c r="F283" t="inlineStr">
        <is>
          <t>VÄSTERBOTTENS LÄN</t>
        </is>
      </c>
      <c r="G283" t="inlineStr">
        <is>
          <t>DOROTEA</t>
        </is>
      </c>
      <c r="I283" t="n">
        <v>26.5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46255</v>
      </c>
      <c r="F284" t="inlineStr">
        <is>
          <t>VÄSTERBOTTENS LÄN</t>
        </is>
      </c>
      <c r="G284" t="inlineStr">
        <is>
          <t>DOROTEA</t>
        </is>
      </c>
      <c r="I284" t="n">
        <v>14.7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20522-2026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46255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35457-2025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46255</v>
      </c>
      <c r="F286" t="inlineStr">
        <is>
          <t>VÄSTERBOTTENS LÄN</t>
        </is>
      </c>
      <c r="G286" t="inlineStr">
        <is>
          <t>DOROTEA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36096-2025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45866</v>
      </c>
      <c r="E287" s="1" t="n">
        <v>46255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46255</v>
      </c>
      <c r="F288" t="inlineStr">
        <is>
          <t>VÄSTERBOTTENS LÄN</t>
        </is>
      </c>
      <c r="G288" t="inlineStr">
        <is>
          <t>DOROTEA</t>
        </is>
      </c>
      <c r="H288" t="inlineStr">
        <is>
          <t>Kommuner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45295</v>
      </c>
      <c r="E289" s="1" t="n">
        <v>46255</v>
      </c>
      <c r="F289" t="inlineStr">
        <is>
          <t>VÄSTERBOTTENS LÄN</t>
        </is>
      </c>
      <c r="G289" t="inlineStr">
        <is>
          <t>DOROTEA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63294-2025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46010</v>
      </c>
      <c r="E290" s="1" t="n">
        <v>46255</v>
      </c>
      <c r="F290" t="inlineStr">
        <is>
          <t>VÄSTERBOTTENS LÄN</t>
        </is>
      </c>
      <c r="G290" t="inlineStr">
        <is>
          <t>DOROTEA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12118-2025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46255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13.5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57170-2025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46255</v>
      </c>
      <c r="F292" t="inlineStr">
        <is>
          <t>VÄSTERBOTTENS LÄN</t>
        </is>
      </c>
      <c r="G292" t="inlineStr">
        <is>
          <t>DOROTEA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46255</v>
      </c>
      <c r="F293" t="inlineStr">
        <is>
          <t>VÄSTERBOTTENS LÄN</t>
        </is>
      </c>
      <c r="G293" t="inlineStr">
        <is>
          <t>DOROTEA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46255</v>
      </c>
      <c r="F294" t="inlineStr">
        <is>
          <t>VÄSTERBOTTENS LÄN</t>
        </is>
      </c>
      <c r="G294" t="inlineStr">
        <is>
          <t>DOROTEA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63575-2025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46255</v>
      </c>
      <c r="F295" t="inlineStr">
        <is>
          <t>VÄSTERBOTTENS LÄN</t>
        </is>
      </c>
      <c r="G295" t="inlineStr">
        <is>
          <t>DOROTEA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45614</v>
      </c>
      <c r="E296" s="1" t="n">
        <v>46255</v>
      </c>
      <c r="F296" t="inlineStr">
        <is>
          <t>VÄSTERBOTTENS LÄN</t>
        </is>
      </c>
      <c r="G296" t="inlineStr">
        <is>
          <t>DOROTEA</t>
        </is>
      </c>
      <c r="I296" t="n">
        <v>31.7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55889-2022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44888</v>
      </c>
      <c r="E297" s="1" t="n">
        <v>46255</v>
      </c>
      <c r="F297" t="inlineStr">
        <is>
          <t>VÄSTERBOTTENS LÄN</t>
        </is>
      </c>
      <c r="G297" t="inlineStr">
        <is>
          <t>DOROTEA</t>
        </is>
      </c>
      <c r="I297" t="n">
        <v>15.8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20333-2026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46255</v>
      </c>
      <c r="F298" t="inlineStr">
        <is>
          <t>VÄSTERBOTTENS LÄN</t>
        </is>
      </c>
      <c r="G298" t="inlineStr">
        <is>
          <t>DOROTEA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45611</v>
      </c>
      <c r="E299" s="1" t="n">
        <v>46255</v>
      </c>
      <c r="F299" t="inlineStr">
        <is>
          <t>VÄSTERBOTTENS LÄN</t>
        </is>
      </c>
      <c r="G299" t="inlineStr">
        <is>
          <t>DOROTEA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46255</v>
      </c>
      <c r="F300" t="inlineStr">
        <is>
          <t>VÄSTERBOTTENS LÄN</t>
        </is>
      </c>
      <c r="G300" t="inlineStr">
        <is>
          <t>DOROTEA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45705</v>
      </c>
      <c r="E301" s="1" t="n">
        <v>46255</v>
      </c>
      <c r="F301" t="inlineStr">
        <is>
          <t>VÄSTERBOTTENS LÄN</t>
        </is>
      </c>
      <c r="G301" t="inlineStr">
        <is>
          <t>DOROTEA</t>
        </is>
      </c>
      <c r="I301" t="n">
        <v>13.3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37282-2025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45876</v>
      </c>
      <c r="E302" s="1" t="n">
        <v>46255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8247-2024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45351</v>
      </c>
      <c r="E303" s="1" t="n">
        <v>46255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46136</v>
      </c>
      <c r="E304" s="1" t="n">
        <v>46255</v>
      </c>
      <c r="F304" t="inlineStr">
        <is>
          <t>VÄSTERBOTTENS LÄN</t>
        </is>
      </c>
      <c r="G304" t="inlineStr">
        <is>
          <t>DOROTEA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46255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46255</v>
      </c>
      <c r="F306" t="inlineStr">
        <is>
          <t>VÄSTERBOTTENS LÄN</t>
        </is>
      </c>
      <c r="G306" t="inlineStr">
        <is>
          <t>DOROTEA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27558-2022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44742</v>
      </c>
      <c r="E307" s="1" t="n">
        <v>46255</v>
      </c>
      <c r="F307" t="inlineStr">
        <is>
          <t>VÄSTERBOTTENS LÄN</t>
        </is>
      </c>
      <c r="G307" t="inlineStr">
        <is>
          <t>DOROTEA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45678</v>
      </c>
      <c r="E308" s="1" t="n">
        <v>46255</v>
      </c>
      <c r="F308" t="inlineStr">
        <is>
          <t>VÄSTERBOTTENS LÄN</t>
        </is>
      </c>
      <c r="G308" t="inlineStr">
        <is>
          <t>DOROTEA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46255</v>
      </c>
      <c r="F309" t="inlineStr">
        <is>
          <t>VÄSTERBOTTENS LÄN</t>
        </is>
      </c>
      <c r="G309" t="inlineStr">
        <is>
          <t>DOROTEA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45223</v>
      </c>
      <c r="E310" s="1" t="n">
        <v>46255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46255</v>
      </c>
      <c r="F311" t="inlineStr">
        <is>
          <t>VÄSTERBOTTENS LÄN</t>
        </is>
      </c>
      <c r="G311" t="inlineStr">
        <is>
          <t>DOROTEA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46136</v>
      </c>
      <c r="E312" s="1" t="n">
        <v>46255</v>
      </c>
      <c r="F312" t="inlineStr">
        <is>
          <t>VÄSTERBOTTENS LÄN</t>
        </is>
      </c>
      <c r="G312" t="inlineStr">
        <is>
          <t>DOROTEA</t>
        </is>
      </c>
      <c r="I312" t="n">
        <v>21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20680-2026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46141</v>
      </c>
      <c r="E313" s="1" t="n">
        <v>46255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46136</v>
      </c>
      <c r="E314" s="1" t="n">
        <v>46255</v>
      </c>
      <c r="F314" t="inlineStr">
        <is>
          <t>VÄSTERBOTTENS LÄN</t>
        </is>
      </c>
      <c r="G314" t="inlineStr">
        <is>
          <t>DOROTEA</t>
        </is>
      </c>
      <c r="I314" t="n">
        <v>17.8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21199-2026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46255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45169</v>
      </c>
      <c r="E316" s="1" t="n">
        <v>46255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46146</v>
      </c>
      <c r="E317" s="1" t="n">
        <v>46255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21338-2026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46147</v>
      </c>
      <c r="E318" s="1" t="n">
        <v>46255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21332-2026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46147</v>
      </c>
      <c r="E319" s="1" t="n">
        <v>46255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21749-2026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46149</v>
      </c>
      <c r="E320" s="1" t="n">
        <v>46255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21812-2026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46150</v>
      </c>
      <c r="E321" s="1" t="n">
        <v>46255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46150</v>
      </c>
      <c r="E322" s="1" t="n">
        <v>46255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12.8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46189</v>
      </c>
      <c r="E323" s="1" t="n">
        <v>46255</v>
      </c>
      <c r="F323" t="inlineStr">
        <is>
          <t>VÄSTERBOTTENS LÄN</t>
        </is>
      </c>
      <c r="G323" t="inlineStr">
        <is>
          <t>DOROTEA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46189</v>
      </c>
      <c r="E324" s="1" t="n">
        <v>46255</v>
      </c>
      <c r="F324" t="inlineStr">
        <is>
          <t>VÄSTERBOTTENS LÄN</t>
        </is>
      </c>
      <c r="G324" t="inlineStr">
        <is>
          <t>DOROTEA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46189</v>
      </c>
      <c r="E325" s="1" t="n">
        <v>46255</v>
      </c>
      <c r="F325" t="inlineStr">
        <is>
          <t>VÄSTERBOTTENS LÄN</t>
        </is>
      </c>
      <c r="G325" t="inlineStr">
        <is>
          <t>DOROTEA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45735</v>
      </c>
      <c r="E326" s="1" t="n">
        <v>46255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46255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55888-2022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44888</v>
      </c>
      <c r="E328" s="1" t="n">
        <v>46255</v>
      </c>
      <c r="F328" t="inlineStr">
        <is>
          <t>VÄSTERBOTTENS LÄN</t>
        </is>
      </c>
      <c r="G328" t="inlineStr">
        <is>
          <t>DOROTEA</t>
        </is>
      </c>
      <c r="I328" t="n">
        <v>7.6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22214-2026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46255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46255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44960</v>
      </c>
      <c r="E331" s="1" t="n">
        <v>46255</v>
      </c>
      <c r="F331" t="inlineStr">
        <is>
          <t>VÄSTERBOTTENS LÄN</t>
        </is>
      </c>
      <c r="G331" t="inlineStr">
        <is>
          <t>DOROTEA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45747</v>
      </c>
      <c r="E332" s="1" t="n">
        <v>46255</v>
      </c>
      <c r="F332" t="inlineStr">
        <is>
          <t>VÄSTERBOTTENS LÄN</t>
        </is>
      </c>
      <c r="G332" t="inlineStr">
        <is>
          <t>DOROTEA</t>
        </is>
      </c>
      <c r="I332" t="n">
        <v>10.3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44748</v>
      </c>
      <c r="E333" s="1" t="n">
        <v>46255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47494-2023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45202</v>
      </c>
      <c r="E334" s="1" t="n">
        <v>46255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22650-2026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46155</v>
      </c>
      <c r="E335" s="1" t="n">
        <v>46255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8095-2023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44974</v>
      </c>
      <c r="E336" s="1" t="n">
        <v>46255</v>
      </c>
      <c r="F336" t="inlineStr">
        <is>
          <t>VÄSTERBOTTENS LÄN</t>
        </is>
      </c>
      <c r="G336" t="inlineStr">
        <is>
          <t>DOROTEA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46107</v>
      </c>
      <c r="E337" s="1" t="n">
        <v>46255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23001-2026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46160</v>
      </c>
      <c r="E338" s="1" t="n">
        <v>46255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45161</v>
      </c>
      <c r="E339" s="1" t="n">
        <v>46255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38096-2025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45882</v>
      </c>
      <c r="E340" s="1" t="n">
        <v>46255</v>
      </c>
      <c r="F340" t="inlineStr">
        <is>
          <t>VÄSTERBOTTENS LÄN</t>
        </is>
      </c>
      <c r="G340" t="inlineStr">
        <is>
          <t>DOROTEA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31497-2024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45505</v>
      </c>
      <c r="E341" s="1" t="n">
        <v>46255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46162</v>
      </c>
      <c r="E342" s="1" t="n">
        <v>46255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23324-2026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46255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30461-2024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45491</v>
      </c>
      <c r="E344" s="1" t="n">
        <v>46255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54031-2025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45962</v>
      </c>
      <c r="E345" s="1" t="n">
        <v>46255</v>
      </c>
      <c r="F345" t="inlineStr">
        <is>
          <t>VÄSTERBOTTENS LÄN</t>
        </is>
      </c>
      <c r="G345" t="inlineStr">
        <is>
          <t>DOROTEA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57794-2023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45246</v>
      </c>
      <c r="E346" s="1" t="n">
        <v>46255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23214-2026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46255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14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23408-2026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46255</v>
      </c>
      <c r="F348" t="inlineStr">
        <is>
          <t>VÄSTERBOTTENS LÄN</t>
        </is>
      </c>
      <c r="G348" t="inlineStr">
        <is>
          <t>DOROTEA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56807-2021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44481</v>
      </c>
      <c r="E349" s="1" t="n">
        <v>46255</v>
      </c>
      <c r="F349" t="inlineStr">
        <is>
          <t>VÄSTERBOTTENS LÄN</t>
        </is>
      </c>
      <c r="G349" t="inlineStr">
        <is>
          <t>DOROTEA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45642</v>
      </c>
      <c r="E350" s="1" t="n">
        <v>46255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14163-2024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45392</v>
      </c>
      <c r="E351" s="1" t="n">
        <v>46255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50582-2024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45600</v>
      </c>
      <c r="E352" s="1" t="n">
        <v>46255</v>
      </c>
      <c r="F352" t="inlineStr">
        <is>
          <t>VÄSTERBOTTENS LÄN</t>
        </is>
      </c>
      <c r="G352" t="inlineStr">
        <is>
          <t>DOROTEA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38700-2024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45547</v>
      </c>
      <c r="E353" s="1" t="n">
        <v>46255</v>
      </c>
      <c r="F353" t="inlineStr">
        <is>
          <t>VÄSTERBOTTENS LÄN</t>
        </is>
      </c>
      <c r="G353" t="inlineStr">
        <is>
          <t>DOROTEA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25373-2026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46255</v>
      </c>
      <c r="F354" t="inlineStr">
        <is>
          <t>VÄSTERBOTTENS LÄN</t>
        </is>
      </c>
      <c r="G354" t="inlineStr">
        <is>
          <t>DOROTEA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46817-2022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44848</v>
      </c>
      <c r="E355" s="1" t="n">
        <v>46255</v>
      </c>
      <c r="F355" t="inlineStr">
        <is>
          <t>VÄSTERBOTTENS LÄN</t>
        </is>
      </c>
      <c r="G355" t="inlineStr">
        <is>
          <t>DOROTEA</t>
        </is>
      </c>
      <c r="I355" t="n">
        <v>29.8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46213</v>
      </c>
      <c r="E356" s="1" t="n">
        <v>46255</v>
      </c>
      <c r="F356" t="inlineStr">
        <is>
          <t>VÄSTERBOTTENS LÄN</t>
        </is>
      </c>
      <c r="G356" t="inlineStr">
        <is>
          <t>DOROTEA</t>
        </is>
      </c>
      <c r="I356" t="n">
        <v>7.8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46213</v>
      </c>
      <c r="E357" s="1" t="n">
        <v>46255</v>
      </c>
      <c r="F357" t="inlineStr">
        <is>
          <t>VÄSTERBOTTENS LÄN</t>
        </is>
      </c>
      <c r="G357" t="inlineStr">
        <is>
          <t>DOROTEA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42473-2024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45565</v>
      </c>
      <c r="E358" s="1" t="n">
        <v>46255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31179-2026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46217</v>
      </c>
      <c r="E359" s="1" t="n">
        <v>46255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46965-2024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45586</v>
      </c>
      <c r="E360" s="1" t="n">
        <v>46255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Sveaskog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9103-2023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44979</v>
      </c>
      <c r="E361" s="1" t="n">
        <v>46255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7.7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25361-2026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46176</v>
      </c>
      <c r="E362" s="1" t="n">
        <v>46255</v>
      </c>
      <c r="F362" t="inlineStr">
        <is>
          <t>VÄSTERBOTTENS LÄN</t>
        </is>
      </c>
      <c r="G362" t="inlineStr">
        <is>
          <t>DOROTEA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31181-2026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46217</v>
      </c>
      <c r="E363" s="1" t="n">
        <v>46255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46218</v>
      </c>
      <c r="E364" s="1" t="n">
        <v>46255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46218</v>
      </c>
      <c r="E365" s="1" t="n">
        <v>46255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24839-2026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46255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24852-2026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46174</v>
      </c>
      <c r="E367" s="1" t="n">
        <v>46255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10360-2023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44980</v>
      </c>
      <c r="E368" s="1" t="n">
        <v>46255</v>
      </c>
      <c r="F368" t="inlineStr">
        <is>
          <t>VÄSTERBOTTENS LÄN</t>
        </is>
      </c>
      <c r="G368" t="inlineStr">
        <is>
          <t>DOROTEA</t>
        </is>
      </c>
      <c r="I368" t="n">
        <v>18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31259-2026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46218</v>
      </c>
      <c r="E369" s="1" t="n">
        <v>46255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31439-2026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46220</v>
      </c>
      <c r="E370" s="1" t="n">
        <v>46255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46099</v>
      </c>
      <c r="E371" s="1" t="n">
        <v>46255</v>
      </c>
      <c r="F371" t="inlineStr">
        <is>
          <t>VÄSTERBOTTENS LÄN</t>
        </is>
      </c>
      <c r="G371" t="inlineStr">
        <is>
          <t>DOROTEA</t>
        </is>
      </c>
      <c r="I371" t="n">
        <v>26.2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46224</v>
      </c>
      <c r="E372" s="1" t="n">
        <v>46255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31574-2026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46224</v>
      </c>
      <c r="E373" s="1" t="n">
        <v>46255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42228-2024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45562</v>
      </c>
      <c r="E374" s="1" t="n">
        <v>46255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7.7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26124-2026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46181</v>
      </c>
      <c r="E375" s="1" t="n">
        <v>46255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27477-2023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45097</v>
      </c>
      <c r="E376" s="1" t="n">
        <v>46255</v>
      </c>
      <c r="F376" t="inlineStr">
        <is>
          <t>VÄSTERBOTTENS LÄN</t>
        </is>
      </c>
      <c r="G376" t="inlineStr">
        <is>
          <t>DOROTEA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25682-2026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46178</v>
      </c>
      <c r="E377" s="1" t="n">
        <v>46255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46224</v>
      </c>
      <c r="E378" s="1" t="n">
        <v>46255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46255</v>
      </c>
      <c r="F379" t="inlineStr">
        <is>
          <t>VÄSTERBOTTENS LÄN</t>
        </is>
      </c>
      <c r="G379" t="inlineStr">
        <is>
          <t>DOROTEA</t>
        </is>
      </c>
      <c r="I379" t="n">
        <v>22.7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42889-2024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45566</v>
      </c>
      <c r="E380" s="1" t="n">
        <v>46255</v>
      </c>
      <c r="F380" t="inlineStr">
        <is>
          <t>VÄSTERBOTTENS LÄN</t>
        </is>
      </c>
      <c r="G380" t="inlineStr">
        <is>
          <t>DOROTEA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46182</v>
      </c>
      <c r="E381" s="1" t="n">
        <v>46255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46255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59653-2024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45639</v>
      </c>
      <c r="E383" s="1" t="n">
        <v>46255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45036</v>
      </c>
      <c r="E384" s="1" t="n">
        <v>46255</v>
      </c>
      <c r="F384" t="inlineStr">
        <is>
          <t>VÄSTERBOTTENS LÄN</t>
        </is>
      </c>
      <c r="G384" t="inlineStr">
        <is>
          <t>DOROTEA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22944-2024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45448</v>
      </c>
      <c r="E385" s="1" t="n">
        <v>46255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26926-2026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46255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45356</v>
      </c>
      <c r="E387" s="1" t="n">
        <v>46255</v>
      </c>
      <c r="F387" t="inlineStr">
        <is>
          <t>VÄSTERBOTTENS LÄN</t>
        </is>
      </c>
      <c r="G387" t="inlineStr">
        <is>
          <t>DOROTEA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45770</v>
      </c>
      <c r="E388" s="1" t="n">
        <v>46255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8246-2024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45351</v>
      </c>
      <c r="E389" s="1" t="n">
        <v>46255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46255</v>
      </c>
      <c r="F390" t="inlineStr">
        <is>
          <t>VÄSTERBOTTENS LÄN</t>
        </is>
      </c>
      <c r="G390" t="inlineStr">
        <is>
          <t>DOROTEA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59397-2023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45253</v>
      </c>
      <c r="E391" s="1" t="n">
        <v>46255</v>
      </c>
      <c r="F391" t="inlineStr">
        <is>
          <t>VÄSTERBOTTENS LÄN</t>
        </is>
      </c>
      <c r="G391" t="inlineStr">
        <is>
          <t>DOROTEA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20759-2023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45055</v>
      </c>
      <c r="E392" s="1" t="n">
        <v>46255</v>
      </c>
      <c r="F392" t="inlineStr">
        <is>
          <t>VÄSTERBOTTENS LÄN</t>
        </is>
      </c>
      <c r="G392" t="inlineStr">
        <is>
          <t>DOROTEA</t>
        </is>
      </c>
      <c r="H392" t="inlineStr">
        <is>
          <t>Övriga statliga verk och myndigheter</t>
        </is>
      </c>
      <c r="I392" t="n">
        <v>13.9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67686-2021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44524</v>
      </c>
      <c r="E393" s="1" t="n">
        <v>46255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27738-2026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46191</v>
      </c>
      <c r="E394" s="1" t="n">
        <v>46255</v>
      </c>
      <c r="F394" t="inlineStr">
        <is>
          <t>VÄSTERBOTTENS LÄN</t>
        </is>
      </c>
      <c r="G394" t="inlineStr">
        <is>
          <t>DOROTEA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32821-2024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45516</v>
      </c>
      <c r="E395" s="1" t="n">
        <v>46255</v>
      </c>
      <c r="F395" t="inlineStr">
        <is>
          <t>VÄSTERBOTTENS LÄN</t>
        </is>
      </c>
      <c r="G395" t="inlineStr">
        <is>
          <t>DOROTEA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57376-2022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44889</v>
      </c>
      <c r="E396" s="1" t="n">
        <v>46255</v>
      </c>
      <c r="F396" t="inlineStr">
        <is>
          <t>VÄSTERBOTTENS LÄN</t>
        </is>
      </c>
      <c r="G396" t="inlineStr">
        <is>
          <t>DOROTEA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46255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34107-2023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45125</v>
      </c>
      <c r="E398" s="1" t="n">
        <v>46255</v>
      </c>
      <c r="F398" t="inlineStr">
        <is>
          <t>VÄSTERBOTTENS LÄN</t>
        </is>
      </c>
      <c r="G398" t="inlineStr">
        <is>
          <t>DOROTEA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35000-2023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45142</v>
      </c>
      <c r="E399" s="1" t="n">
        <v>46255</v>
      </c>
      <c r="F399" t="inlineStr">
        <is>
          <t>VÄSTERBOTTENS LÄN</t>
        </is>
      </c>
      <c r="G399" t="inlineStr">
        <is>
          <t>DOROTEA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28180-2026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46255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52276-2023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45217</v>
      </c>
      <c r="E401" s="1" t="n">
        <v>46255</v>
      </c>
      <c r="F401" t="inlineStr">
        <is>
          <t>VÄSTERBOTTENS LÄN</t>
        </is>
      </c>
      <c r="G401" t="inlineStr">
        <is>
          <t>DOROTEA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46255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49.5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28782-2026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46255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53795-2022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46255</v>
      </c>
      <c r="F404" t="inlineStr">
        <is>
          <t>VÄSTERBOTTENS LÄN</t>
        </is>
      </c>
      <c r="G404" t="inlineStr">
        <is>
          <t>DOROTEA</t>
        </is>
      </c>
      <c r="I404" t="n">
        <v>12.3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13170-2025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46255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28741-2026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46198</v>
      </c>
      <c r="E406" s="1" t="n">
        <v>46255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28783-2026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46255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52144-2023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46255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30885-2026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46212</v>
      </c>
      <c r="E409" s="1" t="n">
        <v>46255</v>
      </c>
      <c r="F409" t="inlineStr">
        <is>
          <t>VÄSTERBOTTENS LÄN</t>
        </is>
      </c>
      <c r="G409" t="inlineStr">
        <is>
          <t>DOROTEA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29757-2026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46255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9.300000000000001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33514-2026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46248</v>
      </c>
      <c r="E411" s="1" t="n">
        <v>46255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46247</v>
      </c>
      <c r="E412" s="1" t="n">
        <v>46255</v>
      </c>
      <c r="F412" t="inlineStr">
        <is>
          <t>VÄSTERBOTTENS LÄN</t>
        </is>
      </c>
      <c r="G412" t="inlineStr">
        <is>
          <t>DOROTEA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22450-2024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45446</v>
      </c>
      <c r="E413" s="1" t="n">
        <v>46255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60153-2024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45642</v>
      </c>
      <c r="E414" s="1" t="n">
        <v>46255</v>
      </c>
      <c r="F414" t="inlineStr">
        <is>
          <t>VÄSTERBOTTENS LÄN</t>
        </is>
      </c>
      <c r="G414" t="inlineStr">
        <is>
          <t>DOROTEA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9030-2025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45713</v>
      </c>
      <c r="E415" s="1" t="n">
        <v>46255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60015-2023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45257</v>
      </c>
      <c r="E416" s="1" t="n">
        <v>46255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30078-2026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46255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45315</v>
      </c>
      <c r="E418" s="1" t="n">
        <v>46255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10402-2025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45720</v>
      </c>
      <c r="E419" s="1" t="n">
        <v>46255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46209</v>
      </c>
      <c r="E420" s="1" t="n">
        <v>46255</v>
      </c>
      <c r="F420" t="inlineStr">
        <is>
          <t>VÄSTERBOTTENS LÄN</t>
        </is>
      </c>
      <c r="G420" t="inlineStr">
        <is>
          <t>DOROTEA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30190-2026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46206</v>
      </c>
      <c r="E421" s="1" t="n">
        <v>46255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7.8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45253</v>
      </c>
      <c r="E422" s="1" t="n">
        <v>46255</v>
      </c>
      <c r="F422" t="inlineStr">
        <is>
          <t>VÄSTERBOTTENS LÄN</t>
        </is>
      </c>
      <c r="G422" t="inlineStr">
        <is>
          <t>DOROTEA</t>
        </is>
      </c>
      <c r="I422" t="n">
        <v>28.8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27305-2024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45471</v>
      </c>
      <c r="E423" s="1" t="n">
        <v>46255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28549-2023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45103</v>
      </c>
      <c r="E424" s="1" t="n">
        <v>46255</v>
      </c>
      <c r="F424" t="inlineStr">
        <is>
          <t>VÄSTERBOTTENS LÄN</t>
        </is>
      </c>
      <c r="G424" t="inlineStr">
        <is>
          <t>DOROTEA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46253</v>
      </c>
      <c r="E425" s="1" t="n">
        <v>46255</v>
      </c>
      <c r="F425" t="inlineStr">
        <is>
          <t>VÄSTERBOTTENS LÄN</t>
        </is>
      </c>
      <c r="G425" t="inlineStr">
        <is>
          <t>DOROTEA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30740-2026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46211</v>
      </c>
      <c r="E426" s="1" t="n">
        <v>46255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30645-2026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46211</v>
      </c>
      <c r="E427" s="1" t="n">
        <v>46255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45572</v>
      </c>
      <c r="E428" s="1" t="n">
        <v>46255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28856-2024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45478</v>
      </c>
      <c r="E429" s="1" t="n">
        <v>46255</v>
      </c>
      <c r="F429" t="inlineStr">
        <is>
          <t>VÄSTERBOTTENS LÄN</t>
        </is>
      </c>
      <c r="G429" t="inlineStr">
        <is>
          <t>DOROTEA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46253</v>
      </c>
      <c r="E430" s="1" t="n">
        <v>46255</v>
      </c>
      <c r="F430" t="inlineStr">
        <is>
          <t>VÄSTERBOTTENS LÄN</t>
        </is>
      </c>
      <c r="G430" t="inlineStr">
        <is>
          <t>DOROTEA</t>
        </is>
      </c>
      <c r="I430" t="n">
        <v>13.6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53382-2024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46255</v>
      </c>
      <c r="F431" t="inlineStr">
        <is>
          <t>VÄSTERBOTTENS LÄN</t>
        </is>
      </c>
      <c r="G431" t="inlineStr">
        <is>
          <t>DOROTEA</t>
        </is>
      </c>
      <c r="I431" t="n">
        <v>11.2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46253</v>
      </c>
      <c r="E432" s="1" t="n">
        <v>46255</v>
      </c>
      <c r="F432" t="inlineStr">
        <is>
          <t>VÄSTERBOTTENS LÄN</t>
        </is>
      </c>
      <c r="G432" t="inlineStr">
        <is>
          <t>DOROTEA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34149-2026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46253</v>
      </c>
      <c r="E433" s="1" t="n">
        <v>46255</v>
      </c>
      <c r="F433" t="inlineStr">
        <is>
          <t>VÄSTERBOTTENS LÄN</t>
        </is>
      </c>
      <c r="G433" t="inlineStr">
        <is>
          <t>DOROTEA</t>
        </is>
      </c>
      <c r="I433" t="n">
        <v>11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30821-2026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46255</v>
      </c>
      <c r="F434" t="inlineStr">
        <is>
          <t>VÄSTERBOTTENS LÄN</t>
        </is>
      </c>
      <c r="G434" t="inlineStr">
        <is>
          <t>DOROTEA</t>
        </is>
      </c>
      <c r="I434" t="n">
        <v>8.4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46212</v>
      </c>
      <c r="E435" s="1" t="n">
        <v>46255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42104-2024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45562</v>
      </c>
      <c r="E436" s="1" t="n">
        <v>46255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45789</v>
      </c>
      <c r="E437" s="1" t="n">
        <v>46255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45771</v>
      </c>
      <c r="E438" s="1" t="n">
        <v>46255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23457-2025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45792</v>
      </c>
      <c r="E439" s="1" t="n">
        <v>46255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29737-2024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45485</v>
      </c>
      <c r="E440" s="1" t="n">
        <v>46255</v>
      </c>
      <c r="F440" t="inlineStr">
        <is>
          <t>VÄSTERBOTTENS LÄN</t>
        </is>
      </c>
      <c r="G440" t="inlineStr">
        <is>
          <t>DOROTEA</t>
        </is>
      </c>
      <c r="I440" t="n">
        <v>10.2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44645</v>
      </c>
      <c r="E441" s="1" t="n">
        <v>46255</v>
      </c>
      <c r="F441" t="inlineStr">
        <is>
          <t>VÄSTERBOTTENS LÄN</t>
        </is>
      </c>
      <c r="G441" t="inlineStr">
        <is>
          <t>DOROTEA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34820-2023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45140</v>
      </c>
      <c r="E442" s="1" t="n">
        <v>46255</v>
      </c>
      <c r="F442" t="inlineStr">
        <is>
          <t>VÄSTERBOTTENS LÄN</t>
        </is>
      </c>
      <c r="G442" t="inlineStr">
        <is>
          <t>DOROTEA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45551</v>
      </c>
      <c r="E443" s="1" t="n">
        <v>46255</v>
      </c>
      <c r="F443" t="inlineStr">
        <is>
          <t>VÄSTERBOTTENS LÄN</t>
        </is>
      </c>
      <c r="G443" t="inlineStr">
        <is>
          <t>DOROTEA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33113-2024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45517</v>
      </c>
      <c r="E444" s="1" t="n">
        <v>46255</v>
      </c>
      <c r="F444" t="inlineStr">
        <is>
          <t>VÄSTERBOTTENS LÄN</t>
        </is>
      </c>
      <c r="G444" t="inlineStr">
        <is>
          <t>DOROTEA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53380-2024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46255</v>
      </c>
      <c r="F445" t="inlineStr">
        <is>
          <t>VÄSTERBOTTENS LÄN</t>
        </is>
      </c>
      <c r="G445" t="inlineStr">
        <is>
          <t>DOROTEA</t>
        </is>
      </c>
      <c r="I445" t="n">
        <v>12.8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25356-2025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45800</v>
      </c>
      <c r="E446" s="1" t="n">
        <v>46255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25606-2025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45803</v>
      </c>
      <c r="E447" s="1" t="n">
        <v>46255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26315-2025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45805</v>
      </c>
      <c r="E448" s="1" t="n">
        <v>46255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26481-2025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45807</v>
      </c>
      <c r="E449" s="1" t="n">
        <v>46255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26480-2025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45807</v>
      </c>
      <c r="E450" s="1" t="n">
        <v>46255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45664</v>
      </c>
      <c r="E451" s="1" t="n">
        <v>46255</v>
      </c>
      <c r="F451" t="inlineStr">
        <is>
          <t>VÄSTERBOTTENS LÄN</t>
        </is>
      </c>
      <c r="G451" t="inlineStr">
        <is>
          <t>DOROTEA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14759-2025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45742</v>
      </c>
      <c r="E452" s="1" t="n">
        <v>46255</v>
      </c>
      <c r="F452" t="inlineStr">
        <is>
          <t>VÄSTERBOTTENS LÄN</t>
        </is>
      </c>
      <c r="G452" t="inlineStr">
        <is>
          <t>DOROTEA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26904-2025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45811</v>
      </c>
      <c r="E453" s="1" t="n">
        <v>46255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28002-2025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46255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2945-2024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45506</v>
      </c>
      <c r="E455" s="1" t="n">
        <v>46255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1058-2025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45749</v>
      </c>
      <c r="E456" s="1" t="n">
        <v>46255</v>
      </c>
      <c r="F456" t="inlineStr">
        <is>
          <t>VÄSTERBOTTENS LÄN</t>
        </is>
      </c>
      <c r="G456" t="inlineStr">
        <is>
          <t>DOROTEA</t>
        </is>
      </c>
      <c r="I456" t="n">
        <v>10.9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844-2025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45733</v>
      </c>
      <c r="E457" s="1" t="n">
        <v>46255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1293.5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2195-2025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45858</v>
      </c>
      <c r="E458" s="1" t="n">
        <v>46255</v>
      </c>
      <c r="F458" t="inlineStr">
        <is>
          <t>VÄSTERBOTTENS LÄN</t>
        </is>
      </c>
      <c r="G458" t="inlineStr">
        <is>
          <t>DOROTEA</t>
        </is>
      </c>
      <c r="I458" t="n">
        <v>27.4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2283-2025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45876</v>
      </c>
      <c r="E459" s="1" t="n">
        <v>46255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2360-2025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45889</v>
      </c>
      <c r="E460" s="1" t="n">
        <v>46255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>
      <c r="A461" t="inlineStr">
        <is>
          <t>S 1763-2026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46189</v>
      </c>
      <c r="E461" s="1" t="n">
        <v>46255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2026-08-21T01:48:04Z</dcterms:created>
  <dcterms:modified xmlns:dcterms="http://purl.org/dc/terms/" xmlns:xsi="http://www.w3.org/2001/XMLSchema-instance" xsi:type="dcterms:W3CDTF">2026-08-21T01:48:04Z</dcterms:modified>
</cp:coreProperties>
</file>