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27557-2025</t>
        </is>
      </c>
      <c r="B2" s="1" t="n">
        <v>45813</v>
      </c>
      <c r="C2" s="1" t="n">
        <v>45981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20.7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Finporing
Ostticka
Garnlav
Granticka
Gränsticka
Harticka
Koralltaggsvamp
Spillkråka
Talltita
Tretåig hackspett
Kransrams
Luddlav
Stuplav
Trådticka
Skogsrör</t>
        </is>
      </c>
      <c r="S2">
        <f>HYPERLINK("https://klasma.github.io/Logging_2425/artfynd/A 27557-2025 artfynd.xlsx", "A 27557-2025")</f>
        <v/>
      </c>
      <c r="T2">
        <f>HYPERLINK("https://klasma.github.io/Logging_2425/kartor/A 27557-2025 karta.png", "A 27557-2025")</f>
        <v/>
      </c>
      <c r="V2">
        <f>HYPERLINK("https://klasma.github.io/Logging_2425/klagomål/A 27557-2025 FSC-klagomål.docx", "A 27557-2025")</f>
        <v/>
      </c>
      <c r="W2">
        <f>HYPERLINK("https://klasma.github.io/Logging_2425/klagomålsmail/A 27557-2025 FSC-klagomål mail.docx", "A 27557-2025")</f>
        <v/>
      </c>
      <c r="X2">
        <f>HYPERLINK("https://klasma.github.io/Logging_2425/tillsyn/A 27557-2025 tillsynsbegäran.docx", "A 27557-2025")</f>
        <v/>
      </c>
      <c r="Y2">
        <f>HYPERLINK("https://klasma.github.io/Logging_2425/tillsynsmail/A 27557-2025 tillsynsbegäran mail.docx", "A 27557-2025")</f>
        <v/>
      </c>
      <c r="Z2">
        <f>HYPERLINK("https://klasma.github.io/Logging_2425/fåglar/A 27557-2025 prioriterade fågelarter.docx", "A 27557-2025")</f>
        <v/>
      </c>
    </row>
    <row r="3" ht="15" customHeight="1">
      <c r="A3" t="inlineStr">
        <is>
          <t>A 25257-2025</t>
        </is>
      </c>
      <c r="B3" s="1" t="n">
        <v>45800.51078703703</v>
      </c>
      <c r="C3" s="1" t="n">
        <v>45981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10.6</v>
      </c>
      <c r="H3" t="n">
        <v>6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13</v>
      </c>
      <c r="R3" s="2" t="inlineStr">
        <is>
          <t>Garnlav
Granticka
Harticka
Lunglav
Spillkråka
Talltita
Tretåig hackspett
Luddlav
Plattlummer
Spindelblomster
Stuplav
Trådticka
Lavskrika</t>
        </is>
      </c>
      <c r="S3">
        <f>HYPERLINK("https://klasma.github.io/Logging_2425/artfynd/A 25257-2025 artfynd.xlsx", "A 25257-2025")</f>
        <v/>
      </c>
      <c r="T3">
        <f>HYPERLINK("https://klasma.github.io/Logging_2425/kartor/A 25257-2025 karta.png", "A 25257-2025")</f>
        <v/>
      </c>
      <c r="V3">
        <f>HYPERLINK("https://klasma.github.io/Logging_2425/klagomål/A 25257-2025 FSC-klagomål.docx", "A 25257-2025")</f>
        <v/>
      </c>
      <c r="W3">
        <f>HYPERLINK("https://klasma.github.io/Logging_2425/klagomålsmail/A 25257-2025 FSC-klagomål mail.docx", "A 25257-2025")</f>
        <v/>
      </c>
      <c r="X3">
        <f>HYPERLINK("https://klasma.github.io/Logging_2425/tillsyn/A 25257-2025 tillsynsbegäran.docx", "A 25257-2025")</f>
        <v/>
      </c>
      <c r="Y3">
        <f>HYPERLINK("https://klasma.github.io/Logging_2425/tillsynsmail/A 25257-2025 tillsynsbegäran mail.docx", "A 25257-2025")</f>
        <v/>
      </c>
      <c r="Z3">
        <f>HYPERLINK("https://klasma.github.io/Logging_2425/fåglar/A 25257-2025 prioriterade fågelarter.docx", "A 25257-2025")</f>
        <v/>
      </c>
    </row>
    <row r="4" ht="15" customHeight="1">
      <c r="A4" t="inlineStr">
        <is>
          <t>A 17180-2024</t>
        </is>
      </c>
      <c r="B4" s="1" t="n">
        <v>45412</v>
      </c>
      <c r="C4" s="1" t="n">
        <v>45981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5.6</v>
      </c>
      <c r="H4" t="n">
        <v>4</v>
      </c>
      <c r="I4" t="n">
        <v>4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12</v>
      </c>
      <c r="R4" s="2" t="inlineStr">
        <is>
          <t>Knärot
Garnlav
Granticka
Harticka
Liten svartspik
Ullticka
Vitgrynig nållav
Guckusko
Kransrams
Luddlav
Spindelblomster
Fläcknycklar</t>
        </is>
      </c>
      <c r="S4">
        <f>HYPERLINK("https://klasma.github.io/Logging_2425/artfynd/A 17180-2024 artfynd.xlsx", "A 17180-2024")</f>
        <v/>
      </c>
      <c r="T4">
        <f>HYPERLINK("https://klasma.github.io/Logging_2425/kartor/A 17180-2024 karta.png", "A 17180-2024")</f>
        <v/>
      </c>
      <c r="U4">
        <f>HYPERLINK("https://klasma.github.io/Logging_2425/knärot/A 17180-2024 karta knärot.png", "A 17180-2024")</f>
        <v/>
      </c>
      <c r="V4">
        <f>HYPERLINK("https://klasma.github.io/Logging_2425/klagomål/A 17180-2024 FSC-klagomål.docx", "A 17180-2024")</f>
        <v/>
      </c>
      <c r="W4">
        <f>HYPERLINK("https://klasma.github.io/Logging_2425/klagomålsmail/A 17180-2024 FSC-klagomål mail.docx", "A 17180-2024")</f>
        <v/>
      </c>
      <c r="X4">
        <f>HYPERLINK("https://klasma.github.io/Logging_2425/tillsyn/A 17180-2024 tillsynsbegäran.docx", "A 17180-2024")</f>
        <v/>
      </c>
      <c r="Y4">
        <f>HYPERLINK("https://klasma.github.io/Logging_2425/tillsynsmail/A 17180-2024 tillsynsbegäran mail.docx", "A 17180-2024")</f>
        <v/>
      </c>
    </row>
    <row r="5" ht="15" customHeight="1">
      <c r="A5" t="inlineStr">
        <is>
          <t>A 22116-2025</t>
        </is>
      </c>
      <c r="B5" s="1" t="n">
        <v>45785</v>
      </c>
      <c r="C5" s="1" t="n">
        <v>45981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10.1</v>
      </c>
      <c r="H5" t="n">
        <v>2</v>
      </c>
      <c r="I5" t="n">
        <v>2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10</v>
      </c>
      <c r="R5" s="2" t="inlineStr">
        <is>
          <t>Grantickeporing
Tajgaskinn
Granticka
Harticka
Lunglav
Skrovellav
Spillkråka
Tretåig hackspett
Bårdlav
Trådticka</t>
        </is>
      </c>
      <c r="S5">
        <f>HYPERLINK("https://klasma.github.io/Logging_2425/artfynd/A 22116-2025 artfynd.xlsx", "A 22116-2025")</f>
        <v/>
      </c>
      <c r="T5">
        <f>HYPERLINK("https://klasma.github.io/Logging_2425/kartor/A 22116-2025 karta.png", "A 22116-2025")</f>
        <v/>
      </c>
      <c r="V5">
        <f>HYPERLINK("https://klasma.github.io/Logging_2425/klagomål/A 22116-2025 FSC-klagomål.docx", "A 22116-2025")</f>
        <v/>
      </c>
      <c r="W5">
        <f>HYPERLINK("https://klasma.github.io/Logging_2425/klagomålsmail/A 22116-2025 FSC-klagomål mail.docx", "A 22116-2025")</f>
        <v/>
      </c>
      <c r="X5">
        <f>HYPERLINK("https://klasma.github.io/Logging_2425/tillsyn/A 22116-2025 tillsynsbegäran.docx", "A 22116-2025")</f>
        <v/>
      </c>
      <c r="Y5">
        <f>HYPERLINK("https://klasma.github.io/Logging_2425/tillsynsmail/A 22116-2025 tillsynsbegäran mail.docx", "A 22116-2025")</f>
        <v/>
      </c>
      <c r="Z5">
        <f>HYPERLINK("https://klasma.github.io/Logging_2425/fåglar/A 22116-2025 prioriterade fågelarter.docx", "A 22116-2025")</f>
        <v/>
      </c>
    </row>
    <row r="6" ht="15" customHeight="1">
      <c r="A6" t="inlineStr">
        <is>
          <t>A 53274-2024</t>
        </is>
      </c>
      <c r="B6" s="1" t="n">
        <v>45614</v>
      </c>
      <c r="C6" s="1" t="n">
        <v>45981</v>
      </c>
      <c r="D6" t="inlineStr">
        <is>
          <t>VÄSTERBOTTENS LÄN</t>
        </is>
      </c>
      <c r="E6" t="inlineStr">
        <is>
          <t>DOROTEA</t>
        </is>
      </c>
      <c r="G6" t="n">
        <v>15</v>
      </c>
      <c r="H6" t="n">
        <v>3</v>
      </c>
      <c r="I6" t="n">
        <v>1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9</v>
      </c>
      <c r="R6" s="2" t="inlineStr">
        <is>
          <t>Garnlav
Granticka
Harticka
Kolflarnlav
Mörk kolflarnlav
Spillkråka
Talltita
Tretåig hackspett
Luddlav</t>
        </is>
      </c>
      <c r="S6">
        <f>HYPERLINK("https://klasma.github.io/Logging_2425/artfynd/A 53274-2024 artfynd.xlsx", "A 53274-2024")</f>
        <v/>
      </c>
      <c r="T6">
        <f>HYPERLINK("https://klasma.github.io/Logging_2425/kartor/A 53274-2024 karta.png", "A 53274-2024")</f>
        <v/>
      </c>
      <c r="V6">
        <f>HYPERLINK("https://klasma.github.io/Logging_2425/klagomål/A 53274-2024 FSC-klagomål.docx", "A 53274-2024")</f>
        <v/>
      </c>
      <c r="W6">
        <f>HYPERLINK("https://klasma.github.io/Logging_2425/klagomålsmail/A 53274-2024 FSC-klagomål mail.docx", "A 53274-2024")</f>
        <v/>
      </c>
      <c r="X6">
        <f>HYPERLINK("https://klasma.github.io/Logging_2425/tillsyn/A 53274-2024 tillsynsbegäran.docx", "A 53274-2024")</f>
        <v/>
      </c>
      <c r="Y6">
        <f>HYPERLINK("https://klasma.github.io/Logging_2425/tillsynsmail/A 53274-2024 tillsynsbegäran mail.docx", "A 53274-2024")</f>
        <v/>
      </c>
      <c r="Z6">
        <f>HYPERLINK("https://klasma.github.io/Logging_2425/fåglar/A 53274-2024 prioriterade fågelarter.docx", "A 53274-2024")</f>
        <v/>
      </c>
    </row>
    <row r="7" ht="15" customHeight="1">
      <c r="A7" t="inlineStr">
        <is>
          <t>A 12366-2025</t>
        </is>
      </c>
      <c r="B7" s="1" t="n">
        <v>45730.37579861111</v>
      </c>
      <c r="C7" s="1" t="n">
        <v>45981</v>
      </c>
      <c r="D7" t="inlineStr">
        <is>
          <t>VÄSTERBOTTENS LÄN</t>
        </is>
      </c>
      <c r="E7" t="inlineStr">
        <is>
          <t>DOROTEA</t>
        </is>
      </c>
      <c r="F7" t="inlineStr">
        <is>
          <t>Övriga statliga verk och myndigheter</t>
        </is>
      </c>
      <c r="G7" t="n">
        <v>15.6</v>
      </c>
      <c r="H7" t="n">
        <v>1</v>
      </c>
      <c r="I7" t="n">
        <v>3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Garnlav
Granticka
Lunglav
Skrovellav
Tretåig hackspett
Bårdlav
Korallblylav
Luddlav</t>
        </is>
      </c>
      <c r="S7">
        <f>HYPERLINK("https://klasma.github.io/Logging_2425/artfynd/A 12366-2025 artfynd.xlsx", "A 12366-2025")</f>
        <v/>
      </c>
      <c r="T7">
        <f>HYPERLINK("https://klasma.github.io/Logging_2425/kartor/A 12366-2025 karta.png", "A 12366-2025")</f>
        <v/>
      </c>
      <c r="V7">
        <f>HYPERLINK("https://klasma.github.io/Logging_2425/klagomål/A 12366-2025 FSC-klagomål.docx", "A 12366-2025")</f>
        <v/>
      </c>
      <c r="W7">
        <f>HYPERLINK("https://klasma.github.io/Logging_2425/klagomålsmail/A 12366-2025 FSC-klagomål mail.docx", "A 12366-2025")</f>
        <v/>
      </c>
      <c r="X7">
        <f>HYPERLINK("https://klasma.github.io/Logging_2425/tillsyn/A 12366-2025 tillsynsbegäran.docx", "A 12366-2025")</f>
        <v/>
      </c>
      <c r="Y7">
        <f>HYPERLINK("https://klasma.github.io/Logging_2425/tillsynsmail/A 12366-2025 tillsynsbegäran mail.docx", "A 12366-2025")</f>
        <v/>
      </c>
      <c r="Z7">
        <f>HYPERLINK("https://klasma.github.io/Logging_2425/fåglar/A 12366-2025 prioriterade fågelarter.docx", "A 12366-2025")</f>
        <v/>
      </c>
    </row>
    <row r="8" ht="15" customHeight="1">
      <c r="A8" t="inlineStr">
        <is>
          <t>A 19331-2024</t>
        </is>
      </c>
      <c r="B8" s="1" t="n">
        <v>45428</v>
      </c>
      <c r="C8" s="1" t="n">
        <v>45981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21.7</v>
      </c>
      <c r="H8" t="n">
        <v>1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Garnlav
Lunglav
Skrovellav
Tretåig hackspett
Bårdlav
Luddlav
Stuplav</t>
        </is>
      </c>
      <c r="S8">
        <f>HYPERLINK("https://klasma.github.io/Logging_2425/artfynd/A 19331-2024 artfynd.xlsx", "A 19331-2024")</f>
        <v/>
      </c>
      <c r="T8">
        <f>HYPERLINK("https://klasma.github.io/Logging_2425/kartor/A 19331-2024 karta.png", "A 19331-2024")</f>
        <v/>
      </c>
      <c r="V8">
        <f>HYPERLINK("https://klasma.github.io/Logging_2425/klagomål/A 19331-2024 FSC-klagomål.docx", "A 19331-2024")</f>
        <v/>
      </c>
      <c r="W8">
        <f>HYPERLINK("https://klasma.github.io/Logging_2425/klagomålsmail/A 19331-2024 FSC-klagomål mail.docx", "A 19331-2024")</f>
        <v/>
      </c>
      <c r="X8">
        <f>HYPERLINK("https://klasma.github.io/Logging_2425/tillsyn/A 19331-2024 tillsynsbegäran.docx", "A 19331-2024")</f>
        <v/>
      </c>
      <c r="Y8">
        <f>HYPERLINK("https://klasma.github.io/Logging_2425/tillsynsmail/A 19331-2024 tillsynsbegäran mail.docx", "A 19331-2024")</f>
        <v/>
      </c>
      <c r="Z8">
        <f>HYPERLINK("https://klasma.github.io/Logging_2425/fåglar/A 19331-2024 prioriterade fågelarter.docx", "A 19331-2024")</f>
        <v/>
      </c>
    </row>
    <row r="9" ht="15" customHeight="1">
      <c r="A9" t="inlineStr">
        <is>
          <t>A 33655-2023</t>
        </is>
      </c>
      <c r="B9" s="1" t="n">
        <v>45119</v>
      </c>
      <c r="C9" s="1" t="n">
        <v>45981</v>
      </c>
      <c r="D9" t="inlineStr">
        <is>
          <t>VÄSTERBOTTENS LÄN</t>
        </is>
      </c>
      <c r="E9" t="inlineStr">
        <is>
          <t>DOROTEA</t>
        </is>
      </c>
      <c r="F9" t="inlineStr">
        <is>
          <t>Allmännings- och besparingsskogar</t>
        </is>
      </c>
      <c r="G9" t="n">
        <v>21.4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Harticka
Rosenticka
Ullticka
Fjällig taggsvamp s.str.
Trådticka</t>
        </is>
      </c>
      <c r="S9">
        <f>HYPERLINK("https://klasma.github.io/Logging_2425/artfynd/A 33655-2023 artfynd.xlsx", "A 33655-2023")</f>
        <v/>
      </c>
      <c r="T9">
        <f>HYPERLINK("https://klasma.github.io/Logging_2425/kartor/A 33655-2023 karta.png", "A 33655-2023")</f>
        <v/>
      </c>
      <c r="V9">
        <f>HYPERLINK("https://klasma.github.io/Logging_2425/klagomål/A 33655-2023 FSC-klagomål.docx", "A 33655-2023")</f>
        <v/>
      </c>
      <c r="W9">
        <f>HYPERLINK("https://klasma.github.io/Logging_2425/klagomålsmail/A 33655-2023 FSC-klagomål mail.docx", "A 33655-2023")</f>
        <v/>
      </c>
      <c r="X9">
        <f>HYPERLINK("https://klasma.github.io/Logging_2425/tillsyn/A 33655-2023 tillsynsbegäran.docx", "A 33655-2023")</f>
        <v/>
      </c>
      <c r="Y9">
        <f>HYPERLINK("https://klasma.github.io/Logging_2425/tillsynsmail/A 33655-2023 tillsynsbegäran mail.docx", "A 33655-2023")</f>
        <v/>
      </c>
    </row>
    <row r="10" ht="15" customHeight="1">
      <c r="A10" t="inlineStr">
        <is>
          <t>A 57059-2024</t>
        </is>
      </c>
      <c r="B10" s="1" t="n">
        <v>45629</v>
      </c>
      <c r="C10" s="1" t="n">
        <v>45981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7.5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Lunglav
Skrovellav
Vitgrynig nållav
Barkticka
Luddlav</t>
        </is>
      </c>
      <c r="S10">
        <f>HYPERLINK("https://klasma.github.io/Logging_2425/artfynd/A 57059-2024 artfynd.xlsx", "A 57059-2024")</f>
        <v/>
      </c>
      <c r="T10">
        <f>HYPERLINK("https://klasma.github.io/Logging_2425/kartor/A 57059-2024 karta.png", "A 57059-2024")</f>
        <v/>
      </c>
      <c r="V10">
        <f>HYPERLINK("https://klasma.github.io/Logging_2425/klagomål/A 57059-2024 FSC-klagomål.docx", "A 57059-2024")</f>
        <v/>
      </c>
      <c r="W10">
        <f>HYPERLINK("https://klasma.github.io/Logging_2425/klagomålsmail/A 57059-2024 FSC-klagomål mail.docx", "A 57059-2024")</f>
        <v/>
      </c>
      <c r="X10">
        <f>HYPERLINK("https://klasma.github.io/Logging_2425/tillsyn/A 57059-2024 tillsynsbegäran.docx", "A 57059-2024")</f>
        <v/>
      </c>
      <c r="Y10">
        <f>HYPERLINK("https://klasma.github.io/Logging_2425/tillsynsmail/A 57059-2024 tillsynsbegäran mail.docx", "A 57059-2024")</f>
        <v/>
      </c>
    </row>
    <row r="11" ht="15" customHeight="1">
      <c r="A11" t="inlineStr">
        <is>
          <t>A 33659-2023</t>
        </is>
      </c>
      <c r="B11" s="1" t="n">
        <v>45119</v>
      </c>
      <c r="C11" s="1" t="n">
        <v>45981</v>
      </c>
      <c r="D11" t="inlineStr">
        <is>
          <t>VÄSTERBOTTENS LÄN</t>
        </is>
      </c>
      <c r="E11" t="inlineStr">
        <is>
          <t>DOROTEA</t>
        </is>
      </c>
      <c r="F11" t="inlineStr">
        <is>
          <t>Allmännings- och besparingsskogar</t>
        </is>
      </c>
      <c r="G11" t="n">
        <v>21.1</v>
      </c>
      <c r="H11" t="n">
        <v>1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6</v>
      </c>
      <c r="R11" s="2" t="inlineStr">
        <is>
          <t>Garnlav
Granticka
Harticka
Stjärntagging
Tretåig hackspett
Trådticka</t>
        </is>
      </c>
      <c r="S11">
        <f>HYPERLINK("https://klasma.github.io/Logging_2425/artfynd/A 33659-2023 artfynd.xlsx", "A 33659-2023")</f>
        <v/>
      </c>
      <c r="T11">
        <f>HYPERLINK("https://klasma.github.io/Logging_2425/kartor/A 33659-2023 karta.png", "A 33659-2023")</f>
        <v/>
      </c>
      <c r="V11">
        <f>HYPERLINK("https://klasma.github.io/Logging_2425/klagomål/A 33659-2023 FSC-klagomål.docx", "A 33659-2023")</f>
        <v/>
      </c>
      <c r="W11">
        <f>HYPERLINK("https://klasma.github.io/Logging_2425/klagomålsmail/A 33659-2023 FSC-klagomål mail.docx", "A 33659-2023")</f>
        <v/>
      </c>
      <c r="X11">
        <f>HYPERLINK("https://klasma.github.io/Logging_2425/tillsyn/A 33659-2023 tillsynsbegäran.docx", "A 33659-2023")</f>
        <v/>
      </c>
      <c r="Y11">
        <f>HYPERLINK("https://klasma.github.io/Logging_2425/tillsynsmail/A 33659-2023 tillsynsbegäran mail.docx", "A 33659-2023")</f>
        <v/>
      </c>
      <c r="Z11">
        <f>HYPERLINK("https://klasma.github.io/Logging_2425/fåglar/A 33659-2023 prioriterade fågelarter.docx", "A 33659-2023")</f>
        <v/>
      </c>
    </row>
    <row r="12" ht="15" customHeight="1">
      <c r="A12" t="inlineStr">
        <is>
          <t>A 47955-2022</t>
        </is>
      </c>
      <c r="B12" s="1" t="n">
        <v>44853</v>
      </c>
      <c r="C12" s="1" t="n">
        <v>45981</v>
      </c>
      <c r="D12" t="inlineStr">
        <is>
          <t>VÄSTERBOTTENS LÄN</t>
        </is>
      </c>
      <c r="E12" t="inlineStr">
        <is>
          <t>DOROTEA</t>
        </is>
      </c>
      <c r="G12" t="n">
        <v>16.3</v>
      </c>
      <c r="H12" t="n">
        <v>0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Doftskinn
Granticka
Gränsticka
Harticka
Ullticka</t>
        </is>
      </c>
      <c r="S12">
        <f>HYPERLINK("https://klasma.github.io/Logging_2425/artfynd/A 47955-2022 artfynd.xlsx", "A 47955-2022")</f>
        <v/>
      </c>
      <c r="T12">
        <f>HYPERLINK("https://klasma.github.io/Logging_2425/kartor/A 47955-2022 karta.png", "A 47955-2022")</f>
        <v/>
      </c>
      <c r="V12">
        <f>HYPERLINK("https://klasma.github.io/Logging_2425/klagomål/A 47955-2022 FSC-klagomål.docx", "A 47955-2022")</f>
        <v/>
      </c>
      <c r="W12">
        <f>HYPERLINK("https://klasma.github.io/Logging_2425/klagomålsmail/A 47955-2022 FSC-klagomål mail.docx", "A 47955-2022")</f>
        <v/>
      </c>
      <c r="X12">
        <f>HYPERLINK("https://klasma.github.io/Logging_2425/tillsyn/A 47955-2022 tillsynsbegäran.docx", "A 47955-2022")</f>
        <v/>
      </c>
      <c r="Y12">
        <f>HYPERLINK("https://klasma.github.io/Logging_2425/tillsynsmail/A 47955-2022 tillsynsbegäran mail.docx", "A 47955-2022")</f>
        <v/>
      </c>
    </row>
    <row r="13" ht="15" customHeight="1">
      <c r="A13" t="inlineStr">
        <is>
          <t>A 8853-2024</t>
        </is>
      </c>
      <c r="B13" s="1" t="n">
        <v>45356</v>
      </c>
      <c r="C13" s="1" t="n">
        <v>45981</v>
      </c>
      <c r="D13" t="inlineStr">
        <is>
          <t>VÄSTERBOTTENS LÄN</t>
        </is>
      </c>
      <c r="E13" t="inlineStr">
        <is>
          <t>DOROTEA</t>
        </is>
      </c>
      <c r="G13" t="n">
        <v>1.9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Vitgrynig nållav
Luddlav
Stuplav
Kungsfågel</t>
        </is>
      </c>
      <c r="S13">
        <f>HYPERLINK("https://klasma.github.io/Logging_2425/artfynd/A 8853-2024 artfynd.xlsx", "A 8853-2024")</f>
        <v/>
      </c>
      <c r="T13">
        <f>HYPERLINK("https://klasma.github.io/Logging_2425/kartor/A 8853-2024 karta.png", "A 8853-2024")</f>
        <v/>
      </c>
      <c r="V13">
        <f>HYPERLINK("https://klasma.github.io/Logging_2425/klagomål/A 8853-2024 FSC-klagomål.docx", "A 8853-2024")</f>
        <v/>
      </c>
      <c r="W13">
        <f>HYPERLINK("https://klasma.github.io/Logging_2425/klagomålsmail/A 8853-2024 FSC-klagomål mail.docx", "A 8853-2024")</f>
        <v/>
      </c>
      <c r="X13">
        <f>HYPERLINK("https://klasma.github.io/Logging_2425/tillsyn/A 8853-2024 tillsynsbegäran.docx", "A 8853-2024")</f>
        <v/>
      </c>
      <c r="Y13">
        <f>HYPERLINK("https://klasma.github.io/Logging_2425/tillsynsmail/A 8853-2024 tillsynsbegäran mail.docx", "A 8853-2024")</f>
        <v/>
      </c>
      <c r="Z13">
        <f>HYPERLINK("https://klasma.github.io/Logging_2425/fåglar/A 8853-2024 prioriterade fågelarter.docx", "A 8853-2024")</f>
        <v/>
      </c>
    </row>
    <row r="14" ht="15" customHeight="1">
      <c r="A14" t="inlineStr">
        <is>
          <t>A 4828-2023</t>
        </is>
      </c>
      <c r="B14" s="1" t="n">
        <v>44957</v>
      </c>
      <c r="C14" s="1" t="n">
        <v>45981</v>
      </c>
      <c r="D14" t="inlineStr">
        <is>
          <t>VÄSTERBOTTENS LÄN</t>
        </is>
      </c>
      <c r="E14" t="inlineStr">
        <is>
          <t>DOROTEA</t>
        </is>
      </c>
      <c r="G14" t="n">
        <v>8</v>
      </c>
      <c r="H14" t="n">
        <v>1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Garnlav
Granticka
Vitgrynig nållav
Spindelblomster</t>
        </is>
      </c>
      <c r="S14">
        <f>HYPERLINK("https://klasma.github.io/Logging_2425/artfynd/A 4828-2023 artfynd.xlsx", "A 4828-2023")</f>
        <v/>
      </c>
      <c r="T14">
        <f>HYPERLINK("https://klasma.github.io/Logging_2425/kartor/A 4828-2023 karta.png", "A 4828-2023")</f>
        <v/>
      </c>
      <c r="V14">
        <f>HYPERLINK("https://klasma.github.io/Logging_2425/klagomål/A 4828-2023 FSC-klagomål.docx", "A 4828-2023")</f>
        <v/>
      </c>
      <c r="W14">
        <f>HYPERLINK("https://klasma.github.io/Logging_2425/klagomålsmail/A 4828-2023 FSC-klagomål mail.docx", "A 4828-2023")</f>
        <v/>
      </c>
      <c r="X14">
        <f>HYPERLINK("https://klasma.github.io/Logging_2425/tillsyn/A 4828-2023 tillsynsbegäran.docx", "A 4828-2023")</f>
        <v/>
      </c>
      <c r="Y14">
        <f>HYPERLINK("https://klasma.github.io/Logging_2425/tillsynsmail/A 4828-2023 tillsynsbegäran mail.docx", "A 4828-2023")</f>
        <v/>
      </c>
    </row>
    <row r="15" ht="15" customHeight="1">
      <c r="A15" t="inlineStr">
        <is>
          <t>A 23555-2024</t>
        </is>
      </c>
      <c r="B15" s="1" t="n">
        <v>45453</v>
      </c>
      <c r="C15" s="1" t="n">
        <v>45981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16.3</v>
      </c>
      <c r="H15" t="n">
        <v>3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Garnlav
Spindelblomster
Vanlig groda
Fläcknycklar</t>
        </is>
      </c>
      <c r="S15">
        <f>HYPERLINK("https://klasma.github.io/Logging_2425/artfynd/A 23555-2024 artfynd.xlsx", "A 23555-2024")</f>
        <v/>
      </c>
      <c r="T15">
        <f>HYPERLINK("https://klasma.github.io/Logging_2425/kartor/A 23555-2024 karta.png", "A 23555-2024")</f>
        <v/>
      </c>
      <c r="V15">
        <f>HYPERLINK("https://klasma.github.io/Logging_2425/klagomål/A 23555-2024 FSC-klagomål.docx", "A 23555-2024")</f>
        <v/>
      </c>
      <c r="W15">
        <f>HYPERLINK("https://klasma.github.io/Logging_2425/klagomålsmail/A 23555-2024 FSC-klagomål mail.docx", "A 23555-2024")</f>
        <v/>
      </c>
      <c r="X15">
        <f>HYPERLINK("https://klasma.github.io/Logging_2425/tillsyn/A 23555-2024 tillsynsbegäran.docx", "A 23555-2024")</f>
        <v/>
      </c>
      <c r="Y15">
        <f>HYPERLINK("https://klasma.github.io/Logging_2425/tillsynsmail/A 23555-2024 tillsynsbegäran mail.docx", "A 23555-2024")</f>
        <v/>
      </c>
    </row>
    <row r="16" ht="15" customHeight="1">
      <c r="A16" t="inlineStr">
        <is>
          <t>A 34749-2025</t>
        </is>
      </c>
      <c r="B16" s="1" t="n">
        <v>45848.61557870371</v>
      </c>
      <c r="C16" s="1" t="n">
        <v>45981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4.5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Gammelgransskål
Granticka
Gytterlav
Luddlav</t>
        </is>
      </c>
      <c r="S16">
        <f>HYPERLINK("https://klasma.github.io/Logging_2425/artfynd/A 34749-2025 artfynd.xlsx", "A 34749-2025")</f>
        <v/>
      </c>
      <c r="T16">
        <f>HYPERLINK("https://klasma.github.io/Logging_2425/kartor/A 34749-2025 karta.png", "A 34749-2025")</f>
        <v/>
      </c>
      <c r="V16">
        <f>HYPERLINK("https://klasma.github.io/Logging_2425/klagomål/A 34749-2025 FSC-klagomål.docx", "A 34749-2025")</f>
        <v/>
      </c>
      <c r="W16">
        <f>HYPERLINK("https://klasma.github.io/Logging_2425/klagomålsmail/A 34749-2025 FSC-klagomål mail.docx", "A 34749-2025")</f>
        <v/>
      </c>
      <c r="X16">
        <f>HYPERLINK("https://klasma.github.io/Logging_2425/tillsyn/A 34749-2025 tillsynsbegäran.docx", "A 34749-2025")</f>
        <v/>
      </c>
      <c r="Y16">
        <f>HYPERLINK("https://klasma.github.io/Logging_2425/tillsynsmail/A 34749-2025 tillsynsbegäran mail.docx", "A 34749-2025")</f>
        <v/>
      </c>
    </row>
    <row r="17" ht="15" customHeight="1">
      <c r="A17" t="inlineStr">
        <is>
          <t>A 47496-2023</t>
        </is>
      </c>
      <c r="B17" s="1" t="n">
        <v>45202</v>
      </c>
      <c r="C17" s="1" t="n">
        <v>45981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7.4</v>
      </c>
      <c r="H17" t="n">
        <v>1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Aspgelélav
Gammelgransskål
Tretåig hackspett</t>
        </is>
      </c>
      <c r="S17">
        <f>HYPERLINK("https://klasma.github.io/Logging_2425/artfynd/A 47496-2023 artfynd.xlsx", "A 47496-2023")</f>
        <v/>
      </c>
      <c r="T17">
        <f>HYPERLINK("https://klasma.github.io/Logging_2425/kartor/A 47496-2023 karta.png", "A 47496-2023")</f>
        <v/>
      </c>
      <c r="V17">
        <f>HYPERLINK("https://klasma.github.io/Logging_2425/klagomål/A 47496-2023 FSC-klagomål.docx", "A 47496-2023")</f>
        <v/>
      </c>
      <c r="W17">
        <f>HYPERLINK("https://klasma.github.io/Logging_2425/klagomålsmail/A 47496-2023 FSC-klagomål mail.docx", "A 47496-2023")</f>
        <v/>
      </c>
      <c r="X17">
        <f>HYPERLINK("https://klasma.github.io/Logging_2425/tillsyn/A 47496-2023 tillsynsbegäran.docx", "A 47496-2023")</f>
        <v/>
      </c>
      <c r="Y17">
        <f>HYPERLINK("https://klasma.github.io/Logging_2425/tillsynsmail/A 47496-2023 tillsynsbegäran mail.docx", "A 47496-2023")</f>
        <v/>
      </c>
      <c r="Z17">
        <f>HYPERLINK("https://klasma.github.io/Logging_2425/fåglar/A 47496-2023 prioriterade fågelarter.docx", "A 47496-2023")</f>
        <v/>
      </c>
    </row>
    <row r="18" ht="15" customHeight="1">
      <c r="A18" t="inlineStr">
        <is>
          <t>A 52738-2023</t>
        </is>
      </c>
      <c r="B18" s="1" t="n">
        <v>45225</v>
      </c>
      <c r="C18" s="1" t="n">
        <v>45981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8.800000000000001</v>
      </c>
      <c r="H18" t="n">
        <v>2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Doftticka
Trådticka
Tjäder</t>
        </is>
      </c>
      <c r="S18">
        <f>HYPERLINK("https://klasma.github.io/Logging_2425/artfynd/A 52738-2023 artfynd.xlsx", "A 52738-2023")</f>
        <v/>
      </c>
      <c r="T18">
        <f>HYPERLINK("https://klasma.github.io/Logging_2425/kartor/A 52738-2023 karta.png", "A 52738-2023")</f>
        <v/>
      </c>
      <c r="V18">
        <f>HYPERLINK("https://klasma.github.io/Logging_2425/klagomål/A 52738-2023 FSC-klagomål.docx", "A 52738-2023")</f>
        <v/>
      </c>
      <c r="W18">
        <f>HYPERLINK("https://klasma.github.io/Logging_2425/klagomålsmail/A 52738-2023 FSC-klagomål mail.docx", "A 52738-2023")</f>
        <v/>
      </c>
      <c r="X18">
        <f>HYPERLINK("https://klasma.github.io/Logging_2425/tillsyn/A 52738-2023 tillsynsbegäran.docx", "A 52738-2023")</f>
        <v/>
      </c>
      <c r="Y18">
        <f>HYPERLINK("https://klasma.github.io/Logging_2425/tillsynsmail/A 52738-2023 tillsynsbegäran mail.docx", "A 52738-2023")</f>
        <v/>
      </c>
      <c r="Z18">
        <f>HYPERLINK("https://klasma.github.io/Logging_2425/fåglar/A 52738-2023 prioriterade fågelarter.docx", "A 52738-2023")</f>
        <v/>
      </c>
    </row>
    <row r="19" ht="15" customHeight="1">
      <c r="A19" t="inlineStr">
        <is>
          <t>A 28909-2025</t>
        </is>
      </c>
      <c r="B19" s="1" t="n">
        <v>45820.65403935185</v>
      </c>
      <c r="C19" s="1" t="n">
        <v>45981</v>
      </c>
      <c r="D19" t="inlineStr">
        <is>
          <t>VÄSTERBOTTENS LÄN</t>
        </is>
      </c>
      <c r="E19" t="inlineStr">
        <is>
          <t>DOROTEA</t>
        </is>
      </c>
      <c r="F19" t="inlineStr">
        <is>
          <t>Kyrkan</t>
        </is>
      </c>
      <c r="G19" t="n">
        <v>5.5</v>
      </c>
      <c r="H19" t="n">
        <v>1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Kolflarnlav
Mörk kolflarnlav
Tretåig hackspett</t>
        </is>
      </c>
      <c r="S19">
        <f>HYPERLINK("https://klasma.github.io/Logging_2425/artfynd/A 28909-2025 artfynd.xlsx", "A 28909-2025")</f>
        <v/>
      </c>
      <c r="T19">
        <f>HYPERLINK("https://klasma.github.io/Logging_2425/kartor/A 28909-2025 karta.png", "A 28909-2025")</f>
        <v/>
      </c>
      <c r="V19">
        <f>HYPERLINK("https://klasma.github.io/Logging_2425/klagomål/A 28909-2025 FSC-klagomål.docx", "A 28909-2025")</f>
        <v/>
      </c>
      <c r="W19">
        <f>HYPERLINK("https://klasma.github.io/Logging_2425/klagomålsmail/A 28909-2025 FSC-klagomål mail.docx", "A 28909-2025")</f>
        <v/>
      </c>
      <c r="X19">
        <f>HYPERLINK("https://klasma.github.io/Logging_2425/tillsyn/A 28909-2025 tillsynsbegäran.docx", "A 28909-2025")</f>
        <v/>
      </c>
      <c r="Y19">
        <f>HYPERLINK("https://klasma.github.io/Logging_2425/tillsynsmail/A 28909-2025 tillsynsbegäran mail.docx", "A 28909-2025")</f>
        <v/>
      </c>
      <c r="Z19">
        <f>HYPERLINK("https://klasma.github.io/Logging_2425/fåglar/A 28909-2025 prioriterade fågelarter.docx", "A 28909-2025")</f>
        <v/>
      </c>
    </row>
    <row r="20" ht="15" customHeight="1">
      <c r="A20" t="inlineStr">
        <is>
          <t>A 21672-2023</t>
        </is>
      </c>
      <c r="B20" s="1" t="n">
        <v>45063</v>
      </c>
      <c r="C20" s="1" t="n">
        <v>45981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7.4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Doftskinn
Skrovellav
Ullticka</t>
        </is>
      </c>
      <c r="S20">
        <f>HYPERLINK("https://klasma.github.io/Logging_2425/artfynd/A 21672-2023 artfynd.xlsx", "A 21672-2023")</f>
        <v/>
      </c>
      <c r="T20">
        <f>HYPERLINK("https://klasma.github.io/Logging_2425/kartor/A 21672-2023 karta.png", "A 21672-2023")</f>
        <v/>
      </c>
      <c r="V20">
        <f>HYPERLINK("https://klasma.github.io/Logging_2425/klagomål/A 21672-2023 FSC-klagomål.docx", "A 21672-2023")</f>
        <v/>
      </c>
      <c r="W20">
        <f>HYPERLINK("https://klasma.github.io/Logging_2425/klagomålsmail/A 21672-2023 FSC-klagomål mail.docx", "A 21672-2023")</f>
        <v/>
      </c>
      <c r="X20">
        <f>HYPERLINK("https://klasma.github.io/Logging_2425/tillsyn/A 21672-2023 tillsynsbegäran.docx", "A 21672-2023")</f>
        <v/>
      </c>
      <c r="Y20">
        <f>HYPERLINK("https://klasma.github.io/Logging_2425/tillsynsmail/A 21672-2023 tillsynsbegäran mail.docx", "A 21672-2023")</f>
        <v/>
      </c>
    </row>
    <row r="21" ht="15" customHeight="1">
      <c r="A21" t="inlineStr">
        <is>
          <t>A 39679-2025</t>
        </is>
      </c>
      <c r="B21" s="1" t="n">
        <v>45890</v>
      </c>
      <c r="C21" s="1" t="n">
        <v>45981</v>
      </c>
      <c r="D21" t="inlineStr">
        <is>
          <t>VÄSTERBOTTENS LÄN</t>
        </is>
      </c>
      <c r="E21" t="inlineStr">
        <is>
          <t>DOROTEA</t>
        </is>
      </c>
      <c r="G21" t="n">
        <v>11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Garnlav
Granticka</t>
        </is>
      </c>
      <c r="S21">
        <f>HYPERLINK("https://klasma.github.io/Logging_2425/artfynd/A 39679-2025 artfynd.xlsx", "A 39679-2025")</f>
        <v/>
      </c>
      <c r="T21">
        <f>HYPERLINK("https://klasma.github.io/Logging_2425/kartor/A 39679-2025 karta.png", "A 39679-2025")</f>
        <v/>
      </c>
      <c r="V21">
        <f>HYPERLINK("https://klasma.github.io/Logging_2425/klagomål/A 39679-2025 FSC-klagomål.docx", "A 39679-2025")</f>
        <v/>
      </c>
      <c r="W21">
        <f>HYPERLINK("https://klasma.github.io/Logging_2425/klagomålsmail/A 39679-2025 FSC-klagomål mail.docx", "A 39679-2025")</f>
        <v/>
      </c>
      <c r="X21">
        <f>HYPERLINK("https://klasma.github.io/Logging_2425/tillsyn/A 39679-2025 tillsynsbegäran.docx", "A 39679-2025")</f>
        <v/>
      </c>
      <c r="Y21">
        <f>HYPERLINK("https://klasma.github.io/Logging_2425/tillsynsmail/A 39679-2025 tillsynsbegäran mail.docx", "A 39679-2025")</f>
        <v/>
      </c>
    </row>
    <row r="22" ht="15" customHeight="1">
      <c r="A22" t="inlineStr">
        <is>
          <t>A 49045-2025</t>
        </is>
      </c>
      <c r="B22" s="1" t="n">
        <v>45937.63671296297</v>
      </c>
      <c r="C22" s="1" t="n">
        <v>45981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4.5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Gammelgransskål
Tretåig hackspett</t>
        </is>
      </c>
      <c r="S22">
        <f>HYPERLINK("https://klasma.github.io/Logging_2425/artfynd/A 49045-2025 artfynd.xlsx", "A 49045-2025")</f>
        <v/>
      </c>
      <c r="T22">
        <f>HYPERLINK("https://klasma.github.io/Logging_2425/kartor/A 49045-2025 karta.png", "A 49045-2025")</f>
        <v/>
      </c>
      <c r="V22">
        <f>HYPERLINK("https://klasma.github.io/Logging_2425/klagomål/A 49045-2025 FSC-klagomål.docx", "A 49045-2025")</f>
        <v/>
      </c>
      <c r="W22">
        <f>HYPERLINK("https://klasma.github.io/Logging_2425/klagomålsmail/A 49045-2025 FSC-klagomål mail.docx", "A 49045-2025")</f>
        <v/>
      </c>
      <c r="X22">
        <f>HYPERLINK("https://klasma.github.io/Logging_2425/tillsyn/A 49045-2025 tillsynsbegäran.docx", "A 49045-2025")</f>
        <v/>
      </c>
      <c r="Y22">
        <f>HYPERLINK("https://klasma.github.io/Logging_2425/tillsynsmail/A 49045-2025 tillsynsbegäran mail.docx", "A 49045-2025")</f>
        <v/>
      </c>
      <c r="Z22">
        <f>HYPERLINK("https://klasma.github.io/Logging_2425/fåglar/A 49045-2025 prioriterade fågelarter.docx", "A 49045-2025")</f>
        <v/>
      </c>
    </row>
    <row r="23" ht="15" customHeight="1">
      <c r="A23" t="inlineStr">
        <is>
          <t>A 54284-2024</t>
        </is>
      </c>
      <c r="B23" s="1" t="n">
        <v>45616.89516203704</v>
      </c>
      <c r="C23" s="1" t="n">
        <v>45981</v>
      </c>
      <c r="D23" t="inlineStr">
        <is>
          <t>VÄSTERBOTTENS LÄN</t>
        </is>
      </c>
      <c r="E23" t="inlineStr">
        <is>
          <t>DOROTEA</t>
        </is>
      </c>
      <c r="G23" t="n">
        <v>16.1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Bårdlav
Stuplav</t>
        </is>
      </c>
      <c r="S23">
        <f>HYPERLINK("https://klasma.github.io/Logging_2425/artfynd/A 54284-2024 artfynd.xlsx", "A 54284-2024")</f>
        <v/>
      </c>
      <c r="T23">
        <f>HYPERLINK("https://klasma.github.io/Logging_2425/kartor/A 54284-2024 karta.png", "A 54284-2024")</f>
        <v/>
      </c>
      <c r="V23">
        <f>HYPERLINK("https://klasma.github.io/Logging_2425/klagomål/A 54284-2024 FSC-klagomål.docx", "A 54284-2024")</f>
        <v/>
      </c>
      <c r="W23">
        <f>HYPERLINK("https://klasma.github.io/Logging_2425/klagomålsmail/A 54284-2024 FSC-klagomål mail.docx", "A 54284-2024")</f>
        <v/>
      </c>
      <c r="X23">
        <f>HYPERLINK("https://klasma.github.io/Logging_2425/tillsyn/A 54284-2024 tillsynsbegäran.docx", "A 54284-2024")</f>
        <v/>
      </c>
      <c r="Y23">
        <f>HYPERLINK("https://klasma.github.io/Logging_2425/tillsynsmail/A 54284-2024 tillsynsbegäran mail.docx", "A 54284-2024")</f>
        <v/>
      </c>
    </row>
    <row r="24" ht="15" customHeight="1">
      <c r="A24" t="inlineStr">
        <is>
          <t>A 41360-2025</t>
        </is>
      </c>
      <c r="B24" s="1" t="n">
        <v>45900.46912037037</v>
      </c>
      <c r="C24" s="1" t="n">
        <v>45981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11.5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Kransrams
Skogsrör</t>
        </is>
      </c>
      <c r="S24">
        <f>HYPERLINK("https://klasma.github.io/Logging_2425/artfynd/A 41360-2025 artfynd.xlsx", "A 41360-2025")</f>
        <v/>
      </c>
      <c r="T24">
        <f>HYPERLINK("https://klasma.github.io/Logging_2425/kartor/A 41360-2025 karta.png", "A 41360-2025")</f>
        <v/>
      </c>
      <c r="V24">
        <f>HYPERLINK("https://klasma.github.io/Logging_2425/klagomål/A 41360-2025 FSC-klagomål.docx", "A 41360-2025")</f>
        <v/>
      </c>
      <c r="W24">
        <f>HYPERLINK("https://klasma.github.io/Logging_2425/klagomålsmail/A 41360-2025 FSC-klagomål mail.docx", "A 41360-2025")</f>
        <v/>
      </c>
      <c r="X24">
        <f>HYPERLINK("https://klasma.github.io/Logging_2425/tillsyn/A 41360-2025 tillsynsbegäran.docx", "A 41360-2025")</f>
        <v/>
      </c>
      <c r="Y24">
        <f>HYPERLINK("https://klasma.github.io/Logging_2425/tillsynsmail/A 41360-2025 tillsynsbegäran mail.docx", "A 41360-2025")</f>
        <v/>
      </c>
    </row>
    <row r="25" ht="15" customHeight="1">
      <c r="A25" t="inlineStr">
        <is>
          <t>A 58736-2022</t>
        </is>
      </c>
      <c r="B25" s="1" t="n">
        <v>44902</v>
      </c>
      <c r="C25" s="1" t="n">
        <v>45981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3.4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Lunglav
Skrovellav</t>
        </is>
      </c>
      <c r="S25">
        <f>HYPERLINK("https://klasma.github.io/Logging_2425/artfynd/A 58736-2022 artfynd.xlsx", "A 58736-2022")</f>
        <v/>
      </c>
      <c r="T25">
        <f>HYPERLINK("https://klasma.github.io/Logging_2425/kartor/A 58736-2022 karta.png", "A 58736-2022")</f>
        <v/>
      </c>
      <c r="V25">
        <f>HYPERLINK("https://klasma.github.io/Logging_2425/klagomål/A 58736-2022 FSC-klagomål.docx", "A 58736-2022")</f>
        <v/>
      </c>
      <c r="W25">
        <f>HYPERLINK("https://klasma.github.io/Logging_2425/klagomålsmail/A 58736-2022 FSC-klagomål mail.docx", "A 58736-2022")</f>
        <v/>
      </c>
      <c r="X25">
        <f>HYPERLINK("https://klasma.github.io/Logging_2425/tillsyn/A 58736-2022 tillsynsbegäran.docx", "A 58736-2022")</f>
        <v/>
      </c>
      <c r="Y25">
        <f>HYPERLINK("https://klasma.github.io/Logging_2425/tillsynsmail/A 58736-2022 tillsynsbegäran mail.docx", "A 58736-2022")</f>
        <v/>
      </c>
    </row>
    <row r="26" ht="15" customHeight="1">
      <c r="A26" t="inlineStr">
        <is>
          <t>A 57060-2024</t>
        </is>
      </c>
      <c r="B26" s="1" t="n">
        <v>45629</v>
      </c>
      <c r="C26" s="1" t="n">
        <v>45981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8.9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Granticka</t>
        </is>
      </c>
      <c r="S26">
        <f>HYPERLINK("https://klasma.github.io/Logging_2425/artfynd/A 57060-2024 artfynd.xlsx", "A 57060-2024")</f>
        <v/>
      </c>
      <c r="T26">
        <f>HYPERLINK("https://klasma.github.io/Logging_2425/kartor/A 57060-2024 karta.png", "A 57060-2024")</f>
        <v/>
      </c>
      <c r="V26">
        <f>HYPERLINK("https://klasma.github.io/Logging_2425/klagomål/A 57060-2024 FSC-klagomål.docx", "A 57060-2024")</f>
        <v/>
      </c>
      <c r="W26">
        <f>HYPERLINK("https://klasma.github.io/Logging_2425/klagomålsmail/A 57060-2024 FSC-klagomål mail.docx", "A 57060-2024")</f>
        <v/>
      </c>
      <c r="X26">
        <f>HYPERLINK("https://klasma.github.io/Logging_2425/tillsyn/A 57060-2024 tillsynsbegäran.docx", "A 57060-2024")</f>
        <v/>
      </c>
      <c r="Y26">
        <f>HYPERLINK("https://klasma.github.io/Logging_2425/tillsynsmail/A 57060-2024 tillsynsbegäran mail.docx", "A 57060-2024")</f>
        <v/>
      </c>
    </row>
    <row r="27" ht="15" customHeight="1">
      <c r="A27" t="inlineStr">
        <is>
          <t>A 1278-2024</t>
        </is>
      </c>
      <c r="B27" s="1" t="n">
        <v>45302</v>
      </c>
      <c r="C27" s="1" t="n">
        <v>45981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1.3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Gräddticka
Granticka</t>
        </is>
      </c>
      <c r="S27">
        <f>HYPERLINK("https://klasma.github.io/Logging_2425/artfynd/A 1278-2024 artfynd.xlsx", "A 1278-2024")</f>
        <v/>
      </c>
      <c r="T27">
        <f>HYPERLINK("https://klasma.github.io/Logging_2425/kartor/A 1278-2024 karta.png", "A 1278-2024")</f>
        <v/>
      </c>
      <c r="V27">
        <f>HYPERLINK("https://klasma.github.io/Logging_2425/klagomål/A 1278-2024 FSC-klagomål.docx", "A 1278-2024")</f>
        <v/>
      </c>
      <c r="W27">
        <f>HYPERLINK("https://klasma.github.io/Logging_2425/klagomålsmail/A 1278-2024 FSC-klagomål mail.docx", "A 1278-2024")</f>
        <v/>
      </c>
      <c r="X27">
        <f>HYPERLINK("https://klasma.github.io/Logging_2425/tillsyn/A 1278-2024 tillsynsbegäran.docx", "A 1278-2024")</f>
        <v/>
      </c>
      <c r="Y27">
        <f>HYPERLINK("https://klasma.github.io/Logging_2425/tillsynsmail/A 1278-2024 tillsynsbegäran mail.docx", "A 1278-2024")</f>
        <v/>
      </c>
    </row>
    <row r="28" ht="15" customHeight="1">
      <c r="A28" t="inlineStr">
        <is>
          <t>A 33263-2025</t>
        </is>
      </c>
      <c r="B28" s="1" t="n">
        <v>45840.67800925926</v>
      </c>
      <c r="C28" s="1" t="n">
        <v>45981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15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Gammelgransskål
Vedticka</t>
        </is>
      </c>
      <c r="S28">
        <f>HYPERLINK("https://klasma.github.io/Logging_2425/artfynd/A 33263-2025 artfynd.xlsx", "A 33263-2025")</f>
        <v/>
      </c>
      <c r="T28">
        <f>HYPERLINK("https://klasma.github.io/Logging_2425/kartor/A 33263-2025 karta.png", "A 33263-2025")</f>
        <v/>
      </c>
      <c r="V28">
        <f>HYPERLINK("https://klasma.github.io/Logging_2425/klagomål/A 33263-2025 FSC-klagomål.docx", "A 33263-2025")</f>
        <v/>
      </c>
      <c r="W28">
        <f>HYPERLINK("https://klasma.github.io/Logging_2425/klagomålsmail/A 33263-2025 FSC-klagomål mail.docx", "A 33263-2025")</f>
        <v/>
      </c>
      <c r="X28">
        <f>HYPERLINK("https://klasma.github.io/Logging_2425/tillsyn/A 33263-2025 tillsynsbegäran.docx", "A 33263-2025")</f>
        <v/>
      </c>
      <c r="Y28">
        <f>HYPERLINK("https://klasma.github.io/Logging_2425/tillsynsmail/A 33263-2025 tillsynsbegäran mail.docx", "A 33263-2025")</f>
        <v/>
      </c>
    </row>
    <row r="29" ht="15" customHeight="1">
      <c r="A29" t="inlineStr">
        <is>
          <t>A 44389-2022</t>
        </is>
      </c>
      <c r="B29" s="1" t="n">
        <v>44838</v>
      </c>
      <c r="C29" s="1" t="n">
        <v>45981</v>
      </c>
      <c r="D29" t="inlineStr">
        <is>
          <t>VÄSTERBOTTENS LÄN</t>
        </is>
      </c>
      <c r="E29" t="inlineStr">
        <is>
          <t>DOROTEA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Granticka</t>
        </is>
      </c>
      <c r="S29">
        <f>HYPERLINK("https://klasma.github.io/Logging_2425/artfynd/A 44389-2022 artfynd.xlsx", "A 44389-2022")</f>
        <v/>
      </c>
      <c r="T29">
        <f>HYPERLINK("https://klasma.github.io/Logging_2425/kartor/A 44389-2022 karta.png", "A 44389-2022")</f>
        <v/>
      </c>
      <c r="V29">
        <f>HYPERLINK("https://klasma.github.io/Logging_2425/klagomål/A 44389-2022 FSC-klagomål.docx", "A 44389-2022")</f>
        <v/>
      </c>
      <c r="W29">
        <f>HYPERLINK("https://klasma.github.io/Logging_2425/klagomålsmail/A 44389-2022 FSC-klagomål mail.docx", "A 44389-2022")</f>
        <v/>
      </c>
      <c r="X29">
        <f>HYPERLINK("https://klasma.github.io/Logging_2425/tillsyn/A 44389-2022 tillsynsbegäran.docx", "A 44389-2022")</f>
        <v/>
      </c>
      <c r="Y29">
        <f>HYPERLINK("https://klasma.github.io/Logging_2425/tillsynsmail/A 44389-2022 tillsynsbegäran mail.docx", "A 44389-2022")</f>
        <v/>
      </c>
    </row>
    <row r="30" ht="15" customHeight="1">
      <c r="A30" t="inlineStr">
        <is>
          <t>A 49256-2025</t>
        </is>
      </c>
      <c r="B30" s="1" t="n">
        <v>45938.49196759259</v>
      </c>
      <c r="C30" s="1" t="n">
        <v>45981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15.7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Skinnlav</t>
        </is>
      </c>
      <c r="S30">
        <f>HYPERLINK("https://klasma.github.io/Logging_2425/artfynd/A 49256-2025 artfynd.xlsx", "A 49256-2025")</f>
        <v/>
      </c>
      <c r="T30">
        <f>HYPERLINK("https://klasma.github.io/Logging_2425/kartor/A 49256-2025 karta.png", "A 49256-2025")</f>
        <v/>
      </c>
      <c r="V30">
        <f>HYPERLINK("https://klasma.github.io/Logging_2425/klagomål/A 49256-2025 FSC-klagomål.docx", "A 49256-2025")</f>
        <v/>
      </c>
      <c r="W30">
        <f>HYPERLINK("https://klasma.github.io/Logging_2425/klagomålsmail/A 49256-2025 FSC-klagomål mail.docx", "A 49256-2025")</f>
        <v/>
      </c>
      <c r="X30">
        <f>HYPERLINK("https://klasma.github.io/Logging_2425/tillsyn/A 49256-2025 tillsynsbegäran.docx", "A 49256-2025")</f>
        <v/>
      </c>
      <c r="Y30">
        <f>HYPERLINK("https://klasma.github.io/Logging_2425/tillsynsmail/A 49256-2025 tillsynsbegäran mail.docx", "A 49256-2025")</f>
        <v/>
      </c>
    </row>
    <row r="31" ht="15" customHeight="1">
      <c r="A31" t="inlineStr">
        <is>
          <t>A 28716-2023</t>
        </is>
      </c>
      <c r="B31" s="1" t="n">
        <v>45103</v>
      </c>
      <c r="C31" s="1" t="n">
        <v>45981</v>
      </c>
      <c r="D31" t="inlineStr">
        <is>
          <t>VÄSTERBOTTENS LÄN</t>
        </is>
      </c>
      <c r="E31" t="inlineStr">
        <is>
          <t>DOROTEA</t>
        </is>
      </c>
      <c r="F31" t="inlineStr">
        <is>
          <t>Sveaskog</t>
        </is>
      </c>
      <c r="G31" t="n">
        <v>10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Bårdlav</t>
        </is>
      </c>
      <c r="S31">
        <f>HYPERLINK("https://klasma.github.io/Logging_2425/artfynd/A 28716-2023 artfynd.xlsx", "A 28716-2023")</f>
        <v/>
      </c>
      <c r="T31">
        <f>HYPERLINK("https://klasma.github.io/Logging_2425/kartor/A 28716-2023 karta.png", "A 28716-2023")</f>
        <v/>
      </c>
      <c r="V31">
        <f>HYPERLINK("https://klasma.github.io/Logging_2425/klagomål/A 28716-2023 FSC-klagomål.docx", "A 28716-2023")</f>
        <v/>
      </c>
      <c r="W31">
        <f>HYPERLINK("https://klasma.github.io/Logging_2425/klagomålsmail/A 28716-2023 FSC-klagomål mail.docx", "A 28716-2023")</f>
        <v/>
      </c>
      <c r="X31">
        <f>HYPERLINK("https://klasma.github.io/Logging_2425/tillsyn/A 28716-2023 tillsynsbegäran.docx", "A 28716-2023")</f>
        <v/>
      </c>
      <c r="Y31">
        <f>HYPERLINK("https://klasma.github.io/Logging_2425/tillsynsmail/A 28716-2023 tillsynsbegäran mail.docx", "A 28716-2023")</f>
        <v/>
      </c>
    </row>
    <row r="32" ht="15" customHeight="1">
      <c r="A32" t="inlineStr">
        <is>
          <t>A 30373-2024</t>
        </is>
      </c>
      <c r="B32" s="1" t="n">
        <v>45491.39454861111</v>
      </c>
      <c r="C32" s="1" t="n">
        <v>45981</v>
      </c>
      <c r="D32" t="inlineStr">
        <is>
          <t>VÄSTERBOTTENS LÄN</t>
        </is>
      </c>
      <c r="E32" t="inlineStr">
        <is>
          <t>DOROTEA</t>
        </is>
      </c>
      <c r="F32" t="inlineStr">
        <is>
          <t>Sveaskog</t>
        </is>
      </c>
      <c r="G32" t="n">
        <v>13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Utter</t>
        </is>
      </c>
      <c r="S32">
        <f>HYPERLINK("https://klasma.github.io/Logging_2425/artfynd/A 30373-2024 artfynd.xlsx", "A 30373-2024")</f>
        <v/>
      </c>
      <c r="T32">
        <f>HYPERLINK("https://klasma.github.io/Logging_2425/kartor/A 30373-2024 karta.png", "A 30373-2024")</f>
        <v/>
      </c>
      <c r="V32">
        <f>HYPERLINK("https://klasma.github.io/Logging_2425/klagomål/A 30373-2024 FSC-klagomål.docx", "A 30373-2024")</f>
        <v/>
      </c>
      <c r="W32">
        <f>HYPERLINK("https://klasma.github.io/Logging_2425/klagomålsmail/A 30373-2024 FSC-klagomål mail.docx", "A 30373-2024")</f>
        <v/>
      </c>
      <c r="X32">
        <f>HYPERLINK("https://klasma.github.io/Logging_2425/tillsyn/A 30373-2024 tillsynsbegäran.docx", "A 30373-2024")</f>
        <v/>
      </c>
      <c r="Y32">
        <f>HYPERLINK("https://klasma.github.io/Logging_2425/tillsynsmail/A 30373-2024 tillsynsbegäran mail.docx", "A 30373-2024")</f>
        <v/>
      </c>
    </row>
    <row r="33" ht="15" customHeight="1">
      <c r="A33" t="inlineStr">
        <is>
          <t>A 53309-2022</t>
        </is>
      </c>
      <c r="B33" s="1" t="n">
        <v>44878.6125462963</v>
      </c>
      <c r="C33" s="1" t="n">
        <v>45981</v>
      </c>
      <c r="D33" t="inlineStr">
        <is>
          <t>VÄSTERBOTTENS LÄN</t>
        </is>
      </c>
      <c r="E33" t="inlineStr">
        <is>
          <t>DOROTEA</t>
        </is>
      </c>
      <c r="G33" t="n">
        <v>6.6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Göktyta</t>
        </is>
      </c>
      <c r="S33">
        <f>HYPERLINK("https://klasma.github.io/Logging_2425/artfynd/A 53309-2022 artfynd.xlsx", "A 53309-2022")</f>
        <v/>
      </c>
      <c r="T33">
        <f>HYPERLINK("https://klasma.github.io/Logging_2425/kartor/A 53309-2022 karta.png", "A 53309-2022")</f>
        <v/>
      </c>
      <c r="V33">
        <f>HYPERLINK("https://klasma.github.io/Logging_2425/klagomål/A 53309-2022 FSC-klagomål.docx", "A 53309-2022")</f>
        <v/>
      </c>
      <c r="W33">
        <f>HYPERLINK("https://klasma.github.io/Logging_2425/klagomålsmail/A 53309-2022 FSC-klagomål mail.docx", "A 53309-2022")</f>
        <v/>
      </c>
      <c r="X33">
        <f>HYPERLINK("https://klasma.github.io/Logging_2425/tillsyn/A 53309-2022 tillsynsbegäran.docx", "A 53309-2022")</f>
        <v/>
      </c>
      <c r="Y33">
        <f>HYPERLINK("https://klasma.github.io/Logging_2425/tillsynsmail/A 53309-2022 tillsynsbegäran mail.docx", "A 53309-2022")</f>
        <v/>
      </c>
      <c r="Z33">
        <f>HYPERLINK("https://klasma.github.io/Logging_2425/fåglar/A 53309-2022 prioriterade fågelarter.docx", "A 53309-2022")</f>
        <v/>
      </c>
    </row>
    <row r="34" ht="15" customHeight="1">
      <c r="A34" t="inlineStr">
        <is>
          <t>A 56202-2024</t>
        </is>
      </c>
      <c r="B34" s="1" t="n">
        <v>45624</v>
      </c>
      <c r="C34" s="1" t="n">
        <v>45981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6.2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Ullticka</t>
        </is>
      </c>
      <c r="S34">
        <f>HYPERLINK("https://klasma.github.io/Logging_2425/artfynd/A 56202-2024 artfynd.xlsx", "A 56202-2024")</f>
        <v/>
      </c>
      <c r="T34">
        <f>HYPERLINK("https://klasma.github.io/Logging_2425/kartor/A 56202-2024 karta.png", "A 56202-2024")</f>
        <v/>
      </c>
      <c r="V34">
        <f>HYPERLINK("https://klasma.github.io/Logging_2425/klagomål/A 56202-2024 FSC-klagomål.docx", "A 56202-2024")</f>
        <v/>
      </c>
      <c r="W34">
        <f>HYPERLINK("https://klasma.github.io/Logging_2425/klagomålsmail/A 56202-2024 FSC-klagomål mail.docx", "A 56202-2024")</f>
        <v/>
      </c>
      <c r="X34">
        <f>HYPERLINK("https://klasma.github.io/Logging_2425/tillsyn/A 56202-2024 tillsynsbegäran.docx", "A 56202-2024")</f>
        <v/>
      </c>
      <c r="Y34">
        <f>HYPERLINK("https://klasma.github.io/Logging_2425/tillsynsmail/A 56202-2024 tillsynsbegäran mail.docx", "A 56202-2024")</f>
        <v/>
      </c>
    </row>
    <row r="35" ht="15" customHeight="1">
      <c r="A35" t="inlineStr">
        <is>
          <t>A 4341-2023</t>
        </is>
      </c>
      <c r="B35" s="1" t="n">
        <v>44953</v>
      </c>
      <c r="C35" s="1" t="n">
        <v>45981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Luddlav</t>
        </is>
      </c>
      <c r="S35">
        <f>HYPERLINK("https://klasma.github.io/Logging_2425/artfynd/A 4341-2023 artfynd.xlsx", "A 4341-2023")</f>
        <v/>
      </c>
      <c r="T35">
        <f>HYPERLINK("https://klasma.github.io/Logging_2425/kartor/A 4341-2023 karta.png", "A 4341-2023")</f>
        <v/>
      </c>
      <c r="V35">
        <f>HYPERLINK("https://klasma.github.io/Logging_2425/klagomål/A 4341-2023 FSC-klagomål.docx", "A 4341-2023")</f>
        <v/>
      </c>
      <c r="W35">
        <f>HYPERLINK("https://klasma.github.io/Logging_2425/klagomålsmail/A 4341-2023 FSC-klagomål mail.docx", "A 4341-2023")</f>
        <v/>
      </c>
      <c r="X35">
        <f>HYPERLINK("https://klasma.github.io/Logging_2425/tillsyn/A 4341-2023 tillsynsbegäran.docx", "A 4341-2023")</f>
        <v/>
      </c>
      <c r="Y35">
        <f>HYPERLINK("https://klasma.github.io/Logging_2425/tillsynsmail/A 4341-2023 tillsynsbegäran mail.docx", "A 4341-2023")</f>
        <v/>
      </c>
    </row>
    <row r="36" ht="15" customHeight="1">
      <c r="A36" t="inlineStr">
        <is>
          <t>A 27234-2024</t>
        </is>
      </c>
      <c r="B36" s="1" t="n">
        <v>45471</v>
      </c>
      <c r="C36" s="1" t="n">
        <v>45981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2.2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Rynkskinn</t>
        </is>
      </c>
      <c r="S36">
        <f>HYPERLINK("https://klasma.github.io/Logging_2425/artfynd/A 27234-2024 artfynd.xlsx", "A 27234-2024")</f>
        <v/>
      </c>
      <c r="T36">
        <f>HYPERLINK("https://klasma.github.io/Logging_2425/kartor/A 27234-2024 karta.png", "A 27234-2024")</f>
        <v/>
      </c>
      <c r="V36">
        <f>HYPERLINK("https://klasma.github.io/Logging_2425/klagomål/A 27234-2024 FSC-klagomål.docx", "A 27234-2024")</f>
        <v/>
      </c>
      <c r="W36">
        <f>HYPERLINK("https://klasma.github.io/Logging_2425/klagomålsmail/A 27234-2024 FSC-klagomål mail.docx", "A 27234-2024")</f>
        <v/>
      </c>
      <c r="X36">
        <f>HYPERLINK("https://klasma.github.io/Logging_2425/tillsyn/A 27234-2024 tillsynsbegäran.docx", "A 27234-2024")</f>
        <v/>
      </c>
      <c r="Y36">
        <f>HYPERLINK("https://klasma.github.io/Logging_2425/tillsynsmail/A 27234-2024 tillsynsbegäran mail.docx", "A 27234-2024")</f>
        <v/>
      </c>
    </row>
    <row r="37" ht="15" customHeight="1">
      <c r="A37" t="inlineStr">
        <is>
          <t>A 48089-2022</t>
        </is>
      </c>
      <c r="B37" s="1" t="n">
        <v>44855</v>
      </c>
      <c r="C37" s="1" t="n">
        <v>45981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9.199999999999999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HYPERLINK("https://klasma.github.io/Logging_2425/artfynd/A 48089-2022 artfynd.xlsx", "A 48089-2022")</f>
        <v/>
      </c>
      <c r="T37">
        <f>HYPERLINK("https://klasma.github.io/Logging_2425/kartor/A 48089-2022 karta.png", "A 48089-2022")</f>
        <v/>
      </c>
      <c r="V37">
        <f>HYPERLINK("https://klasma.github.io/Logging_2425/klagomål/A 48089-2022 FSC-klagomål.docx", "A 48089-2022")</f>
        <v/>
      </c>
      <c r="W37">
        <f>HYPERLINK("https://klasma.github.io/Logging_2425/klagomålsmail/A 48089-2022 FSC-klagomål mail.docx", "A 48089-2022")</f>
        <v/>
      </c>
      <c r="X37">
        <f>HYPERLINK("https://klasma.github.io/Logging_2425/tillsyn/A 48089-2022 tillsynsbegäran.docx", "A 48089-2022")</f>
        <v/>
      </c>
      <c r="Y37">
        <f>HYPERLINK("https://klasma.github.io/Logging_2425/tillsynsmail/A 48089-2022 tillsynsbegäran mail.docx", "A 48089-2022")</f>
        <v/>
      </c>
    </row>
    <row r="38" ht="15" customHeight="1">
      <c r="A38" t="inlineStr">
        <is>
          <t>A 55622-2024</t>
        </is>
      </c>
      <c r="B38" s="1" t="n">
        <v>45622.59461805555</v>
      </c>
      <c r="C38" s="1" t="n">
        <v>45981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5.7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HYPERLINK("https://klasma.github.io/Logging_2425/artfynd/A 55622-2024 artfynd.xlsx", "A 55622-2024")</f>
        <v/>
      </c>
      <c r="T38">
        <f>HYPERLINK("https://klasma.github.io/Logging_2425/kartor/A 55622-2024 karta.png", "A 55622-2024")</f>
        <v/>
      </c>
      <c r="V38">
        <f>HYPERLINK("https://klasma.github.io/Logging_2425/klagomål/A 55622-2024 FSC-klagomål.docx", "A 55622-2024")</f>
        <v/>
      </c>
      <c r="W38">
        <f>HYPERLINK("https://klasma.github.io/Logging_2425/klagomålsmail/A 55622-2024 FSC-klagomål mail.docx", "A 55622-2024")</f>
        <v/>
      </c>
      <c r="X38">
        <f>HYPERLINK("https://klasma.github.io/Logging_2425/tillsyn/A 55622-2024 tillsynsbegäran.docx", "A 55622-2024")</f>
        <v/>
      </c>
      <c r="Y38">
        <f>HYPERLINK("https://klasma.github.io/Logging_2425/tillsynsmail/A 55622-2024 tillsynsbegäran mail.docx", "A 55622-2024")</f>
        <v/>
      </c>
    </row>
    <row r="39" ht="15" customHeight="1">
      <c r="A39" t="inlineStr">
        <is>
          <t>A 36318-2024</t>
        </is>
      </c>
      <c r="B39" s="1" t="n">
        <v>45534</v>
      </c>
      <c r="C39" s="1" t="n">
        <v>45981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2.5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HYPERLINK("https://klasma.github.io/Logging_2425/artfynd/A 36318-2024 artfynd.xlsx", "A 36318-2024")</f>
        <v/>
      </c>
      <c r="T39">
        <f>HYPERLINK("https://klasma.github.io/Logging_2425/kartor/A 36318-2024 karta.png", "A 36318-2024")</f>
        <v/>
      </c>
      <c r="V39">
        <f>HYPERLINK("https://klasma.github.io/Logging_2425/klagomål/A 36318-2024 FSC-klagomål.docx", "A 36318-2024")</f>
        <v/>
      </c>
      <c r="W39">
        <f>HYPERLINK("https://klasma.github.io/Logging_2425/klagomålsmail/A 36318-2024 FSC-klagomål mail.docx", "A 36318-2024")</f>
        <v/>
      </c>
      <c r="X39">
        <f>HYPERLINK("https://klasma.github.io/Logging_2425/tillsyn/A 36318-2024 tillsynsbegäran.docx", "A 36318-2024")</f>
        <v/>
      </c>
      <c r="Y39">
        <f>HYPERLINK("https://klasma.github.io/Logging_2425/tillsynsmail/A 36318-2024 tillsynsbegäran mail.docx", "A 36318-2024")</f>
        <v/>
      </c>
    </row>
    <row r="40" ht="15" customHeight="1">
      <c r="A40" t="inlineStr">
        <is>
          <t>A 30756-2025</t>
        </is>
      </c>
      <c r="B40" s="1" t="n">
        <v>45831</v>
      </c>
      <c r="C40" s="1" t="n">
        <v>45981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Luddlav</t>
        </is>
      </c>
      <c r="S40">
        <f>HYPERLINK("https://klasma.github.io/Logging_2425/artfynd/A 30756-2025 artfynd.xlsx", "A 30756-2025")</f>
        <v/>
      </c>
      <c r="T40">
        <f>HYPERLINK("https://klasma.github.io/Logging_2425/kartor/A 30756-2025 karta.png", "A 30756-2025")</f>
        <v/>
      </c>
      <c r="V40">
        <f>HYPERLINK("https://klasma.github.io/Logging_2425/klagomål/A 30756-2025 FSC-klagomål.docx", "A 30756-2025")</f>
        <v/>
      </c>
      <c r="W40">
        <f>HYPERLINK("https://klasma.github.io/Logging_2425/klagomålsmail/A 30756-2025 FSC-klagomål mail.docx", "A 30756-2025")</f>
        <v/>
      </c>
      <c r="X40">
        <f>HYPERLINK("https://klasma.github.io/Logging_2425/tillsyn/A 30756-2025 tillsynsbegäran.docx", "A 30756-2025")</f>
        <v/>
      </c>
      <c r="Y40">
        <f>HYPERLINK("https://klasma.github.io/Logging_2425/tillsynsmail/A 30756-2025 tillsynsbegäran mail.docx", "A 30756-2025")</f>
        <v/>
      </c>
    </row>
    <row r="41" ht="15" customHeight="1">
      <c r="A41" t="inlineStr">
        <is>
          <t>A 57058-2024</t>
        </is>
      </c>
      <c r="B41" s="1" t="n">
        <v>45629</v>
      </c>
      <c r="C41" s="1" t="n">
        <v>45981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2.4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Granticka</t>
        </is>
      </c>
      <c r="S41">
        <f>HYPERLINK("https://klasma.github.io/Logging_2425/artfynd/A 57058-2024 artfynd.xlsx", "A 57058-2024")</f>
        <v/>
      </c>
      <c r="T41">
        <f>HYPERLINK("https://klasma.github.io/Logging_2425/kartor/A 57058-2024 karta.png", "A 57058-2024")</f>
        <v/>
      </c>
      <c r="V41">
        <f>HYPERLINK("https://klasma.github.io/Logging_2425/klagomål/A 57058-2024 FSC-klagomål.docx", "A 57058-2024")</f>
        <v/>
      </c>
      <c r="W41">
        <f>HYPERLINK("https://klasma.github.io/Logging_2425/klagomålsmail/A 57058-2024 FSC-klagomål mail.docx", "A 57058-2024")</f>
        <v/>
      </c>
      <c r="X41">
        <f>HYPERLINK("https://klasma.github.io/Logging_2425/tillsyn/A 57058-2024 tillsynsbegäran.docx", "A 57058-2024")</f>
        <v/>
      </c>
      <c r="Y41">
        <f>HYPERLINK("https://klasma.github.io/Logging_2425/tillsynsmail/A 57058-2024 tillsynsbegäran mail.docx", "A 57058-2024")</f>
        <v/>
      </c>
    </row>
    <row r="42" ht="15" customHeight="1">
      <c r="A42" t="inlineStr">
        <is>
          <t>A 67790-2021</t>
        </is>
      </c>
      <c r="B42" s="1" t="n">
        <v>44526</v>
      </c>
      <c r="C42" s="1" t="n">
        <v>45981</v>
      </c>
      <c r="D42" t="inlineStr">
        <is>
          <t>VÄSTERBOTTENS LÄN</t>
        </is>
      </c>
      <c r="E42" t="inlineStr">
        <is>
          <t>DOROTEA</t>
        </is>
      </c>
      <c r="F42" t="inlineStr">
        <is>
          <t>Övriga statliga verk och myndigheter</t>
        </is>
      </c>
      <c r="G42" t="n">
        <v>3.2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Tretåig hackspett</t>
        </is>
      </c>
      <c r="S42">
        <f>HYPERLINK("https://klasma.github.io/Logging_2425/artfynd/A 67790-2021 artfynd.xlsx", "A 67790-2021")</f>
        <v/>
      </c>
      <c r="T42">
        <f>HYPERLINK("https://klasma.github.io/Logging_2425/kartor/A 67790-2021 karta.png", "A 67790-2021")</f>
        <v/>
      </c>
      <c r="V42">
        <f>HYPERLINK("https://klasma.github.io/Logging_2425/klagomål/A 67790-2021 FSC-klagomål.docx", "A 67790-2021")</f>
        <v/>
      </c>
      <c r="W42">
        <f>HYPERLINK("https://klasma.github.io/Logging_2425/klagomålsmail/A 67790-2021 FSC-klagomål mail.docx", "A 67790-2021")</f>
        <v/>
      </c>
      <c r="X42">
        <f>HYPERLINK("https://klasma.github.io/Logging_2425/tillsyn/A 67790-2021 tillsynsbegäran.docx", "A 67790-2021")</f>
        <v/>
      </c>
      <c r="Y42">
        <f>HYPERLINK("https://klasma.github.io/Logging_2425/tillsynsmail/A 67790-2021 tillsynsbegäran mail.docx", "A 67790-2021")</f>
        <v/>
      </c>
      <c r="Z42">
        <f>HYPERLINK("https://klasma.github.io/Logging_2425/fåglar/A 67790-2021 prioriterade fågelarter.docx", "A 67790-2021")</f>
        <v/>
      </c>
    </row>
    <row r="43" ht="15" customHeight="1">
      <c r="A43" t="inlineStr">
        <is>
          <t>A 46836-2024</t>
        </is>
      </c>
      <c r="B43" s="1" t="n">
        <v>45583</v>
      </c>
      <c r="C43" s="1" t="n">
        <v>45981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3.1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HYPERLINK("https://klasma.github.io/Logging_2425/artfynd/A 46836-2024 artfynd.xlsx", "A 46836-2024")</f>
        <v/>
      </c>
      <c r="T43">
        <f>HYPERLINK("https://klasma.github.io/Logging_2425/kartor/A 46836-2024 karta.png", "A 46836-2024")</f>
        <v/>
      </c>
      <c r="V43">
        <f>HYPERLINK("https://klasma.github.io/Logging_2425/klagomål/A 46836-2024 FSC-klagomål.docx", "A 46836-2024")</f>
        <v/>
      </c>
      <c r="W43">
        <f>HYPERLINK("https://klasma.github.io/Logging_2425/klagomålsmail/A 46836-2024 FSC-klagomål mail.docx", "A 46836-2024")</f>
        <v/>
      </c>
      <c r="X43">
        <f>HYPERLINK("https://klasma.github.io/Logging_2425/tillsyn/A 46836-2024 tillsynsbegäran.docx", "A 46836-2024")</f>
        <v/>
      </c>
      <c r="Y43">
        <f>HYPERLINK("https://klasma.github.io/Logging_2425/tillsynsmail/A 46836-2024 tillsynsbegäran mail.docx", "A 46836-2024")</f>
        <v/>
      </c>
    </row>
    <row r="44" ht="15" customHeight="1">
      <c r="A44" t="inlineStr">
        <is>
          <t>A 46815-2023</t>
        </is>
      </c>
      <c r="B44" s="1" t="n">
        <v>45198</v>
      </c>
      <c r="C44" s="1" t="n">
        <v>45981</v>
      </c>
      <c r="D44" t="inlineStr">
        <is>
          <t>VÄSTERBOTTENS LÄN</t>
        </is>
      </c>
      <c r="E44" t="inlineStr">
        <is>
          <t>DOROTEA</t>
        </is>
      </c>
      <c r="F44" t="inlineStr">
        <is>
          <t>SCA</t>
        </is>
      </c>
      <c r="G44" t="n">
        <v>3.7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Harticka</t>
        </is>
      </c>
      <c r="S44">
        <f>HYPERLINK("https://klasma.github.io/Logging_2425/artfynd/A 46815-2023 artfynd.xlsx", "A 46815-2023")</f>
        <v/>
      </c>
      <c r="T44">
        <f>HYPERLINK("https://klasma.github.io/Logging_2425/kartor/A 46815-2023 karta.png", "A 46815-2023")</f>
        <v/>
      </c>
      <c r="V44">
        <f>HYPERLINK("https://klasma.github.io/Logging_2425/klagomål/A 46815-2023 FSC-klagomål.docx", "A 46815-2023")</f>
        <v/>
      </c>
      <c r="W44">
        <f>HYPERLINK("https://klasma.github.io/Logging_2425/klagomålsmail/A 46815-2023 FSC-klagomål mail.docx", "A 46815-2023")</f>
        <v/>
      </c>
      <c r="X44">
        <f>HYPERLINK("https://klasma.github.io/Logging_2425/tillsyn/A 46815-2023 tillsynsbegäran.docx", "A 46815-2023")</f>
        <v/>
      </c>
      <c r="Y44">
        <f>HYPERLINK("https://klasma.github.io/Logging_2425/tillsynsmail/A 46815-2023 tillsynsbegäran mail.docx", "A 46815-2023")</f>
        <v/>
      </c>
    </row>
    <row r="45" ht="15" customHeight="1">
      <c r="A45" t="inlineStr">
        <is>
          <t>A 33294-2021</t>
        </is>
      </c>
      <c r="B45" s="1" t="n">
        <v>44377</v>
      </c>
      <c r="C45" s="1" t="n">
        <v>45981</v>
      </c>
      <c r="D45" t="inlineStr">
        <is>
          <t>VÄSTERBOTTENS LÄN</t>
        </is>
      </c>
      <c r="E45" t="inlineStr">
        <is>
          <t>DOROTEA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64063-2021</t>
        </is>
      </c>
      <c r="B46" s="1" t="n">
        <v>44509</v>
      </c>
      <c r="C46" s="1" t="n">
        <v>45981</v>
      </c>
      <c r="D46" t="inlineStr">
        <is>
          <t>VÄSTERBOTTENS LÄN</t>
        </is>
      </c>
      <c r="E46" t="inlineStr">
        <is>
          <t>DOROTEA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37833-2022</t>
        </is>
      </c>
      <c r="B47" s="1" t="n">
        <v>44810.9431712963</v>
      </c>
      <c r="C47" s="1" t="n">
        <v>45981</v>
      </c>
      <c r="D47" t="inlineStr">
        <is>
          <t>VÄSTERBOTTENS LÄN</t>
        </is>
      </c>
      <c r="E47" t="inlineStr">
        <is>
          <t>DOROTEA</t>
        </is>
      </c>
      <c r="F47" t="inlineStr">
        <is>
          <t>SCA</t>
        </is>
      </c>
      <c r="G47" t="n">
        <v>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13059-2021</t>
        </is>
      </c>
      <c r="B48" s="1" t="n">
        <v>44271</v>
      </c>
      <c r="C48" s="1" t="n">
        <v>45981</v>
      </c>
      <c r="D48" t="inlineStr">
        <is>
          <t>VÄSTERBOTTENS LÄN</t>
        </is>
      </c>
      <c r="E48" t="inlineStr">
        <is>
          <t>DOROTEA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27508-2021</t>
        </is>
      </c>
      <c r="B49" s="1" t="n">
        <v>44351</v>
      </c>
      <c r="C49" s="1" t="n">
        <v>45981</v>
      </c>
      <c r="D49" t="inlineStr">
        <is>
          <t>VÄSTERBOTTENS LÄN</t>
        </is>
      </c>
      <c r="E49" t="inlineStr">
        <is>
          <t>DOROTEA</t>
        </is>
      </c>
      <c r="F49" t="inlineStr">
        <is>
          <t>Kommuner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27514-2021</t>
        </is>
      </c>
      <c r="B50" s="1" t="n">
        <v>44351</v>
      </c>
      <c r="C50" s="1" t="n">
        <v>45981</v>
      </c>
      <c r="D50" t="inlineStr">
        <is>
          <t>VÄSTERBOTTENS LÄN</t>
        </is>
      </c>
      <c r="E50" t="inlineStr">
        <is>
          <t>DOROTEA</t>
        </is>
      </c>
      <c r="F50" t="inlineStr">
        <is>
          <t>Kommuner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11309-2022</t>
        </is>
      </c>
      <c r="B51" s="1" t="n">
        <v>44629</v>
      </c>
      <c r="C51" s="1" t="n">
        <v>45981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16.8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43403-2022</t>
        </is>
      </c>
      <c r="B52" s="1" t="n">
        <v>44834.76478009259</v>
      </c>
      <c r="C52" s="1" t="n">
        <v>45981</v>
      </c>
      <c r="D52" t="inlineStr">
        <is>
          <t>VÄSTERBOTTENS LÄN</t>
        </is>
      </c>
      <c r="E52" t="inlineStr">
        <is>
          <t>DOROTEA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27511-2021</t>
        </is>
      </c>
      <c r="B53" s="1" t="n">
        <v>44351</v>
      </c>
      <c r="C53" s="1" t="n">
        <v>45981</v>
      </c>
      <c r="D53" t="inlineStr">
        <is>
          <t>VÄSTERBOTTENS LÄN</t>
        </is>
      </c>
      <c r="E53" t="inlineStr">
        <is>
          <t>DOROTEA</t>
        </is>
      </c>
      <c r="F53" t="inlineStr">
        <is>
          <t>Kommuner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24183-2022</t>
        </is>
      </c>
      <c r="B54" s="1" t="n">
        <v>44725</v>
      </c>
      <c r="C54" s="1" t="n">
        <v>45981</v>
      </c>
      <c r="D54" t="inlineStr">
        <is>
          <t>VÄSTERBOTTENS LÄN</t>
        </is>
      </c>
      <c r="E54" t="inlineStr">
        <is>
          <t>DOROTEA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57573-2021</t>
        </is>
      </c>
      <c r="B55" s="1" t="n">
        <v>44482</v>
      </c>
      <c r="C55" s="1" t="n">
        <v>45981</v>
      </c>
      <c r="D55" t="inlineStr">
        <is>
          <t>VÄSTERBOTTENS LÄN</t>
        </is>
      </c>
      <c r="E55" t="inlineStr">
        <is>
          <t>DOROTEA</t>
        </is>
      </c>
      <c r="F55" t="inlineStr">
        <is>
          <t>Övriga statliga verk och myndigheter</t>
        </is>
      </c>
      <c r="G55" t="n">
        <v>12.3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8983-2022</t>
        </is>
      </c>
      <c r="B56" s="1" t="n">
        <v>44614</v>
      </c>
      <c r="C56" s="1" t="n">
        <v>45981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48935-2022</t>
        </is>
      </c>
      <c r="B57" s="1" t="n">
        <v>44859</v>
      </c>
      <c r="C57" s="1" t="n">
        <v>45981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7.7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64497-2020</t>
        </is>
      </c>
      <c r="B58" s="1" t="n">
        <v>44168</v>
      </c>
      <c r="C58" s="1" t="n">
        <v>45981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47266-2022</t>
        </is>
      </c>
      <c r="B59" s="1" t="n">
        <v>44852</v>
      </c>
      <c r="C59" s="1" t="n">
        <v>45981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27509-2021</t>
        </is>
      </c>
      <c r="B60" s="1" t="n">
        <v>44351</v>
      </c>
      <c r="C60" s="1" t="n">
        <v>45981</v>
      </c>
      <c r="D60" t="inlineStr">
        <is>
          <t>VÄSTERBOTTENS LÄN</t>
        </is>
      </c>
      <c r="E60" t="inlineStr">
        <is>
          <t>DOROTEA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46163-2022</t>
        </is>
      </c>
      <c r="B61" s="1" t="n">
        <v>44845</v>
      </c>
      <c r="C61" s="1" t="n">
        <v>45981</v>
      </c>
      <c r="D61" t="inlineStr">
        <is>
          <t>VÄSTERBOTTENS LÄN</t>
        </is>
      </c>
      <c r="E61" t="inlineStr">
        <is>
          <t>DOROTEA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46982-2022</t>
        </is>
      </c>
      <c r="B62" s="1" t="n">
        <v>44851</v>
      </c>
      <c r="C62" s="1" t="n">
        <v>45981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35040-2021</t>
        </is>
      </c>
      <c r="B63" s="1" t="n">
        <v>44383</v>
      </c>
      <c r="C63" s="1" t="n">
        <v>45981</v>
      </c>
      <c r="D63" t="inlineStr">
        <is>
          <t>VÄSTERBOTTENS LÄN</t>
        </is>
      </c>
      <c r="E63" t="inlineStr">
        <is>
          <t>DOROTEA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24206-2021</t>
        </is>
      </c>
      <c r="B64" s="1" t="n">
        <v>44336</v>
      </c>
      <c r="C64" s="1" t="n">
        <v>45981</v>
      </c>
      <c r="D64" t="inlineStr">
        <is>
          <t>VÄSTERBOTTENS LÄN</t>
        </is>
      </c>
      <c r="E64" t="inlineStr">
        <is>
          <t>DOROTEA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24203-2021</t>
        </is>
      </c>
      <c r="B65" s="1" t="n">
        <v>44336</v>
      </c>
      <c r="C65" s="1" t="n">
        <v>45981</v>
      </c>
      <c r="D65" t="inlineStr">
        <is>
          <t>VÄSTERBOTTENS LÄN</t>
        </is>
      </c>
      <c r="E65" t="inlineStr">
        <is>
          <t>DOROTEA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24364-2021</t>
        </is>
      </c>
      <c r="B66" s="1" t="n">
        <v>44337</v>
      </c>
      <c r="C66" s="1" t="n">
        <v>45981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11707-2021</t>
        </is>
      </c>
      <c r="B67" s="1" t="n">
        <v>44264.94361111111</v>
      </c>
      <c r="C67" s="1" t="n">
        <v>45981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4019-2022</t>
        </is>
      </c>
      <c r="B68" s="1" t="n">
        <v>44587</v>
      </c>
      <c r="C68" s="1" t="n">
        <v>45981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24203-2021</t>
        </is>
      </c>
      <c r="B69" s="1" t="n">
        <v>44336</v>
      </c>
      <c r="C69" s="1" t="n">
        <v>45981</v>
      </c>
      <c r="D69" t="inlineStr">
        <is>
          <t>VÄSTERBOTTENS LÄN</t>
        </is>
      </c>
      <c r="E69" t="inlineStr">
        <is>
          <t>DOROTEA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16777-2021</t>
        </is>
      </c>
      <c r="B70" s="1" t="n">
        <v>44294</v>
      </c>
      <c r="C70" s="1" t="n">
        <v>45981</v>
      </c>
      <c r="D70" t="inlineStr">
        <is>
          <t>VÄSTERBOTTENS LÄN</t>
        </is>
      </c>
      <c r="E70" t="inlineStr">
        <is>
          <t>DOROTEA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64473-2020</t>
        </is>
      </c>
      <c r="B71" s="1" t="n">
        <v>44168.84806712963</v>
      </c>
      <c r="C71" s="1" t="n">
        <v>45981</v>
      </c>
      <c r="D71" t="inlineStr">
        <is>
          <t>VÄSTERBOTTENS LÄN</t>
        </is>
      </c>
      <c r="E71" t="inlineStr">
        <is>
          <t>DOROTEA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27503-2021</t>
        </is>
      </c>
      <c r="B72" s="1" t="n">
        <v>44351</v>
      </c>
      <c r="C72" s="1" t="n">
        <v>45981</v>
      </c>
      <c r="D72" t="inlineStr">
        <is>
          <t>VÄSTERBOTTENS LÄN</t>
        </is>
      </c>
      <c r="E72" t="inlineStr">
        <is>
          <t>DOROTEA</t>
        </is>
      </c>
      <c r="F72" t="inlineStr">
        <is>
          <t>Kommuner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24207-2021</t>
        </is>
      </c>
      <c r="B73" s="1" t="n">
        <v>44336</v>
      </c>
      <c r="C73" s="1" t="n">
        <v>45981</v>
      </c>
      <c r="D73" t="inlineStr">
        <is>
          <t>VÄSTERBOTTENS LÄN</t>
        </is>
      </c>
      <c r="E73" t="inlineStr">
        <is>
          <t>DOROTEA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57580-2021</t>
        </is>
      </c>
      <c r="B74" s="1" t="n">
        <v>44482</v>
      </c>
      <c r="C74" s="1" t="n">
        <v>45981</v>
      </c>
      <c r="D74" t="inlineStr">
        <is>
          <t>VÄSTERBOTTENS LÄN</t>
        </is>
      </c>
      <c r="E74" t="inlineStr">
        <is>
          <t>DOROTEA</t>
        </is>
      </c>
      <c r="F74" t="inlineStr">
        <is>
          <t>Övriga statliga verk och myndigheter</t>
        </is>
      </c>
      <c r="G74" t="n">
        <v>7.5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52361-2021</t>
        </is>
      </c>
      <c r="B75" s="1" t="n">
        <v>44465</v>
      </c>
      <c r="C75" s="1" t="n">
        <v>45981</v>
      </c>
      <c r="D75" t="inlineStr">
        <is>
          <t>VÄSTERBOTTENS LÄN</t>
        </is>
      </c>
      <c r="E75" t="inlineStr">
        <is>
          <t>DOROTEA</t>
        </is>
      </c>
      <c r="G75" t="n">
        <v>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52362-2021</t>
        </is>
      </c>
      <c r="B76" s="1" t="n">
        <v>44465.40667824074</v>
      </c>
      <c r="C76" s="1" t="n">
        <v>45981</v>
      </c>
      <c r="D76" t="inlineStr">
        <is>
          <t>VÄSTERBOTTENS LÄN</t>
        </is>
      </c>
      <c r="E76" t="inlineStr">
        <is>
          <t>DOROTEA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44620-2024</t>
        </is>
      </c>
      <c r="B77" s="1" t="n">
        <v>45574.51318287037</v>
      </c>
      <c r="C77" s="1" t="n">
        <v>45981</v>
      </c>
      <c r="D77" t="inlineStr">
        <is>
          <t>VÄSTERBOTTENS LÄN</t>
        </is>
      </c>
      <c r="E77" t="inlineStr">
        <is>
          <t>DOROTEA</t>
        </is>
      </c>
      <c r="F77" t="inlineStr">
        <is>
          <t>SCA</t>
        </is>
      </c>
      <c r="G77" t="n">
        <v>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52363-2021</t>
        </is>
      </c>
      <c r="B78" s="1" t="n">
        <v>44465.4134375</v>
      </c>
      <c r="C78" s="1" t="n">
        <v>45981</v>
      </c>
      <c r="D78" t="inlineStr">
        <is>
          <t>VÄSTERBOTTENS LÄN</t>
        </is>
      </c>
      <c r="E78" t="inlineStr">
        <is>
          <t>DOROTEA</t>
        </is>
      </c>
      <c r="G78" t="n">
        <v>7.7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34995-2023</t>
        </is>
      </c>
      <c r="B79" s="1" t="n">
        <v>45142.92372685186</v>
      </c>
      <c r="C79" s="1" t="n">
        <v>45981</v>
      </c>
      <c r="D79" t="inlineStr">
        <is>
          <t>VÄSTERBOTTENS LÄN</t>
        </is>
      </c>
      <c r="E79" t="inlineStr">
        <is>
          <t>DOROTEA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8092-2023</t>
        </is>
      </c>
      <c r="B80" s="1" t="n">
        <v>44974.38387731482</v>
      </c>
      <c r="C80" s="1" t="n">
        <v>45981</v>
      </c>
      <c r="D80" t="inlineStr">
        <is>
          <t>VÄSTERBOTTENS LÄN</t>
        </is>
      </c>
      <c r="E80" t="inlineStr">
        <is>
          <t>DOROTEA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44386-2022</t>
        </is>
      </c>
      <c r="B81" s="1" t="n">
        <v>44838</v>
      </c>
      <c r="C81" s="1" t="n">
        <v>45981</v>
      </c>
      <c r="D81" t="inlineStr">
        <is>
          <t>VÄSTERBOTTENS LÄN</t>
        </is>
      </c>
      <c r="E81" t="inlineStr">
        <is>
          <t>DOROTEA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57581-2024</t>
        </is>
      </c>
      <c r="B82" s="1" t="n">
        <v>45630</v>
      </c>
      <c r="C82" s="1" t="n">
        <v>45981</v>
      </c>
      <c r="D82" t="inlineStr">
        <is>
          <t>VÄSTERBOTTENS LÄN</t>
        </is>
      </c>
      <c r="E82" t="inlineStr">
        <is>
          <t>DOROTEA</t>
        </is>
      </c>
      <c r="G82" t="n">
        <v>9.1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57092-2024</t>
        </is>
      </c>
      <c r="B83" s="1" t="n">
        <v>45629.35725694444</v>
      </c>
      <c r="C83" s="1" t="n">
        <v>45981</v>
      </c>
      <c r="D83" t="inlineStr">
        <is>
          <t>VÄSTERBOTTENS LÄN</t>
        </is>
      </c>
      <c r="E83" t="inlineStr">
        <is>
          <t>DOROTEA</t>
        </is>
      </c>
      <c r="F83" t="inlineStr">
        <is>
          <t>SCA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41104-2023</t>
        </is>
      </c>
      <c r="B84" s="1" t="n">
        <v>45170</v>
      </c>
      <c r="C84" s="1" t="n">
        <v>45981</v>
      </c>
      <c r="D84" t="inlineStr">
        <is>
          <t>VÄSTERBOTTENS LÄN</t>
        </is>
      </c>
      <c r="E84" t="inlineStr">
        <is>
          <t>DOROTEA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41771-2024</t>
        </is>
      </c>
      <c r="B85" s="1" t="n">
        <v>45561.34652777778</v>
      </c>
      <c r="C85" s="1" t="n">
        <v>45981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19032-2025</t>
        </is>
      </c>
      <c r="B86" s="1" t="n">
        <v>45764</v>
      </c>
      <c r="C86" s="1" t="n">
        <v>45981</v>
      </c>
      <c r="D86" t="inlineStr">
        <is>
          <t>VÄSTERBOTTENS LÄN</t>
        </is>
      </c>
      <c r="E86" t="inlineStr">
        <is>
          <t>DOROTEA</t>
        </is>
      </c>
      <c r="F86" t="inlineStr">
        <is>
          <t>SCA</t>
        </is>
      </c>
      <c r="G86" t="n">
        <v>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60153-2024</t>
        </is>
      </c>
      <c r="B87" s="1" t="n">
        <v>45642</v>
      </c>
      <c r="C87" s="1" t="n">
        <v>45981</v>
      </c>
      <c r="D87" t="inlineStr">
        <is>
          <t>VÄSTERBOTTENS LÄN</t>
        </is>
      </c>
      <c r="E87" t="inlineStr">
        <is>
          <t>DOROTEA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60169-2024</t>
        </is>
      </c>
      <c r="B88" s="1" t="n">
        <v>45642.6359837963</v>
      </c>
      <c r="C88" s="1" t="n">
        <v>45981</v>
      </c>
      <c r="D88" t="inlineStr">
        <is>
          <t>VÄSTERBOTTENS LÄN</t>
        </is>
      </c>
      <c r="E88" t="inlineStr">
        <is>
          <t>DOROTEA</t>
        </is>
      </c>
      <c r="F88" t="inlineStr">
        <is>
          <t>SCA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38781-2021</t>
        </is>
      </c>
      <c r="B89" s="1" t="n">
        <v>44410</v>
      </c>
      <c r="C89" s="1" t="n">
        <v>45981</v>
      </c>
      <c r="D89" t="inlineStr">
        <is>
          <t>VÄSTERBOTTENS LÄN</t>
        </is>
      </c>
      <c r="E89" t="inlineStr">
        <is>
          <t>DOROTEA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40599-2024</t>
        </is>
      </c>
      <c r="B90" s="1" t="n">
        <v>45556.34417824074</v>
      </c>
      <c r="C90" s="1" t="n">
        <v>45981</v>
      </c>
      <c r="D90" t="inlineStr">
        <is>
          <t>VÄSTERBOTTENS LÄN</t>
        </is>
      </c>
      <c r="E90" t="inlineStr">
        <is>
          <t>DOROTEA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10496-2025</t>
        </is>
      </c>
      <c r="B91" s="1" t="n">
        <v>45721.36486111111</v>
      </c>
      <c r="C91" s="1" t="n">
        <v>45981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9.5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55549-2024</t>
        </is>
      </c>
      <c r="B92" s="1" t="n">
        <v>45622</v>
      </c>
      <c r="C92" s="1" t="n">
        <v>45981</v>
      </c>
      <c r="D92" t="inlineStr">
        <is>
          <t>VÄSTERBOTTENS LÄN</t>
        </is>
      </c>
      <c r="E92" t="inlineStr">
        <is>
          <t>DOROTEA</t>
        </is>
      </c>
      <c r="F92" t="inlineStr">
        <is>
          <t>SCA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36354-2024</t>
        </is>
      </c>
      <c r="B93" s="1" t="n">
        <v>45534</v>
      </c>
      <c r="C93" s="1" t="n">
        <v>45981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914-2023</t>
        </is>
      </c>
      <c r="B94" s="1" t="n">
        <v>44931.92650462963</v>
      </c>
      <c r="C94" s="1" t="n">
        <v>45981</v>
      </c>
      <c r="D94" t="inlineStr">
        <is>
          <t>VÄSTERBOTTENS LÄN</t>
        </is>
      </c>
      <c r="E94" t="inlineStr">
        <is>
          <t>DOROTEA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43944-2024</t>
        </is>
      </c>
      <c r="B95" s="1" t="n">
        <v>45572.46914351852</v>
      </c>
      <c r="C95" s="1" t="n">
        <v>45981</v>
      </c>
      <c r="D95" t="inlineStr">
        <is>
          <t>VÄSTERBOTTENS LÄN</t>
        </is>
      </c>
      <c r="E95" t="inlineStr">
        <is>
          <t>DOROTEA</t>
        </is>
      </c>
      <c r="F95" t="inlineStr">
        <is>
          <t>SCA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64496-2020</t>
        </is>
      </c>
      <c r="B96" s="1" t="n">
        <v>44168</v>
      </c>
      <c r="C96" s="1" t="n">
        <v>45981</v>
      </c>
      <c r="D96" t="inlineStr">
        <is>
          <t>VÄSTERBOTTENS LÄN</t>
        </is>
      </c>
      <c r="E96" t="inlineStr">
        <is>
          <t>DOROTEA</t>
        </is>
      </c>
      <c r="F96" t="inlineStr">
        <is>
          <t>SCA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21127-2025</t>
        </is>
      </c>
      <c r="B97" s="1" t="n">
        <v>45778.34434027778</v>
      </c>
      <c r="C97" s="1" t="n">
        <v>45981</v>
      </c>
      <c r="D97" t="inlineStr">
        <is>
          <t>VÄSTERBOTTENS LÄN</t>
        </is>
      </c>
      <c r="E97" t="inlineStr">
        <is>
          <t>DOROTEA</t>
        </is>
      </c>
      <c r="F97" t="inlineStr">
        <is>
          <t>SCA</t>
        </is>
      </c>
      <c r="G97" t="n">
        <v>9.1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28856-2024</t>
        </is>
      </c>
      <c r="B98" s="1" t="n">
        <v>45478.92837962963</v>
      </c>
      <c r="C98" s="1" t="n">
        <v>45981</v>
      </c>
      <c r="D98" t="inlineStr">
        <is>
          <t>VÄSTERBOTTENS LÄN</t>
        </is>
      </c>
      <c r="E98" t="inlineStr">
        <is>
          <t>DOROTEA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53382-2024</t>
        </is>
      </c>
      <c r="B99" s="1" t="n">
        <v>45614</v>
      </c>
      <c r="C99" s="1" t="n">
        <v>45981</v>
      </c>
      <c r="D99" t="inlineStr">
        <is>
          <t>VÄSTERBOTTENS LÄN</t>
        </is>
      </c>
      <c r="E99" t="inlineStr">
        <is>
          <t>DOROTEA</t>
        </is>
      </c>
      <c r="G99" t="n">
        <v>11.2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21265-2025</t>
        </is>
      </c>
      <c r="B100" s="1" t="n">
        <v>45779.61490740741</v>
      </c>
      <c r="C100" s="1" t="n">
        <v>45981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21215-2025</t>
        </is>
      </c>
      <c r="B101" s="1" t="n">
        <v>45779.49037037037</v>
      </c>
      <c r="C101" s="1" t="n">
        <v>45981</v>
      </c>
      <c r="D101" t="inlineStr">
        <is>
          <t>VÄSTERBOTTENS LÄN</t>
        </is>
      </c>
      <c r="E101" t="inlineStr">
        <is>
          <t>DOROTEA</t>
        </is>
      </c>
      <c r="F101" t="inlineStr">
        <is>
          <t>SCA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10649-2025</t>
        </is>
      </c>
      <c r="B102" s="1" t="n">
        <v>45721</v>
      </c>
      <c r="C102" s="1" t="n">
        <v>45981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12.2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5251-2024</t>
        </is>
      </c>
      <c r="B103" s="1" t="n">
        <v>45330</v>
      </c>
      <c r="C103" s="1" t="n">
        <v>45981</v>
      </c>
      <c r="D103" t="inlineStr">
        <is>
          <t>VÄSTERBOTTENS LÄN</t>
        </is>
      </c>
      <c r="E103" t="inlineStr">
        <is>
          <t>DOROTEA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37539-2023</t>
        </is>
      </c>
      <c r="B104" s="1" t="n">
        <v>45158.94190972222</v>
      </c>
      <c r="C104" s="1" t="n">
        <v>45981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21622-2025</t>
        </is>
      </c>
      <c r="B105" s="1" t="n">
        <v>45783.40668981482</v>
      </c>
      <c r="C105" s="1" t="n">
        <v>45981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11.8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30461-2024</t>
        </is>
      </c>
      <c r="B106" s="1" t="n">
        <v>45491</v>
      </c>
      <c r="C106" s="1" t="n">
        <v>45981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7.1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745-2022</t>
        </is>
      </c>
      <c r="B107" s="1" t="n">
        <v>44568.92145833333</v>
      </c>
      <c r="C107" s="1" t="n">
        <v>45981</v>
      </c>
      <c r="D107" t="inlineStr">
        <is>
          <t>VÄSTERBOTTENS LÄN</t>
        </is>
      </c>
      <c r="E107" t="inlineStr">
        <is>
          <t>DOROTEA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12118-2025</t>
        </is>
      </c>
      <c r="B108" s="1" t="n">
        <v>45729.36533564814</v>
      </c>
      <c r="C108" s="1" t="n">
        <v>45981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13.5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60015-2023</t>
        </is>
      </c>
      <c r="B109" s="1" t="n">
        <v>45257.97371527777</v>
      </c>
      <c r="C109" s="1" t="n">
        <v>45981</v>
      </c>
      <c r="D109" t="inlineStr">
        <is>
          <t>VÄSTERBOTTENS LÄN</t>
        </is>
      </c>
      <c r="E109" t="inlineStr">
        <is>
          <t>DOROTEA</t>
        </is>
      </c>
      <c r="F109" t="inlineStr">
        <is>
          <t>SCA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21482-2025</t>
        </is>
      </c>
      <c r="B110" s="1" t="n">
        <v>45782</v>
      </c>
      <c r="C110" s="1" t="n">
        <v>45981</v>
      </c>
      <c r="D110" t="inlineStr">
        <is>
          <t>VÄSTERBOTTENS LÄN</t>
        </is>
      </c>
      <c r="E110" t="inlineStr">
        <is>
          <t>DOROTEA</t>
        </is>
      </c>
      <c r="F110" t="inlineStr">
        <is>
          <t>SCA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19616-2025</t>
        </is>
      </c>
      <c r="B111" s="1" t="n">
        <v>45770.61537037037</v>
      </c>
      <c r="C111" s="1" t="n">
        <v>45981</v>
      </c>
      <c r="D111" t="inlineStr">
        <is>
          <t>VÄSTERBOTTENS LÄN</t>
        </is>
      </c>
      <c r="E111" t="inlineStr">
        <is>
          <t>DOROTEA</t>
        </is>
      </c>
      <c r="F111" t="inlineStr">
        <is>
          <t>SCA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27558-2025</t>
        </is>
      </c>
      <c r="B112" s="1" t="n">
        <v>45813</v>
      </c>
      <c r="C112" s="1" t="n">
        <v>45981</v>
      </c>
      <c r="D112" t="inlineStr">
        <is>
          <t>VÄSTERBOTTENS LÄN</t>
        </is>
      </c>
      <c r="E112" t="inlineStr">
        <is>
          <t>DOROTEA</t>
        </is>
      </c>
      <c r="F112" t="inlineStr">
        <is>
          <t>SCA</t>
        </is>
      </c>
      <c r="G112" t="n">
        <v>17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29239-2024</t>
        </is>
      </c>
      <c r="B113" s="1" t="n">
        <v>45482.92789351852</v>
      </c>
      <c r="C113" s="1" t="n">
        <v>45981</v>
      </c>
      <c r="D113" t="inlineStr">
        <is>
          <t>VÄSTERBOTTENS LÄN</t>
        </is>
      </c>
      <c r="E113" t="inlineStr">
        <is>
          <t>DOROTEA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21411-2025</t>
        </is>
      </c>
      <c r="B114" s="1" t="n">
        <v>45782</v>
      </c>
      <c r="C114" s="1" t="n">
        <v>45981</v>
      </c>
      <c r="D114" t="inlineStr">
        <is>
          <t>VÄSTERBOTTENS LÄN</t>
        </is>
      </c>
      <c r="E114" t="inlineStr">
        <is>
          <t>DOROTEA</t>
        </is>
      </c>
      <c r="F114" t="inlineStr">
        <is>
          <t>SCA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39345-2025</t>
        </is>
      </c>
      <c r="B115" s="1" t="n">
        <v>45889.53192129629</v>
      </c>
      <c r="C115" s="1" t="n">
        <v>45981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21320-2025</t>
        </is>
      </c>
      <c r="B116" s="1" t="n">
        <v>45782</v>
      </c>
      <c r="C116" s="1" t="n">
        <v>45981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17658-2023</t>
        </is>
      </c>
      <c r="B117" s="1" t="n">
        <v>45036.89533564815</v>
      </c>
      <c r="C117" s="1" t="n">
        <v>45981</v>
      </c>
      <c r="D117" t="inlineStr">
        <is>
          <t>VÄSTERBOTTENS LÄN</t>
        </is>
      </c>
      <c r="E117" t="inlineStr">
        <is>
          <t>DOROTEA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21701-2025</t>
        </is>
      </c>
      <c r="B118" s="1" t="n">
        <v>45783</v>
      </c>
      <c r="C118" s="1" t="n">
        <v>45981</v>
      </c>
      <c r="D118" t="inlineStr">
        <is>
          <t>VÄSTERBOTTENS LÄN</t>
        </is>
      </c>
      <c r="E118" t="inlineStr">
        <is>
          <t>DOROTEA</t>
        </is>
      </c>
      <c r="F118" t="inlineStr">
        <is>
          <t>SCA</t>
        </is>
      </c>
      <c r="G118" t="n">
        <v>10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29862-2022</t>
        </is>
      </c>
      <c r="B119" s="1" t="n">
        <v>44756.38809027777</v>
      </c>
      <c r="C119" s="1" t="n">
        <v>45981</v>
      </c>
      <c r="D119" t="inlineStr">
        <is>
          <t>VÄSTERBOTTENS LÄN</t>
        </is>
      </c>
      <c r="E119" t="inlineStr">
        <is>
          <t>DOROTEA</t>
        </is>
      </c>
      <c r="G119" t="n">
        <v>13.6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21404-2025</t>
        </is>
      </c>
      <c r="B120" s="1" t="n">
        <v>45782</v>
      </c>
      <c r="C120" s="1" t="n">
        <v>45981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42104-2024</t>
        </is>
      </c>
      <c r="B121" s="1" t="n">
        <v>45562</v>
      </c>
      <c r="C121" s="1" t="n">
        <v>45981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39343-2025</t>
        </is>
      </c>
      <c r="B122" s="1" t="n">
        <v>45889.53162037037</v>
      </c>
      <c r="C122" s="1" t="n">
        <v>45981</v>
      </c>
      <c r="D122" t="inlineStr">
        <is>
          <t>VÄSTERBOTTENS LÄN</t>
        </is>
      </c>
      <c r="E122" t="inlineStr">
        <is>
          <t>DOROTEA</t>
        </is>
      </c>
      <c r="F122" t="inlineStr">
        <is>
          <t>SCA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53795-2022</t>
        </is>
      </c>
      <c r="B123" s="1" t="n">
        <v>44876</v>
      </c>
      <c r="C123" s="1" t="n">
        <v>45981</v>
      </c>
      <c r="D123" t="inlineStr">
        <is>
          <t>VÄSTERBOTTENS LÄN</t>
        </is>
      </c>
      <c r="E123" t="inlineStr">
        <is>
          <t>DOROTEA</t>
        </is>
      </c>
      <c r="G123" t="n">
        <v>12.3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39665-2025</t>
        </is>
      </c>
      <c r="B124" s="1" t="n">
        <v>45890.63614583333</v>
      </c>
      <c r="C124" s="1" t="n">
        <v>45981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7.7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27477-2023</t>
        </is>
      </c>
      <c r="B125" s="1" t="n">
        <v>45097</v>
      </c>
      <c r="C125" s="1" t="n">
        <v>45981</v>
      </c>
      <c r="D125" t="inlineStr">
        <is>
          <t>VÄSTERBOTTENS LÄN</t>
        </is>
      </c>
      <c r="E125" t="inlineStr">
        <is>
          <t>DOROTEA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39778-2025</t>
        </is>
      </c>
      <c r="B126" s="1" t="n">
        <v>45891.46913194445</v>
      </c>
      <c r="C126" s="1" t="n">
        <v>45981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22213-2025</t>
        </is>
      </c>
      <c r="B127" s="1" t="n">
        <v>45785.65777777778</v>
      </c>
      <c r="C127" s="1" t="n">
        <v>45981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21960-2025</t>
        </is>
      </c>
      <c r="B128" s="1" t="n">
        <v>45784</v>
      </c>
      <c r="C128" s="1" t="n">
        <v>45981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26.9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49044-2025</t>
        </is>
      </c>
      <c r="B129" s="1" t="n">
        <v>45937.63645833333</v>
      </c>
      <c r="C129" s="1" t="n">
        <v>45981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32821-2024</t>
        </is>
      </c>
      <c r="B130" s="1" t="n">
        <v>45516</v>
      </c>
      <c r="C130" s="1" t="n">
        <v>45981</v>
      </c>
      <c r="D130" t="inlineStr">
        <is>
          <t>VÄSTERBOTTENS LÄN</t>
        </is>
      </c>
      <c r="E130" t="inlineStr">
        <is>
          <t>DOROTEA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37606-2025</t>
        </is>
      </c>
      <c r="B131" s="1" t="n">
        <v>45880</v>
      </c>
      <c r="C131" s="1" t="n">
        <v>45981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39977-2025</t>
        </is>
      </c>
      <c r="B132" s="1" t="n">
        <v>45893.65675925926</v>
      </c>
      <c r="C132" s="1" t="n">
        <v>45981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10.3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10360-2023</t>
        </is>
      </c>
      <c r="B133" s="1" t="n">
        <v>44980</v>
      </c>
      <c r="C133" s="1" t="n">
        <v>45981</v>
      </c>
      <c r="D133" t="inlineStr">
        <is>
          <t>VÄSTERBOTTENS LÄN</t>
        </is>
      </c>
      <c r="E133" t="inlineStr">
        <is>
          <t>DOROTEA</t>
        </is>
      </c>
      <c r="G133" t="n">
        <v>18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40233-2025</t>
        </is>
      </c>
      <c r="B134" s="1" t="n">
        <v>45894.71912037037</v>
      </c>
      <c r="C134" s="1" t="n">
        <v>45981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49054-2025</t>
        </is>
      </c>
      <c r="B135" s="1" t="n">
        <v>45937.64037037037</v>
      </c>
      <c r="C135" s="1" t="n">
        <v>45981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9.800000000000001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19012-2025</t>
        </is>
      </c>
      <c r="B136" s="1" t="n">
        <v>45764.59451388889</v>
      </c>
      <c r="C136" s="1" t="n">
        <v>45981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27909-2024</t>
        </is>
      </c>
      <c r="B137" s="1" t="n">
        <v>45475</v>
      </c>
      <c r="C137" s="1" t="n">
        <v>45981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13.2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22946-2024</t>
        </is>
      </c>
      <c r="B138" s="1" t="n">
        <v>45448.94579861111</v>
      </c>
      <c r="C138" s="1" t="n">
        <v>45981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44820-2024</t>
        </is>
      </c>
      <c r="B139" s="1" t="n">
        <v>45574</v>
      </c>
      <c r="C139" s="1" t="n">
        <v>45981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22733-2023</t>
        </is>
      </c>
      <c r="B140" s="1" t="n">
        <v>45071</v>
      </c>
      <c r="C140" s="1" t="n">
        <v>45981</v>
      </c>
      <c r="D140" t="inlineStr">
        <is>
          <t>VÄSTERBOTTENS LÄN</t>
        </is>
      </c>
      <c r="E140" t="inlineStr">
        <is>
          <t>DOROTEA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19020-2025</t>
        </is>
      </c>
      <c r="B141" s="1" t="n">
        <v>45764.61490740741</v>
      </c>
      <c r="C141" s="1" t="n">
        <v>45981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49408-2025</t>
        </is>
      </c>
      <c r="B142" s="1" t="n">
        <v>45938.678125</v>
      </c>
      <c r="C142" s="1" t="n">
        <v>45981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40893-2025</t>
        </is>
      </c>
      <c r="B143" s="1" t="n">
        <v>45897</v>
      </c>
      <c r="C143" s="1" t="n">
        <v>45981</v>
      </c>
      <c r="D143" t="inlineStr">
        <is>
          <t>VÄSTERBOTTENS LÄN</t>
        </is>
      </c>
      <c r="E143" t="inlineStr">
        <is>
          <t>DOROTEA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3099-2025</t>
        </is>
      </c>
      <c r="B144" s="1" t="n">
        <v>45678.66674768519</v>
      </c>
      <c r="C144" s="1" t="n">
        <v>45981</v>
      </c>
      <c r="D144" t="inlineStr">
        <is>
          <t>VÄSTERBOTTENS LÄN</t>
        </is>
      </c>
      <c r="E144" t="inlineStr">
        <is>
          <t>DOROTEA</t>
        </is>
      </c>
      <c r="G144" t="n">
        <v>9.699999999999999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14294-2025</t>
        </is>
      </c>
      <c r="B145" s="1" t="n">
        <v>45740.67822916667</v>
      </c>
      <c r="C145" s="1" t="n">
        <v>45981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12005-2023</t>
        </is>
      </c>
      <c r="B146" s="1" t="n">
        <v>44994</v>
      </c>
      <c r="C146" s="1" t="n">
        <v>45981</v>
      </c>
      <c r="D146" t="inlineStr">
        <is>
          <t>VÄSTERBOTTENS LÄN</t>
        </is>
      </c>
      <c r="E146" t="inlineStr">
        <is>
          <t>DOROTEA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15057-2024</t>
        </is>
      </c>
      <c r="B147" s="1" t="n">
        <v>45399</v>
      </c>
      <c r="C147" s="1" t="n">
        <v>45981</v>
      </c>
      <c r="D147" t="inlineStr">
        <is>
          <t>VÄSTERBOTTENS LÄN</t>
        </is>
      </c>
      <c r="E147" t="inlineStr">
        <is>
          <t>DOROTEA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22450-2024</t>
        </is>
      </c>
      <c r="B148" s="1" t="n">
        <v>45446.94887731481</v>
      </c>
      <c r="C148" s="1" t="n">
        <v>45981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34101-2023</t>
        </is>
      </c>
      <c r="B149" s="1" t="n">
        <v>45125</v>
      </c>
      <c r="C149" s="1" t="n">
        <v>45981</v>
      </c>
      <c r="D149" t="inlineStr">
        <is>
          <t>VÄSTERBOTTENS LÄN</t>
        </is>
      </c>
      <c r="E149" t="inlineStr">
        <is>
          <t>DOROTEA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53469-2024</t>
        </is>
      </c>
      <c r="B150" s="1" t="n">
        <v>45611</v>
      </c>
      <c r="C150" s="1" t="n">
        <v>45981</v>
      </c>
      <c r="D150" t="inlineStr">
        <is>
          <t>VÄSTERBOTTENS LÄN</t>
        </is>
      </c>
      <c r="E150" t="inlineStr">
        <is>
          <t>DOROTEA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1992-2025</t>
        </is>
      </c>
      <c r="B151" s="1" t="n">
        <v>45672.43625</v>
      </c>
      <c r="C151" s="1" t="n">
        <v>45981</v>
      </c>
      <c r="D151" t="inlineStr">
        <is>
          <t>VÄSTERBOTTENS LÄN</t>
        </is>
      </c>
      <c r="E151" t="inlineStr">
        <is>
          <t>DOROTEA</t>
        </is>
      </c>
      <c r="F151" t="inlineStr">
        <is>
          <t>Kommuner</t>
        </is>
      </c>
      <c r="G151" t="n">
        <v>11.1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49489-2025</t>
        </is>
      </c>
      <c r="B152" s="1" t="n">
        <v>45939.36525462963</v>
      </c>
      <c r="C152" s="1" t="n">
        <v>45981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5.6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25719-2024</t>
        </is>
      </c>
      <c r="B153" s="1" t="n">
        <v>45463</v>
      </c>
      <c r="C153" s="1" t="n">
        <v>45981</v>
      </c>
      <c r="D153" t="inlineStr">
        <is>
          <t>VÄSTERBOTTENS LÄN</t>
        </is>
      </c>
      <c r="E153" t="inlineStr">
        <is>
          <t>DOROTEA</t>
        </is>
      </c>
      <c r="F153" t="inlineStr">
        <is>
          <t>SCA</t>
        </is>
      </c>
      <c r="G153" t="n">
        <v>16.2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17133-2025</t>
        </is>
      </c>
      <c r="B154" s="1" t="n">
        <v>45755</v>
      </c>
      <c r="C154" s="1" t="n">
        <v>45981</v>
      </c>
      <c r="D154" t="inlineStr">
        <is>
          <t>VÄSTERBOTTENS LÄN</t>
        </is>
      </c>
      <c r="E154" t="inlineStr">
        <is>
          <t>DOROTEA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57236-2022</t>
        </is>
      </c>
      <c r="B155" s="1" t="n">
        <v>44889</v>
      </c>
      <c r="C155" s="1" t="n">
        <v>45981</v>
      </c>
      <c r="D155" t="inlineStr">
        <is>
          <t>VÄSTERBOTTENS LÄN</t>
        </is>
      </c>
      <c r="E155" t="inlineStr">
        <is>
          <t>DOROTEA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41159-2025</t>
        </is>
      </c>
      <c r="B156" s="1" t="n">
        <v>45898.53164351852</v>
      </c>
      <c r="C156" s="1" t="n">
        <v>45981</v>
      </c>
      <c r="D156" t="inlineStr">
        <is>
          <t>VÄSTERBOTTENS LÄN</t>
        </is>
      </c>
      <c r="E156" t="inlineStr">
        <is>
          <t>DOROTEA</t>
        </is>
      </c>
      <c r="F156" t="inlineStr">
        <is>
          <t>SCA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67686-2021</t>
        </is>
      </c>
      <c r="B157" s="1" t="n">
        <v>44524</v>
      </c>
      <c r="C157" s="1" t="n">
        <v>45981</v>
      </c>
      <c r="D157" t="inlineStr">
        <is>
          <t>VÄSTERBOTTENS LÄN</t>
        </is>
      </c>
      <c r="E157" t="inlineStr">
        <is>
          <t>DOROTEA</t>
        </is>
      </c>
      <c r="F157" t="inlineStr">
        <is>
          <t>SCA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6717-2025</t>
        </is>
      </c>
      <c r="B158" s="1" t="n">
        <v>45700.5734837963</v>
      </c>
      <c r="C158" s="1" t="n">
        <v>45981</v>
      </c>
      <c r="D158" t="inlineStr">
        <is>
          <t>VÄSTERBOTTENS LÄN</t>
        </is>
      </c>
      <c r="E158" t="inlineStr">
        <is>
          <t>DOROTEA</t>
        </is>
      </c>
      <c r="F158" t="inlineStr">
        <is>
          <t>SCA</t>
        </is>
      </c>
      <c r="G158" t="n">
        <v>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39686-2025</t>
        </is>
      </c>
      <c r="B159" s="1" t="n">
        <v>45890</v>
      </c>
      <c r="C159" s="1" t="n">
        <v>45981</v>
      </c>
      <c r="D159" t="inlineStr">
        <is>
          <t>VÄSTERBOTTENS LÄN</t>
        </is>
      </c>
      <c r="E159" t="inlineStr">
        <is>
          <t>DOROTEA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12871-2025</t>
        </is>
      </c>
      <c r="B160" s="1" t="n">
        <v>45733.67770833334</v>
      </c>
      <c r="C160" s="1" t="n">
        <v>45981</v>
      </c>
      <c r="D160" t="inlineStr">
        <is>
          <t>VÄSTERBOTTENS LÄN</t>
        </is>
      </c>
      <c r="E160" t="inlineStr">
        <is>
          <t>DOROTEA</t>
        </is>
      </c>
      <c r="F160" t="inlineStr">
        <is>
          <t>SCA</t>
        </is>
      </c>
      <c r="G160" t="n">
        <v>8.300000000000001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22774-2025</t>
        </is>
      </c>
      <c r="B161" s="1" t="n">
        <v>45789.63657407407</v>
      </c>
      <c r="C161" s="1" t="n">
        <v>45981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22752-2025</t>
        </is>
      </c>
      <c r="B162" s="1" t="n">
        <v>45789</v>
      </c>
      <c r="C162" s="1" t="n">
        <v>45981</v>
      </c>
      <c r="D162" t="inlineStr">
        <is>
          <t>VÄSTERBOTTENS LÄN</t>
        </is>
      </c>
      <c r="E162" t="inlineStr">
        <is>
          <t>DOROTEA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41079-2025</t>
        </is>
      </c>
      <c r="B163" s="1" t="n">
        <v>45898.42778935185</v>
      </c>
      <c r="C163" s="1" t="n">
        <v>45981</v>
      </c>
      <c r="D163" t="inlineStr">
        <is>
          <t>VÄSTERBOTTENS LÄN</t>
        </is>
      </c>
      <c r="E163" t="inlineStr">
        <is>
          <t>DOROTEA</t>
        </is>
      </c>
      <c r="F163" t="inlineStr">
        <is>
          <t>SCA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6621-2023</t>
        </is>
      </c>
      <c r="B164" s="1" t="n">
        <v>44960</v>
      </c>
      <c r="C164" s="1" t="n">
        <v>45981</v>
      </c>
      <c r="D164" t="inlineStr">
        <is>
          <t>VÄSTERBOTTENS LÄN</t>
        </is>
      </c>
      <c r="E164" t="inlineStr">
        <is>
          <t>DOROTEA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41055-2025</t>
        </is>
      </c>
      <c r="B165" s="1" t="n">
        <v>45898</v>
      </c>
      <c r="C165" s="1" t="n">
        <v>45981</v>
      </c>
      <c r="D165" t="inlineStr">
        <is>
          <t>VÄSTERBOTTENS LÄN</t>
        </is>
      </c>
      <c r="E165" t="inlineStr">
        <is>
          <t>DOROTEA</t>
        </is>
      </c>
      <c r="F165" t="inlineStr">
        <is>
          <t>SCA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41882-2025</t>
        </is>
      </c>
      <c r="B166" s="1" t="n">
        <v>45903.36497685185</v>
      </c>
      <c r="C166" s="1" t="n">
        <v>45981</v>
      </c>
      <c r="D166" t="inlineStr">
        <is>
          <t>VÄSTERBOTTENS LÄN</t>
        </is>
      </c>
      <c r="E166" t="inlineStr">
        <is>
          <t>DOROTEA</t>
        </is>
      </c>
      <c r="F166" t="inlineStr">
        <is>
          <t>SCA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3616-2025</t>
        </is>
      </c>
      <c r="B167" s="1" t="n">
        <v>45681.36523148148</v>
      </c>
      <c r="C167" s="1" t="n">
        <v>45981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6.9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14649-2025</t>
        </is>
      </c>
      <c r="B168" s="1" t="n">
        <v>45742.48995370371</v>
      </c>
      <c r="C168" s="1" t="n">
        <v>45981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13451-2022</t>
        </is>
      </c>
      <c r="B169" s="1" t="n">
        <v>44645</v>
      </c>
      <c r="C169" s="1" t="n">
        <v>45981</v>
      </c>
      <c r="D169" t="inlineStr">
        <is>
          <t>VÄSTERBOTTENS LÄN</t>
        </is>
      </c>
      <c r="E169" t="inlineStr">
        <is>
          <t>DOROTEA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41907-2025</t>
        </is>
      </c>
      <c r="B170" s="1" t="n">
        <v>45903.40694444445</v>
      </c>
      <c r="C170" s="1" t="n">
        <v>45981</v>
      </c>
      <c r="D170" t="inlineStr">
        <is>
          <t>VÄSTERBOTTENS LÄN</t>
        </is>
      </c>
      <c r="E170" t="inlineStr">
        <is>
          <t>DOROTEA</t>
        </is>
      </c>
      <c r="F170" t="inlineStr">
        <is>
          <t>Övriga Aktiebolag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50530-2025</t>
        </is>
      </c>
      <c r="B171" s="1" t="n">
        <v>45945.47358796297</v>
      </c>
      <c r="C171" s="1" t="n">
        <v>45981</v>
      </c>
      <c r="D171" t="inlineStr">
        <is>
          <t>VÄSTERBOTTENS LÄN</t>
        </is>
      </c>
      <c r="E171" t="inlineStr">
        <is>
          <t>DOROTEA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19889-2025</t>
        </is>
      </c>
      <c r="B172" s="1" t="n">
        <v>45771.57355324074</v>
      </c>
      <c r="C172" s="1" t="n">
        <v>45981</v>
      </c>
      <c r="D172" t="inlineStr">
        <is>
          <t>VÄSTERBOTTENS LÄN</t>
        </is>
      </c>
      <c r="E172" t="inlineStr">
        <is>
          <t>DOROTEA</t>
        </is>
      </c>
      <c r="F172" t="inlineStr">
        <is>
          <t>SCA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19915-2025</t>
        </is>
      </c>
      <c r="B173" s="1" t="n">
        <v>45771</v>
      </c>
      <c r="C173" s="1" t="n">
        <v>45981</v>
      </c>
      <c r="D173" t="inlineStr">
        <is>
          <t>VÄSTERBOTTENS LÄN</t>
        </is>
      </c>
      <c r="E173" t="inlineStr">
        <is>
          <t>DOROTEA</t>
        </is>
      </c>
      <c r="F173" t="inlineStr">
        <is>
          <t>SCA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34107-2023</t>
        </is>
      </c>
      <c r="B174" s="1" t="n">
        <v>45125</v>
      </c>
      <c r="C174" s="1" t="n">
        <v>45981</v>
      </c>
      <c r="D174" t="inlineStr">
        <is>
          <t>VÄSTERBOTTENS LÄN</t>
        </is>
      </c>
      <c r="E174" t="inlineStr">
        <is>
          <t>DOROTEA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50582-2024</t>
        </is>
      </c>
      <c r="B175" s="1" t="n">
        <v>45600</v>
      </c>
      <c r="C175" s="1" t="n">
        <v>45981</v>
      </c>
      <c r="D175" t="inlineStr">
        <is>
          <t>VÄSTERBOTTENS LÄN</t>
        </is>
      </c>
      <c r="E175" t="inlineStr">
        <is>
          <t>DOROTEA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41885-2025</t>
        </is>
      </c>
      <c r="B176" s="1" t="n">
        <v>45903.36555555555</v>
      </c>
      <c r="C176" s="1" t="n">
        <v>45981</v>
      </c>
      <c r="D176" t="inlineStr">
        <is>
          <t>VÄSTERBOTTENS LÄN</t>
        </is>
      </c>
      <c r="E176" t="inlineStr">
        <is>
          <t>DOROTEA</t>
        </is>
      </c>
      <c r="F176" t="inlineStr">
        <is>
          <t>SCA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57376-2022</t>
        </is>
      </c>
      <c r="B177" s="1" t="n">
        <v>44889</v>
      </c>
      <c r="C177" s="1" t="n">
        <v>45981</v>
      </c>
      <c r="D177" t="inlineStr">
        <is>
          <t>VÄSTERBOTTENS LÄN</t>
        </is>
      </c>
      <c r="E177" t="inlineStr">
        <is>
          <t>DOROTEA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34820-2023</t>
        </is>
      </c>
      <c r="B178" s="1" t="n">
        <v>45140</v>
      </c>
      <c r="C178" s="1" t="n">
        <v>45981</v>
      </c>
      <c r="D178" t="inlineStr">
        <is>
          <t>VÄSTERBOTTENS LÄN</t>
        </is>
      </c>
      <c r="E178" t="inlineStr">
        <is>
          <t>DOROTEA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29737-2024</t>
        </is>
      </c>
      <c r="B179" s="1" t="n">
        <v>45485.38835648148</v>
      </c>
      <c r="C179" s="1" t="n">
        <v>45981</v>
      </c>
      <c r="D179" t="inlineStr">
        <is>
          <t>VÄSTERBOTTENS LÄN</t>
        </is>
      </c>
      <c r="E179" t="inlineStr">
        <is>
          <t>DOROTEA</t>
        </is>
      </c>
      <c r="G179" t="n">
        <v>10.2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23492-2025</t>
        </is>
      </c>
      <c r="B180" s="1" t="n">
        <v>45792.46936342592</v>
      </c>
      <c r="C180" s="1" t="n">
        <v>45981</v>
      </c>
      <c r="D180" t="inlineStr">
        <is>
          <t>VÄSTERBOTTENS LÄN</t>
        </is>
      </c>
      <c r="E180" t="inlineStr">
        <is>
          <t>DOROTEA</t>
        </is>
      </c>
      <c r="F180" t="inlineStr">
        <is>
          <t>SCA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23457-2025</t>
        </is>
      </c>
      <c r="B181" s="1" t="n">
        <v>45792.42746527777</v>
      </c>
      <c r="C181" s="1" t="n">
        <v>45981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50360-2025</t>
        </is>
      </c>
      <c r="B182" s="1" t="n">
        <v>45944.56261574074</v>
      </c>
      <c r="C182" s="1" t="n">
        <v>45981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Sveaskog</t>
        </is>
      </c>
      <c r="G182" t="n">
        <v>17.7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39470-2024</t>
        </is>
      </c>
      <c r="B183" s="1" t="n">
        <v>45551</v>
      </c>
      <c r="C183" s="1" t="n">
        <v>45981</v>
      </c>
      <c r="D183" t="inlineStr">
        <is>
          <t>VÄSTERBOTTENS LÄN</t>
        </is>
      </c>
      <c r="E183" t="inlineStr">
        <is>
          <t>DOROTEA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39721-2024</t>
        </is>
      </c>
      <c r="B184" s="1" t="n">
        <v>45552</v>
      </c>
      <c r="C184" s="1" t="n">
        <v>45981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67-2025</t>
        </is>
      </c>
      <c r="B185" s="1" t="n">
        <v>45659</v>
      </c>
      <c r="C185" s="1" t="n">
        <v>45981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33113-2024</t>
        </is>
      </c>
      <c r="B186" s="1" t="n">
        <v>45517</v>
      </c>
      <c r="C186" s="1" t="n">
        <v>45981</v>
      </c>
      <c r="D186" t="inlineStr">
        <is>
          <t>VÄSTERBOTTENS LÄN</t>
        </is>
      </c>
      <c r="E186" t="inlineStr">
        <is>
          <t>DOROTEA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41871-2025</t>
        </is>
      </c>
      <c r="B187" s="1" t="n">
        <v>45903.34480324074</v>
      </c>
      <c r="C187" s="1" t="n">
        <v>45981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10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53380-2024</t>
        </is>
      </c>
      <c r="B188" s="1" t="n">
        <v>45614</v>
      </c>
      <c r="C188" s="1" t="n">
        <v>45981</v>
      </c>
      <c r="D188" t="inlineStr">
        <is>
          <t>VÄSTERBOTTENS LÄN</t>
        </is>
      </c>
      <c r="E188" t="inlineStr">
        <is>
          <t>DOROTEA</t>
        </is>
      </c>
      <c r="G188" t="n">
        <v>12.8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36137-2023</t>
        </is>
      </c>
      <c r="B189" s="1" t="n">
        <v>45149</v>
      </c>
      <c r="C189" s="1" t="n">
        <v>45981</v>
      </c>
      <c r="D189" t="inlineStr">
        <is>
          <t>VÄSTERBOTTENS LÄN</t>
        </is>
      </c>
      <c r="E189" t="inlineStr">
        <is>
          <t>DOROTEA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361-2024</t>
        </is>
      </c>
      <c r="B190" s="1" t="n">
        <v>45295</v>
      </c>
      <c r="C190" s="1" t="n">
        <v>45981</v>
      </c>
      <c r="D190" t="inlineStr">
        <is>
          <t>VÄSTERBOTTENS LÄN</t>
        </is>
      </c>
      <c r="E190" t="inlineStr">
        <is>
          <t>DOROTEA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9172-2025</t>
        </is>
      </c>
      <c r="B191" s="1" t="n">
        <v>45714.40652777778</v>
      </c>
      <c r="C191" s="1" t="n">
        <v>45981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2813-2025</t>
        </is>
      </c>
      <c r="B192" s="1" t="n">
        <v>45677.59814814815</v>
      </c>
      <c r="C192" s="1" t="n">
        <v>45981</v>
      </c>
      <c r="D192" t="inlineStr">
        <is>
          <t>VÄSTERBOTTENS LÄN</t>
        </is>
      </c>
      <c r="E192" t="inlineStr">
        <is>
          <t>DOROTEA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9102-2023</t>
        </is>
      </c>
      <c r="B193" s="1" t="n">
        <v>44979</v>
      </c>
      <c r="C193" s="1" t="n">
        <v>45981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9.4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24921-2025</t>
        </is>
      </c>
      <c r="B194" s="1" t="n">
        <v>45799</v>
      </c>
      <c r="C194" s="1" t="n">
        <v>45981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31.5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50875-2025</t>
        </is>
      </c>
      <c r="B195" s="1" t="n">
        <v>45946.61502314815</v>
      </c>
      <c r="C195" s="1" t="n">
        <v>45981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34702-2023</t>
        </is>
      </c>
      <c r="B196" s="1" t="n">
        <v>45140</v>
      </c>
      <c r="C196" s="1" t="n">
        <v>45981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24003-2025</t>
        </is>
      </c>
      <c r="B197" s="1" t="n">
        <v>45796</v>
      </c>
      <c r="C197" s="1" t="n">
        <v>45981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30456-2022</t>
        </is>
      </c>
      <c r="B198" s="1" t="n">
        <v>44761</v>
      </c>
      <c r="C198" s="1" t="n">
        <v>45981</v>
      </c>
      <c r="D198" t="inlineStr">
        <is>
          <t>VÄSTERBOTTENS LÄN</t>
        </is>
      </c>
      <c r="E198" t="inlineStr">
        <is>
          <t>DOROTEA</t>
        </is>
      </c>
      <c r="G198" t="n">
        <v>10.6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5248-2025</t>
        </is>
      </c>
      <c r="B199" s="1" t="n">
        <v>45692.34452546296</v>
      </c>
      <c r="C199" s="1" t="n">
        <v>45981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61082-2024</t>
        </is>
      </c>
      <c r="B200" s="1" t="n">
        <v>45644</v>
      </c>
      <c r="C200" s="1" t="n">
        <v>45981</v>
      </c>
      <c r="D200" t="inlineStr">
        <is>
          <t>VÄSTERBOTTENS LÄN</t>
        </is>
      </c>
      <c r="E200" t="inlineStr">
        <is>
          <t>DOROTEA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33738-2024</t>
        </is>
      </c>
      <c r="B201" s="1" t="n">
        <v>45520</v>
      </c>
      <c r="C201" s="1" t="n">
        <v>45981</v>
      </c>
      <c r="D201" t="inlineStr">
        <is>
          <t>VÄSTERBOTTENS LÄN</t>
        </is>
      </c>
      <c r="E201" t="inlineStr">
        <is>
          <t>DOROTEA</t>
        </is>
      </c>
      <c r="G201" t="n">
        <v>11.1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912-2023</t>
        </is>
      </c>
      <c r="B202" s="1" t="n">
        <v>44931.92638888889</v>
      </c>
      <c r="C202" s="1" t="n">
        <v>45981</v>
      </c>
      <c r="D202" t="inlineStr">
        <is>
          <t>VÄSTERBOTTENS LÄN</t>
        </is>
      </c>
      <c r="E202" t="inlineStr">
        <is>
          <t>DOROTEA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42553-2025</t>
        </is>
      </c>
      <c r="B203" s="1" t="n">
        <v>45905.59423611111</v>
      </c>
      <c r="C203" s="1" t="n">
        <v>45981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7.3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17776-2023</t>
        </is>
      </c>
      <c r="B204" s="1" t="n">
        <v>45036</v>
      </c>
      <c r="C204" s="1" t="n">
        <v>45981</v>
      </c>
      <c r="D204" t="inlineStr">
        <is>
          <t>VÄSTERBOTTENS LÄN</t>
        </is>
      </c>
      <c r="E204" t="inlineStr">
        <is>
          <t>DOROTEA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35202-2025</t>
        </is>
      </c>
      <c r="B205" s="1" t="n">
        <v>45852</v>
      </c>
      <c r="C205" s="1" t="n">
        <v>45981</v>
      </c>
      <c r="D205" t="inlineStr">
        <is>
          <t>VÄSTERBOTTENS LÄN</t>
        </is>
      </c>
      <c r="E205" t="inlineStr">
        <is>
          <t>DOROTEA</t>
        </is>
      </c>
      <c r="F205" t="inlineStr">
        <is>
          <t>Allmännings- och besparingsskogar</t>
        </is>
      </c>
      <c r="G205" t="n">
        <v>22.1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35203-2025</t>
        </is>
      </c>
      <c r="B206" s="1" t="n">
        <v>45852</v>
      </c>
      <c r="C206" s="1" t="n">
        <v>45981</v>
      </c>
      <c r="D206" t="inlineStr">
        <is>
          <t>VÄSTERBOTTENS LÄN</t>
        </is>
      </c>
      <c r="E206" t="inlineStr">
        <is>
          <t>DOROTEA</t>
        </is>
      </c>
      <c r="F206" t="inlineStr">
        <is>
          <t>Allmännings- och besparingsskogar</t>
        </is>
      </c>
      <c r="G206" t="n">
        <v>20.3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42279-2025</t>
        </is>
      </c>
      <c r="B207" s="1" t="n">
        <v>45904.61569444444</v>
      </c>
      <c r="C207" s="1" t="n">
        <v>45981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42278-2025</t>
        </is>
      </c>
      <c r="B208" s="1" t="n">
        <v>45904.61540509259</v>
      </c>
      <c r="C208" s="1" t="n">
        <v>45981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42125-2025</t>
        </is>
      </c>
      <c r="B209" s="1" t="n">
        <v>45904.34472222222</v>
      </c>
      <c r="C209" s="1" t="n">
        <v>45981</v>
      </c>
      <c r="D209" t="inlineStr">
        <is>
          <t>VÄSTERBOTTENS LÄN</t>
        </is>
      </c>
      <c r="E209" t="inlineStr">
        <is>
          <t>DOROTEA</t>
        </is>
      </c>
      <c r="F209" t="inlineStr">
        <is>
          <t>Övriga Aktiebolag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24785-2025</t>
        </is>
      </c>
      <c r="B210" s="1" t="n">
        <v>45799</v>
      </c>
      <c r="C210" s="1" t="n">
        <v>45981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2509-2025</t>
        </is>
      </c>
      <c r="B211" s="1" t="n">
        <v>45674.57372685185</v>
      </c>
      <c r="C211" s="1" t="n">
        <v>45981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7.3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42800-2025</t>
        </is>
      </c>
      <c r="B212" s="1" t="n">
        <v>45908.53167824074</v>
      </c>
      <c r="C212" s="1" t="n">
        <v>45981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57082-2024</t>
        </is>
      </c>
      <c r="B213" s="1" t="n">
        <v>45629.3558449074</v>
      </c>
      <c r="C213" s="1" t="n">
        <v>45981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9.6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11091-2025</t>
        </is>
      </c>
      <c r="B214" s="1" t="n">
        <v>45723.57409722222</v>
      </c>
      <c r="C214" s="1" t="n">
        <v>45981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18.6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14163-2024</t>
        </is>
      </c>
      <c r="B215" s="1" t="n">
        <v>45392.95734953704</v>
      </c>
      <c r="C215" s="1" t="n">
        <v>45981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23213-2022</t>
        </is>
      </c>
      <c r="B216" s="1" t="n">
        <v>44719.94283564815</v>
      </c>
      <c r="C216" s="1" t="n">
        <v>45981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24873-2025</t>
        </is>
      </c>
      <c r="B217" s="1" t="n">
        <v>45799</v>
      </c>
      <c r="C217" s="1" t="n">
        <v>45981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40435-2023</t>
        </is>
      </c>
      <c r="B218" s="1" t="n">
        <v>45169</v>
      </c>
      <c r="C218" s="1" t="n">
        <v>45981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40436-2023</t>
        </is>
      </c>
      <c r="B219" s="1" t="n">
        <v>45169.9409837963</v>
      </c>
      <c r="C219" s="1" t="n">
        <v>45981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40437-2023</t>
        </is>
      </c>
      <c r="B220" s="1" t="n">
        <v>45169.94105324074</v>
      </c>
      <c r="C220" s="1" t="n">
        <v>45981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52339-2025</t>
        </is>
      </c>
      <c r="B221" s="1" t="n">
        <v>45953.69837962963</v>
      </c>
      <c r="C221" s="1" t="n">
        <v>45981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12.6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2814-2025</t>
        </is>
      </c>
      <c r="B222" s="1" t="n">
        <v>45677</v>
      </c>
      <c r="C222" s="1" t="n">
        <v>45981</v>
      </c>
      <c r="D222" t="inlineStr">
        <is>
          <t>VÄSTERBOTTENS LÄN</t>
        </is>
      </c>
      <c r="E222" t="inlineStr">
        <is>
          <t>DOROTEA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8245-2024</t>
        </is>
      </c>
      <c r="B223" s="1" t="n">
        <v>45351.98571759259</v>
      </c>
      <c r="C223" s="1" t="n">
        <v>45981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6.5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47493-2023</t>
        </is>
      </c>
      <c r="B224" s="1" t="n">
        <v>45202</v>
      </c>
      <c r="C224" s="1" t="n">
        <v>45981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38700-2024</t>
        </is>
      </c>
      <c r="B225" s="1" t="n">
        <v>45547</v>
      </c>
      <c r="C225" s="1" t="n">
        <v>45981</v>
      </c>
      <c r="D225" t="inlineStr">
        <is>
          <t>VÄSTERBOTTENS LÄN</t>
        </is>
      </c>
      <c r="E225" t="inlineStr">
        <is>
          <t>DOROTEA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13364-2025</t>
        </is>
      </c>
      <c r="B226" s="1" t="n">
        <v>45735</v>
      </c>
      <c r="C226" s="1" t="n">
        <v>45981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40434-2023</t>
        </is>
      </c>
      <c r="B227" s="1" t="n">
        <v>45169.94084490741</v>
      </c>
      <c r="C227" s="1" t="n">
        <v>45981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13.9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52186-2025</t>
        </is>
      </c>
      <c r="B228" s="1" t="n">
        <v>45953.38614583333</v>
      </c>
      <c r="C228" s="1" t="n">
        <v>45981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8.6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4958-2023</t>
        </is>
      </c>
      <c r="B229" s="1" t="n">
        <v>44956</v>
      </c>
      <c r="C229" s="1" t="n">
        <v>45981</v>
      </c>
      <c r="D229" t="inlineStr">
        <is>
          <t>VÄSTERBOTTENS LÄN</t>
        </is>
      </c>
      <c r="E229" t="inlineStr">
        <is>
          <t>DOROTEA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41353-2022</t>
        </is>
      </c>
      <c r="B230" s="1" t="n">
        <v>44824</v>
      </c>
      <c r="C230" s="1" t="n">
        <v>45981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7.1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49077-2022</t>
        </is>
      </c>
      <c r="B231" s="1" t="n">
        <v>44860</v>
      </c>
      <c r="C231" s="1" t="n">
        <v>45981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Sveaskog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25028-2024</t>
        </is>
      </c>
      <c r="B232" s="1" t="n">
        <v>45461</v>
      </c>
      <c r="C232" s="1" t="n">
        <v>45981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17787-2023</t>
        </is>
      </c>
      <c r="B233" s="1" t="n">
        <v>45036</v>
      </c>
      <c r="C233" s="1" t="n">
        <v>45981</v>
      </c>
      <c r="D233" t="inlineStr">
        <is>
          <t>VÄSTERBOTTENS LÄN</t>
        </is>
      </c>
      <c r="E233" t="inlineStr">
        <is>
          <t>DOROTEA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14631-2025</t>
        </is>
      </c>
      <c r="B234" s="1" t="n">
        <v>45742.42782407408</v>
      </c>
      <c r="C234" s="1" t="n">
        <v>45981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43866-2025</t>
        </is>
      </c>
      <c r="B235" s="1" t="n">
        <v>45912.65726851852</v>
      </c>
      <c r="C235" s="1" t="n">
        <v>45981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7.5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25617-2025</t>
        </is>
      </c>
      <c r="B236" s="1" t="n">
        <v>45803.5733912037</v>
      </c>
      <c r="C236" s="1" t="n">
        <v>45981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25676-2025</t>
        </is>
      </c>
      <c r="B237" s="1" t="n">
        <v>45803.63585648148</v>
      </c>
      <c r="C237" s="1" t="n">
        <v>45981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56167-2024</t>
        </is>
      </c>
      <c r="B238" s="1" t="n">
        <v>45624</v>
      </c>
      <c r="C238" s="1" t="n">
        <v>45981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25523-2025</t>
        </is>
      </c>
      <c r="B239" s="1" t="n">
        <v>45803.38633101852</v>
      </c>
      <c r="C239" s="1" t="n">
        <v>45981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60304-2022</t>
        </is>
      </c>
      <c r="B240" s="1" t="n">
        <v>44910</v>
      </c>
      <c r="C240" s="1" t="n">
        <v>45981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44190-2025</t>
        </is>
      </c>
      <c r="B241" s="1" t="n">
        <v>45915.61515046296</v>
      </c>
      <c r="C241" s="1" t="n">
        <v>45981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25606-2025</t>
        </is>
      </c>
      <c r="B242" s="1" t="n">
        <v>45803.55297453704</v>
      </c>
      <c r="C242" s="1" t="n">
        <v>45981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8246-2024</t>
        </is>
      </c>
      <c r="B243" s="1" t="n">
        <v>45351.98583333333</v>
      </c>
      <c r="C243" s="1" t="n">
        <v>45981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27199-2024</t>
        </is>
      </c>
      <c r="B244" s="1" t="n">
        <v>45471</v>
      </c>
      <c r="C244" s="1" t="n">
        <v>45981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39471-2024</t>
        </is>
      </c>
      <c r="B245" s="1" t="n">
        <v>45551.63643518519</v>
      </c>
      <c r="C245" s="1" t="n">
        <v>45981</v>
      </c>
      <c r="D245" t="inlineStr">
        <is>
          <t>VÄSTERBOTTENS LÄN</t>
        </is>
      </c>
      <c r="E245" t="inlineStr">
        <is>
          <t>DOROTEA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20759-2023</t>
        </is>
      </c>
      <c r="B246" s="1" t="n">
        <v>45055</v>
      </c>
      <c r="C246" s="1" t="n">
        <v>45981</v>
      </c>
      <c r="D246" t="inlineStr">
        <is>
          <t>VÄSTERBOTTENS LÄN</t>
        </is>
      </c>
      <c r="E246" t="inlineStr">
        <is>
          <t>DOROTEA</t>
        </is>
      </c>
      <c r="F246" t="inlineStr">
        <is>
          <t>Övriga statliga verk och myndigheter</t>
        </is>
      </c>
      <c r="G246" t="n">
        <v>13.9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40963-2025</t>
        </is>
      </c>
      <c r="B247" s="1" t="n">
        <v>45897</v>
      </c>
      <c r="C247" s="1" t="n">
        <v>45981</v>
      </c>
      <c r="D247" t="inlineStr">
        <is>
          <t>VÄSTERBOTTENS LÄN</t>
        </is>
      </c>
      <c r="E247" t="inlineStr">
        <is>
          <t>DOROTEA</t>
        </is>
      </c>
      <c r="G247" t="n">
        <v>29.5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25416-2025</t>
        </is>
      </c>
      <c r="B248" s="1" t="n">
        <v>45800.67747685185</v>
      </c>
      <c r="C248" s="1" t="n">
        <v>45981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40438-2023</t>
        </is>
      </c>
      <c r="B249" s="1" t="n">
        <v>45169.94112268519</v>
      </c>
      <c r="C249" s="1" t="n">
        <v>45981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44194-2025</t>
        </is>
      </c>
      <c r="B250" s="1" t="n">
        <v>45915.61606481481</v>
      </c>
      <c r="C250" s="1" t="n">
        <v>45981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8.4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43876-2025</t>
        </is>
      </c>
      <c r="B251" s="1" t="n">
        <v>45912.67747685185</v>
      </c>
      <c r="C251" s="1" t="n">
        <v>45981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52412-2025</t>
        </is>
      </c>
      <c r="B252" s="1" t="n">
        <v>45954.36586805555</v>
      </c>
      <c r="C252" s="1" t="n">
        <v>45981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25603-2025</t>
        </is>
      </c>
      <c r="B253" s="1" t="n">
        <v>45803.55256944444</v>
      </c>
      <c r="C253" s="1" t="n">
        <v>45981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25605-2025</t>
        </is>
      </c>
      <c r="B254" s="1" t="n">
        <v>45803.5528125</v>
      </c>
      <c r="C254" s="1" t="n">
        <v>45981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25310-2025</t>
        </is>
      </c>
      <c r="B255" s="1" t="n">
        <v>45800.57395833333</v>
      </c>
      <c r="C255" s="1" t="n">
        <v>45981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25356-2025</t>
        </is>
      </c>
      <c r="B256" s="1" t="n">
        <v>45800.61635416667</v>
      </c>
      <c r="C256" s="1" t="n">
        <v>45981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25131-2025</t>
        </is>
      </c>
      <c r="B257" s="1" t="n">
        <v>45800.38581018519</v>
      </c>
      <c r="C257" s="1" t="n">
        <v>45981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9.9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43720-2025</t>
        </is>
      </c>
      <c r="B258" s="1" t="n">
        <v>45912.42776620371</v>
      </c>
      <c r="C258" s="1" t="n">
        <v>45981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11.1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34768-2024</t>
        </is>
      </c>
      <c r="B259" s="1" t="n">
        <v>45526</v>
      </c>
      <c r="C259" s="1" t="n">
        <v>45981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28.1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3017-2024</t>
        </is>
      </c>
      <c r="B260" s="1" t="n">
        <v>45315.9491087963</v>
      </c>
      <c r="C260" s="1" t="n">
        <v>45981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44322-2025</t>
        </is>
      </c>
      <c r="B261" s="1" t="n">
        <v>45915</v>
      </c>
      <c r="C261" s="1" t="n">
        <v>45981</v>
      </c>
      <c r="D261" t="inlineStr">
        <is>
          <t>VÄSTERBOTTENS LÄN</t>
        </is>
      </c>
      <c r="E261" t="inlineStr">
        <is>
          <t>DOROTEA</t>
        </is>
      </c>
      <c r="G261" t="n">
        <v>14.1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26315-2025</t>
        </is>
      </c>
      <c r="B262" s="1" t="n">
        <v>45805.65696759259</v>
      </c>
      <c r="C262" s="1" t="n">
        <v>45981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53409-2025</t>
        </is>
      </c>
      <c r="B263" s="1" t="n">
        <v>45959.57366898148</v>
      </c>
      <c r="C263" s="1" t="n">
        <v>45981</v>
      </c>
      <c r="D263" t="inlineStr">
        <is>
          <t>VÄSTERBOTTENS LÄN</t>
        </is>
      </c>
      <c r="E263" t="inlineStr">
        <is>
          <t>DOROTEA</t>
        </is>
      </c>
      <c r="F263" t="inlineStr">
        <is>
          <t>SCA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48006-2023</t>
        </is>
      </c>
      <c r="B264" s="1" t="n">
        <v>45198</v>
      </c>
      <c r="C264" s="1" t="n">
        <v>45981</v>
      </c>
      <c r="D264" t="inlineStr">
        <is>
          <t>VÄSTERBOTTENS LÄN</t>
        </is>
      </c>
      <c r="E264" t="inlineStr">
        <is>
          <t>DOROTEA</t>
        </is>
      </c>
      <c r="F264" t="inlineStr">
        <is>
          <t>Övriga statliga verk och myndigheter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19726-2025</t>
        </is>
      </c>
      <c r="B265" s="1" t="n">
        <v>45771.36527777778</v>
      </c>
      <c r="C265" s="1" t="n">
        <v>45981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44593-2025</t>
        </is>
      </c>
      <c r="B266" s="1" t="n">
        <v>45917.42748842593</v>
      </c>
      <c r="C266" s="1" t="n">
        <v>45981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31497-2024</t>
        </is>
      </c>
      <c r="B267" s="1" t="n">
        <v>45505.95497685186</v>
      </c>
      <c r="C267" s="1" t="n">
        <v>45981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37105-2024</t>
        </is>
      </c>
      <c r="B268" s="1" t="n">
        <v>45539</v>
      </c>
      <c r="C268" s="1" t="n">
        <v>45981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12.3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37072-2024</t>
        </is>
      </c>
      <c r="B269" s="1" t="n">
        <v>45539</v>
      </c>
      <c r="C269" s="1" t="n">
        <v>45981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8.199999999999999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26481-2025</t>
        </is>
      </c>
      <c r="B270" s="1" t="n">
        <v>45807.47043981482</v>
      </c>
      <c r="C270" s="1" t="n">
        <v>45981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26439-2025</t>
        </is>
      </c>
      <c r="B271" s="1" t="n">
        <v>45807.40659722222</v>
      </c>
      <c r="C271" s="1" t="n">
        <v>45981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26480-2025</t>
        </is>
      </c>
      <c r="B272" s="1" t="n">
        <v>45807.47040509259</v>
      </c>
      <c r="C272" s="1" t="n">
        <v>45981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44282-2025</t>
        </is>
      </c>
      <c r="B273" s="1" t="n">
        <v>45916.34527777778</v>
      </c>
      <c r="C273" s="1" t="n">
        <v>45981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44323-2025</t>
        </is>
      </c>
      <c r="B274" s="1" t="n">
        <v>45916.40681712963</v>
      </c>
      <c r="C274" s="1" t="n">
        <v>45981</v>
      </c>
      <c r="D274" t="inlineStr">
        <is>
          <t>VÄSTERBOTTENS LÄN</t>
        </is>
      </c>
      <c r="E274" t="inlineStr">
        <is>
          <t>DOROTEA</t>
        </is>
      </c>
      <c r="F274" t="inlineStr">
        <is>
          <t>Övriga Aktiebolag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44357-2025</t>
        </is>
      </c>
      <c r="B275" s="1" t="n">
        <v>45916.44855324074</v>
      </c>
      <c r="C275" s="1" t="n">
        <v>45981</v>
      </c>
      <c r="D275" t="inlineStr">
        <is>
          <t>VÄSTERBOTTENS LÄN</t>
        </is>
      </c>
      <c r="E275" t="inlineStr">
        <is>
          <t>DOROTEA</t>
        </is>
      </c>
      <c r="F275" t="inlineStr">
        <is>
          <t>SCA</t>
        </is>
      </c>
      <c r="G275" t="n">
        <v>6.6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44395-2025</t>
        </is>
      </c>
      <c r="B276" s="1" t="n">
        <v>45916.49549768519</v>
      </c>
      <c r="C276" s="1" t="n">
        <v>45981</v>
      </c>
      <c r="D276" t="inlineStr">
        <is>
          <t>VÄSTERBOTTENS LÄN</t>
        </is>
      </c>
      <c r="E276" t="inlineStr">
        <is>
          <t>DOROTEA</t>
        </is>
      </c>
      <c r="F276" t="inlineStr">
        <is>
          <t>Övriga statliga verk och myndigheter</t>
        </is>
      </c>
      <c r="G276" t="n">
        <v>15.2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26440-2025</t>
        </is>
      </c>
      <c r="B277" s="1" t="n">
        <v>45807</v>
      </c>
      <c r="C277" s="1" t="n">
        <v>45981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17825-2024</t>
        </is>
      </c>
      <c r="B278" s="1" t="n">
        <v>45418</v>
      </c>
      <c r="C278" s="1" t="n">
        <v>45981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SCA</t>
        </is>
      </c>
      <c r="G278" t="n">
        <v>24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13852-2025</t>
        </is>
      </c>
      <c r="B279" s="1" t="n">
        <v>45742</v>
      </c>
      <c r="C279" s="1" t="n">
        <v>45981</v>
      </c>
      <c r="D279" t="inlineStr">
        <is>
          <t>VÄSTERBOTTENS LÄN</t>
        </is>
      </c>
      <c r="E279" t="inlineStr">
        <is>
          <t>DOROTEA</t>
        </is>
      </c>
      <c r="G279" t="n">
        <v>8.699999999999999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26475-2025</t>
        </is>
      </c>
      <c r="B280" s="1" t="n">
        <v>45807</v>
      </c>
      <c r="C280" s="1" t="n">
        <v>45981</v>
      </c>
      <c r="D280" t="inlineStr">
        <is>
          <t>VÄSTERBOTTENS LÄN</t>
        </is>
      </c>
      <c r="E280" t="inlineStr">
        <is>
          <t>DOROTEA</t>
        </is>
      </c>
      <c r="F280" t="inlineStr">
        <is>
          <t>SCA</t>
        </is>
      </c>
      <c r="G280" t="n">
        <v>18.5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44594-2025</t>
        </is>
      </c>
      <c r="B281" s="1" t="n">
        <v>45917.42766203704</v>
      </c>
      <c r="C281" s="1" t="n">
        <v>45981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26902-2025</t>
        </is>
      </c>
      <c r="B282" s="1" t="n">
        <v>45811</v>
      </c>
      <c r="C282" s="1" t="n">
        <v>45981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6.7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797-2025</t>
        </is>
      </c>
      <c r="B283" s="1" t="n">
        <v>45664</v>
      </c>
      <c r="C283" s="1" t="n">
        <v>45981</v>
      </c>
      <c r="D283" t="inlineStr">
        <is>
          <t>VÄSTERBOTTENS LÄN</t>
        </is>
      </c>
      <c r="E283" t="inlineStr">
        <is>
          <t>DOROTEA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14759-2025</t>
        </is>
      </c>
      <c r="B284" s="1" t="n">
        <v>45742</v>
      </c>
      <c r="C284" s="1" t="n">
        <v>45981</v>
      </c>
      <c r="D284" t="inlineStr">
        <is>
          <t>VÄSTERBOTTENS LÄN</t>
        </is>
      </c>
      <c r="E284" t="inlineStr">
        <is>
          <t>DOROTEA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2350-2025</t>
        </is>
      </c>
      <c r="B285" s="1" t="n">
        <v>45673.67822916667</v>
      </c>
      <c r="C285" s="1" t="n">
        <v>45981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15.8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53117-2023</t>
        </is>
      </c>
      <c r="B286" s="1" t="n">
        <v>45228</v>
      </c>
      <c r="C286" s="1" t="n">
        <v>45981</v>
      </c>
      <c r="D286" t="inlineStr">
        <is>
          <t>VÄSTERBOTTENS LÄN</t>
        </is>
      </c>
      <c r="E286" t="inlineStr">
        <is>
          <t>DOROTEA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53118-2023</t>
        </is>
      </c>
      <c r="B287" s="1" t="n">
        <v>45228</v>
      </c>
      <c r="C287" s="1" t="n">
        <v>45981</v>
      </c>
      <c r="D287" t="inlineStr">
        <is>
          <t>VÄSTERBOTTENS LÄN</t>
        </is>
      </c>
      <c r="E287" t="inlineStr">
        <is>
          <t>DOROTEA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26904-2025</t>
        </is>
      </c>
      <c r="B288" s="1" t="n">
        <v>45811</v>
      </c>
      <c r="C288" s="1" t="n">
        <v>45981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5834-2023</t>
        </is>
      </c>
      <c r="B289" s="1" t="n">
        <v>44958</v>
      </c>
      <c r="C289" s="1" t="n">
        <v>45981</v>
      </c>
      <c r="D289" t="inlineStr">
        <is>
          <t>VÄSTERBOTTENS LÄN</t>
        </is>
      </c>
      <c r="E289" t="inlineStr">
        <is>
          <t>DOROTEA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39603-2021</t>
        </is>
      </c>
      <c r="B290" s="1" t="n">
        <v>44417</v>
      </c>
      <c r="C290" s="1" t="n">
        <v>45981</v>
      </c>
      <c r="D290" t="inlineStr">
        <is>
          <t>VÄSTERBOTTENS LÄN</t>
        </is>
      </c>
      <c r="E290" t="inlineStr">
        <is>
          <t>DOROTEA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44784-2025</t>
        </is>
      </c>
      <c r="B291" s="1" t="n">
        <v>45917.92033564814</v>
      </c>
      <c r="C291" s="1" t="n">
        <v>45981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7.7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74013-2021</t>
        </is>
      </c>
      <c r="B292" s="1" t="n">
        <v>44557.42135416667</v>
      </c>
      <c r="C292" s="1" t="n">
        <v>45981</v>
      </c>
      <c r="D292" t="inlineStr">
        <is>
          <t>VÄSTERBOTTENS LÄN</t>
        </is>
      </c>
      <c r="E292" t="inlineStr">
        <is>
          <t>DOROTEA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57794-2023</t>
        </is>
      </c>
      <c r="B293" s="1" t="n">
        <v>45246.96853009259</v>
      </c>
      <c r="C293" s="1" t="n">
        <v>45981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42484-2024</t>
        </is>
      </c>
      <c r="B294" s="1" t="n">
        <v>45565.49291666667</v>
      </c>
      <c r="C294" s="1" t="n">
        <v>45981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3240-2022</t>
        </is>
      </c>
      <c r="B295" s="1" t="n">
        <v>44582.93300925926</v>
      </c>
      <c r="C295" s="1" t="n">
        <v>45981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3562-2025</t>
        </is>
      </c>
      <c r="B296" s="1" t="n">
        <v>45680</v>
      </c>
      <c r="C296" s="1" t="n">
        <v>45981</v>
      </c>
      <c r="D296" t="inlineStr">
        <is>
          <t>VÄSTERBOTTENS LÄN</t>
        </is>
      </c>
      <c r="E296" t="inlineStr">
        <is>
          <t>DOROTEA</t>
        </is>
      </c>
      <c r="F296" t="inlineStr">
        <is>
          <t>SCA</t>
        </is>
      </c>
      <c r="G296" t="n">
        <v>12.5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34406-2025</t>
        </is>
      </c>
      <c r="B297" s="1" t="n">
        <v>45845</v>
      </c>
      <c r="C297" s="1" t="n">
        <v>45981</v>
      </c>
      <c r="D297" t="inlineStr">
        <is>
          <t>VÄSTERBOTTENS LÄN</t>
        </is>
      </c>
      <c r="E297" t="inlineStr">
        <is>
          <t>DOROTEA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27237-2025</t>
        </is>
      </c>
      <c r="B298" s="1" t="n">
        <v>45812.44833333333</v>
      </c>
      <c r="C298" s="1" t="n">
        <v>45981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8.699999999999999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55919-2023</t>
        </is>
      </c>
      <c r="B299" s="1" t="n">
        <v>45239.9687962963</v>
      </c>
      <c r="C299" s="1" t="n">
        <v>45981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7.2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54031-2025</t>
        </is>
      </c>
      <c r="B300" s="1" t="n">
        <v>45962.78836805555</v>
      </c>
      <c r="C300" s="1" t="n">
        <v>45981</v>
      </c>
      <c r="D300" t="inlineStr">
        <is>
          <t>VÄSTERBOTTENS LÄN</t>
        </is>
      </c>
      <c r="E300" t="inlineStr">
        <is>
          <t>DOROTEA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34408-2025</t>
        </is>
      </c>
      <c r="B301" s="1" t="n">
        <v>45845</v>
      </c>
      <c r="C301" s="1" t="n">
        <v>45981</v>
      </c>
      <c r="D301" t="inlineStr">
        <is>
          <t>VÄSTERBOTTENS LÄN</t>
        </is>
      </c>
      <c r="E301" t="inlineStr">
        <is>
          <t>DOROTEA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6489-2021</t>
        </is>
      </c>
      <c r="B302" s="1" t="n">
        <v>44235</v>
      </c>
      <c r="C302" s="1" t="n">
        <v>45981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46965-2024</t>
        </is>
      </c>
      <c r="B303" s="1" t="n">
        <v>45586.32023148148</v>
      </c>
      <c r="C303" s="1" t="n">
        <v>45981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Sveaskog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42228-2024</t>
        </is>
      </c>
      <c r="B304" s="1" t="n">
        <v>45562.55240740741</v>
      </c>
      <c r="C304" s="1" t="n">
        <v>45981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7.7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27621-2025</t>
        </is>
      </c>
      <c r="B305" s="1" t="n">
        <v>45813.55248842593</v>
      </c>
      <c r="C305" s="1" t="n">
        <v>45981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33218-2021</t>
        </is>
      </c>
      <c r="B306" s="1" t="n">
        <v>44376.93447916667</v>
      </c>
      <c r="C306" s="1" t="n">
        <v>45981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24445-2024</t>
        </is>
      </c>
      <c r="B307" s="1" t="n">
        <v>45457.96494212963</v>
      </c>
      <c r="C307" s="1" t="n">
        <v>45981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25714-2024</t>
        </is>
      </c>
      <c r="B308" s="1" t="n">
        <v>45463.94417824074</v>
      </c>
      <c r="C308" s="1" t="n">
        <v>45981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54489-2025</t>
        </is>
      </c>
      <c r="B309" s="1" t="n">
        <v>45965.59481481482</v>
      </c>
      <c r="C309" s="1" t="n">
        <v>45981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14806-2023</t>
        </is>
      </c>
      <c r="B310" s="1" t="n">
        <v>45013</v>
      </c>
      <c r="C310" s="1" t="n">
        <v>45981</v>
      </c>
      <c r="D310" t="inlineStr">
        <is>
          <t>VÄSTERBOTTENS LÄN</t>
        </is>
      </c>
      <c r="E310" t="inlineStr">
        <is>
          <t>DOROTEA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45748-2025</t>
        </is>
      </c>
      <c r="B311" s="1" t="n">
        <v>45923.4805787037</v>
      </c>
      <c r="C311" s="1" t="n">
        <v>45981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Sveaskog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46379-2024</t>
        </is>
      </c>
      <c r="B312" s="1" t="n">
        <v>45582.38579861111</v>
      </c>
      <c r="C312" s="1" t="n">
        <v>45981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41562-2024</t>
        </is>
      </c>
      <c r="B313" s="1" t="n">
        <v>45560.53184027778</v>
      </c>
      <c r="C313" s="1" t="n">
        <v>45981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55888-2022</t>
        </is>
      </c>
      <c r="B314" s="1" t="n">
        <v>44888</v>
      </c>
      <c r="C314" s="1" t="n">
        <v>45981</v>
      </c>
      <c r="D314" t="inlineStr">
        <is>
          <t>VÄSTERBOTTENS LÄN</t>
        </is>
      </c>
      <c r="E314" t="inlineStr">
        <is>
          <t>DOROTEA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27558-2022</t>
        </is>
      </c>
      <c r="B315" s="1" t="n">
        <v>44742</v>
      </c>
      <c r="C315" s="1" t="n">
        <v>45981</v>
      </c>
      <c r="D315" t="inlineStr">
        <is>
          <t>VÄSTERBOTTENS LÄN</t>
        </is>
      </c>
      <c r="E315" t="inlineStr">
        <is>
          <t>DOROTEA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10400-2025</t>
        </is>
      </c>
      <c r="B316" s="1" t="n">
        <v>45720.61486111111</v>
      </c>
      <c r="C316" s="1" t="n">
        <v>45981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52144-2023</t>
        </is>
      </c>
      <c r="B317" s="1" t="n">
        <v>45223.96712962963</v>
      </c>
      <c r="C317" s="1" t="n">
        <v>45981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54623-2025</t>
        </is>
      </c>
      <c r="B318" s="1" t="n">
        <v>45966.34535879629</v>
      </c>
      <c r="C318" s="1" t="n">
        <v>45981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4164-2021</t>
        </is>
      </c>
      <c r="B319" s="1" t="n">
        <v>44223</v>
      </c>
      <c r="C319" s="1" t="n">
        <v>45981</v>
      </c>
      <c r="D319" t="inlineStr">
        <is>
          <t>VÄSTERBOTTENS LÄN</t>
        </is>
      </c>
      <c r="E319" t="inlineStr">
        <is>
          <t>DOROTEA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47494-2023</t>
        </is>
      </c>
      <c r="B320" s="1" t="n">
        <v>45202.9420949074</v>
      </c>
      <c r="C320" s="1" t="n">
        <v>45981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22931-2024</t>
        </is>
      </c>
      <c r="B321" s="1" t="n">
        <v>45448.9278125</v>
      </c>
      <c r="C321" s="1" t="n">
        <v>45981</v>
      </c>
      <c r="D321" t="inlineStr">
        <is>
          <t>VÄSTERBOTTENS LÄN</t>
        </is>
      </c>
      <c r="E321" t="inlineStr">
        <is>
          <t>DOROTEA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22942-2024</t>
        </is>
      </c>
      <c r="B322" s="1" t="n">
        <v>45448.94540509259</v>
      </c>
      <c r="C322" s="1" t="n">
        <v>45981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54624-2025</t>
        </is>
      </c>
      <c r="B323" s="1" t="n">
        <v>45966.34540509259</v>
      </c>
      <c r="C323" s="1" t="n">
        <v>45981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20600-2023</t>
        </is>
      </c>
      <c r="B324" s="1" t="n">
        <v>45057</v>
      </c>
      <c r="C324" s="1" t="n">
        <v>45981</v>
      </c>
      <c r="D324" t="inlineStr">
        <is>
          <t>VÄSTERBOTTENS LÄN</t>
        </is>
      </c>
      <c r="E324" t="inlineStr">
        <is>
          <t>DOROTEA</t>
        </is>
      </c>
      <c r="F324" t="inlineStr">
        <is>
          <t>SCA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3098-2025</t>
        </is>
      </c>
      <c r="B325" s="1" t="n">
        <v>45678.66666666666</v>
      </c>
      <c r="C325" s="1" t="n">
        <v>45981</v>
      </c>
      <c r="D325" t="inlineStr">
        <is>
          <t>VÄSTERBOTTENS LÄN</t>
        </is>
      </c>
      <c r="E325" t="inlineStr">
        <is>
          <t>DOROTEA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17783-2023</t>
        </is>
      </c>
      <c r="B326" s="1" t="n">
        <v>45036</v>
      </c>
      <c r="C326" s="1" t="n">
        <v>45981</v>
      </c>
      <c r="D326" t="inlineStr">
        <is>
          <t>VÄSTERBOTTENS LÄN</t>
        </is>
      </c>
      <c r="E326" t="inlineStr">
        <is>
          <t>DOROTEA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28002-2025</t>
        </is>
      </c>
      <c r="B327" s="1" t="n">
        <v>45817.59523148148</v>
      </c>
      <c r="C327" s="1" t="n">
        <v>45981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8852-2024</t>
        </is>
      </c>
      <c r="B328" s="1" t="n">
        <v>45356</v>
      </c>
      <c r="C328" s="1" t="n">
        <v>45981</v>
      </c>
      <c r="D328" t="inlineStr">
        <is>
          <t>VÄSTERBOTTENS LÄN</t>
        </is>
      </c>
      <c r="E328" t="inlineStr">
        <is>
          <t>DOROTEA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55546-2025</t>
        </is>
      </c>
      <c r="B329" s="1" t="n">
        <v>45971.63633101852</v>
      </c>
      <c r="C329" s="1" t="n">
        <v>45981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27305-2024</t>
        </is>
      </c>
      <c r="B330" s="1" t="n">
        <v>45471.9444212963</v>
      </c>
      <c r="C330" s="1" t="n">
        <v>45981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42473-2024</t>
        </is>
      </c>
      <c r="B331" s="1" t="n">
        <v>45565.49016203704</v>
      </c>
      <c r="C331" s="1" t="n">
        <v>45981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27843-2025</t>
        </is>
      </c>
      <c r="B332" s="1" t="n">
        <v>45817.38577546296</v>
      </c>
      <c r="C332" s="1" t="n">
        <v>45981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40013-2024</t>
        </is>
      </c>
      <c r="B333" s="1" t="n">
        <v>45553</v>
      </c>
      <c r="C333" s="1" t="n">
        <v>45981</v>
      </c>
      <c r="D333" t="inlineStr">
        <is>
          <t>VÄSTERBOTTENS LÄN</t>
        </is>
      </c>
      <c r="E333" t="inlineStr">
        <is>
          <t>DOROTEA</t>
        </is>
      </c>
      <c r="F333" t="inlineStr">
        <is>
          <t>Övriga statliga verk och myndigheter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53607-2024</t>
        </is>
      </c>
      <c r="B334" s="1" t="n">
        <v>45614.69854166666</v>
      </c>
      <c r="C334" s="1" t="n">
        <v>45981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25.5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28072-2025</t>
        </is>
      </c>
      <c r="B335" s="1" t="n">
        <v>45817.6778587963</v>
      </c>
      <c r="C335" s="1" t="n">
        <v>45981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17.7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55366-2025</t>
        </is>
      </c>
      <c r="B336" s="1" t="n">
        <v>45971.40711805555</v>
      </c>
      <c r="C336" s="1" t="n">
        <v>45981</v>
      </c>
      <c r="D336" t="inlineStr">
        <is>
          <t>VÄSTERBOTTENS LÄN</t>
        </is>
      </c>
      <c r="E336" t="inlineStr">
        <is>
          <t>DOROTEA</t>
        </is>
      </c>
      <c r="G336" t="n">
        <v>25.6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57070-2023</t>
        </is>
      </c>
      <c r="B337" s="1" t="n">
        <v>45244.96695601852</v>
      </c>
      <c r="C337" s="1" t="n">
        <v>45981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52899-2024</t>
        </is>
      </c>
      <c r="B338" s="1" t="n">
        <v>45610.67768518518</v>
      </c>
      <c r="C338" s="1" t="n">
        <v>45981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12.4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59007-2024</t>
        </is>
      </c>
      <c r="B339" s="1" t="n">
        <v>45636</v>
      </c>
      <c r="C339" s="1" t="n">
        <v>45981</v>
      </c>
      <c r="D339" t="inlineStr">
        <is>
          <t>VÄSTERBOTTENS LÄN</t>
        </is>
      </c>
      <c r="E339" t="inlineStr">
        <is>
          <t>DOROTEA</t>
        </is>
      </c>
      <c r="F339" t="inlineStr">
        <is>
          <t>SCA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43211-2021</t>
        </is>
      </c>
      <c r="B340" s="1" t="n">
        <v>44431</v>
      </c>
      <c r="C340" s="1" t="n">
        <v>45981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22943-2024</t>
        </is>
      </c>
      <c r="B341" s="1" t="n">
        <v>45448.94550925926</v>
      </c>
      <c r="C341" s="1" t="n">
        <v>45981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22944-2024</t>
        </is>
      </c>
      <c r="B342" s="1" t="n">
        <v>45448.94559027778</v>
      </c>
      <c r="C342" s="1" t="n">
        <v>45981</v>
      </c>
      <c r="D342" t="inlineStr">
        <is>
          <t>VÄSTERBOTTENS LÄN</t>
        </is>
      </c>
      <c r="E342" t="inlineStr">
        <is>
          <t>DOROTEA</t>
        </is>
      </c>
      <c r="F342" t="inlineStr">
        <is>
          <t>SCA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53272-2024</t>
        </is>
      </c>
      <c r="B343" s="1" t="n">
        <v>45614</v>
      </c>
      <c r="C343" s="1" t="n">
        <v>45981</v>
      </c>
      <c r="D343" t="inlineStr">
        <is>
          <t>VÄSTERBOTTENS LÄN</t>
        </is>
      </c>
      <c r="E343" t="inlineStr">
        <is>
          <t>DOROTEA</t>
        </is>
      </c>
      <c r="G343" t="n">
        <v>31.7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20240-2025</t>
        </is>
      </c>
      <c r="B344" s="1" t="n">
        <v>45772.69824074074</v>
      </c>
      <c r="C344" s="1" t="n">
        <v>45981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6.9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5495-2024</t>
        </is>
      </c>
      <c r="B345" s="1" t="n">
        <v>45331</v>
      </c>
      <c r="C345" s="1" t="n">
        <v>45981</v>
      </c>
      <c r="D345" t="inlineStr">
        <is>
          <t>VÄSTERBOTTENS LÄN</t>
        </is>
      </c>
      <c r="E345" t="inlineStr">
        <is>
          <t>DOROTEA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57431-2022</t>
        </is>
      </c>
      <c r="B346" s="1" t="n">
        <v>44889</v>
      </c>
      <c r="C346" s="1" t="n">
        <v>45981</v>
      </c>
      <c r="D346" t="inlineStr">
        <is>
          <t>VÄSTERBOTTENS LÄN</t>
        </is>
      </c>
      <c r="E346" t="inlineStr">
        <is>
          <t>DOROTEA</t>
        </is>
      </c>
      <c r="G346" t="n">
        <v>15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28348-2025</t>
        </is>
      </c>
      <c r="B347" s="1" t="n">
        <v>45818.71905092592</v>
      </c>
      <c r="C347" s="1" t="n">
        <v>45981</v>
      </c>
      <c r="D347" t="inlineStr">
        <is>
          <t>VÄSTERBOTTENS LÄN</t>
        </is>
      </c>
      <c r="E347" t="inlineStr">
        <is>
          <t>DOROTEA</t>
        </is>
      </c>
      <c r="G347" t="n">
        <v>14.3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28156-2025</t>
        </is>
      </c>
      <c r="B348" s="1" t="n">
        <v>45818.36496527777</v>
      </c>
      <c r="C348" s="1" t="n">
        <v>45981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55705-2025</t>
        </is>
      </c>
      <c r="B349" s="1" t="n">
        <v>45972.46931712963</v>
      </c>
      <c r="C349" s="1" t="n">
        <v>45981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7.5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13170-2025</t>
        </is>
      </c>
      <c r="B350" s="1" t="n">
        <v>45735</v>
      </c>
      <c r="C350" s="1" t="n">
        <v>45981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55623-2025</t>
        </is>
      </c>
      <c r="B351" s="1" t="n">
        <v>45971</v>
      </c>
      <c r="C351" s="1" t="n">
        <v>45981</v>
      </c>
      <c r="D351" t="inlineStr">
        <is>
          <t>VÄSTERBOTTENS LÄN</t>
        </is>
      </c>
      <c r="E351" t="inlineStr">
        <is>
          <t>DOROTEA</t>
        </is>
      </c>
      <c r="G351" t="n">
        <v>5.5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8247-2024</t>
        </is>
      </c>
      <c r="B352" s="1" t="n">
        <v>45351.9859375</v>
      </c>
      <c r="C352" s="1" t="n">
        <v>45981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42889-2024</t>
        </is>
      </c>
      <c r="B353" s="1" t="n">
        <v>45566</v>
      </c>
      <c r="C353" s="1" t="n">
        <v>45981</v>
      </c>
      <c r="D353" t="inlineStr">
        <is>
          <t>VÄSTERBOTTENS LÄN</t>
        </is>
      </c>
      <c r="E353" t="inlineStr">
        <is>
          <t>DOROTEA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2683-2023</t>
        </is>
      </c>
      <c r="B354" s="1" t="n">
        <v>44942</v>
      </c>
      <c r="C354" s="1" t="n">
        <v>45981</v>
      </c>
      <c r="D354" t="inlineStr">
        <is>
          <t>VÄSTERBOTTENS LÄN</t>
        </is>
      </c>
      <c r="E354" t="inlineStr">
        <is>
          <t>DOROTEA</t>
        </is>
      </c>
      <c r="G354" t="n">
        <v>22.7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14297-2025</t>
        </is>
      </c>
      <c r="B355" s="1" t="n">
        <v>45740.68304398148</v>
      </c>
      <c r="C355" s="1" t="n">
        <v>45981</v>
      </c>
      <c r="D355" t="inlineStr">
        <is>
          <t>VÄSTERBOTTENS LÄN</t>
        </is>
      </c>
      <c r="E355" t="inlineStr">
        <is>
          <t>DOROTEA</t>
        </is>
      </c>
      <c r="G355" t="n">
        <v>6.1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63123-2023</t>
        </is>
      </c>
      <c r="B356" s="1" t="n">
        <v>45272</v>
      </c>
      <c r="C356" s="1" t="n">
        <v>45981</v>
      </c>
      <c r="D356" t="inlineStr">
        <is>
          <t>VÄSTERBOTTENS LÄN</t>
        </is>
      </c>
      <c r="E356" t="inlineStr">
        <is>
          <t>DOROTEA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9103-2023</t>
        </is>
      </c>
      <c r="B357" s="1" t="n">
        <v>44979</v>
      </c>
      <c r="C357" s="1" t="n">
        <v>45981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7.7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58313-2024</t>
        </is>
      </c>
      <c r="B358" s="1" t="n">
        <v>45632</v>
      </c>
      <c r="C358" s="1" t="n">
        <v>45981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58335-2024</t>
        </is>
      </c>
      <c r="B359" s="1" t="n">
        <v>45632</v>
      </c>
      <c r="C359" s="1" t="n">
        <v>45981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19466-2025</t>
        </is>
      </c>
      <c r="B360" s="1" t="n">
        <v>45769</v>
      </c>
      <c r="C360" s="1" t="n">
        <v>45981</v>
      </c>
      <c r="D360" t="inlineStr">
        <is>
          <t>VÄSTERBOTTENS LÄN</t>
        </is>
      </c>
      <c r="E360" t="inlineStr">
        <is>
          <t>DOROTEA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19467-2025</t>
        </is>
      </c>
      <c r="B361" s="1" t="n">
        <v>45769</v>
      </c>
      <c r="C361" s="1" t="n">
        <v>45981</v>
      </c>
      <c r="D361" t="inlineStr">
        <is>
          <t>VÄSTERBOTTENS LÄN</t>
        </is>
      </c>
      <c r="E361" t="inlineStr">
        <is>
          <t>DOROTEA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34700-2023</t>
        </is>
      </c>
      <c r="B362" s="1" t="n">
        <v>45140.96399305556</v>
      </c>
      <c r="C362" s="1" t="n">
        <v>45981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56428-2025</t>
        </is>
      </c>
      <c r="B363" s="1" t="n">
        <v>45975.34587962963</v>
      </c>
      <c r="C363" s="1" t="n">
        <v>45981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56484-2025</t>
        </is>
      </c>
      <c r="B364" s="1" t="n">
        <v>45975.4071412037</v>
      </c>
      <c r="C364" s="1" t="n">
        <v>45981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56424-2025</t>
        </is>
      </c>
      <c r="B365" s="1" t="n">
        <v>45975.34542824074</v>
      </c>
      <c r="C365" s="1" t="n">
        <v>45981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29258-2025</t>
        </is>
      </c>
      <c r="B366" s="1" t="n">
        <v>45824.38880787037</v>
      </c>
      <c r="C366" s="1" t="n">
        <v>45981</v>
      </c>
      <c r="D366" t="inlineStr">
        <is>
          <t>VÄSTERBOTTENS LÄN</t>
        </is>
      </c>
      <c r="E366" t="inlineStr">
        <is>
          <t>DOROTEA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62553-2023</t>
        </is>
      </c>
      <c r="B367" s="1" t="n">
        <v>45268.9262037037</v>
      </c>
      <c r="C367" s="1" t="n">
        <v>45981</v>
      </c>
      <c r="D367" t="inlineStr">
        <is>
          <t>VÄSTERBOTTENS LÄN</t>
        </is>
      </c>
      <c r="E367" t="inlineStr">
        <is>
          <t>DOROTEA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33372-2024</t>
        </is>
      </c>
      <c r="B368" s="1" t="n">
        <v>45519</v>
      </c>
      <c r="C368" s="1" t="n">
        <v>45981</v>
      </c>
      <c r="D368" t="inlineStr">
        <is>
          <t>VÄSTERBOTTENS LÄN</t>
        </is>
      </c>
      <c r="E368" t="inlineStr">
        <is>
          <t>DOROTEA</t>
        </is>
      </c>
      <c r="G368" t="n">
        <v>8.9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15352-2025</t>
        </is>
      </c>
      <c r="B369" s="1" t="n">
        <v>45747</v>
      </c>
      <c r="C369" s="1" t="n">
        <v>45981</v>
      </c>
      <c r="D369" t="inlineStr">
        <is>
          <t>VÄSTERBOTTENS LÄN</t>
        </is>
      </c>
      <c r="E369" t="inlineStr">
        <is>
          <t>DOROTEA</t>
        </is>
      </c>
      <c r="G369" t="n">
        <v>10.3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56556-2025</t>
        </is>
      </c>
      <c r="B370" s="1" t="n">
        <v>45975.49017361111</v>
      </c>
      <c r="C370" s="1" t="n">
        <v>45981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36763-2023</t>
        </is>
      </c>
      <c r="B371" s="1" t="n">
        <v>45153</v>
      </c>
      <c r="C371" s="1" t="n">
        <v>45981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29465-2025</t>
        </is>
      </c>
      <c r="B372" s="1" t="n">
        <v>45824</v>
      </c>
      <c r="C372" s="1" t="n">
        <v>45981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14.2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54302-2024</t>
        </is>
      </c>
      <c r="B373" s="1" t="n">
        <v>45617</v>
      </c>
      <c r="C373" s="1" t="n">
        <v>45981</v>
      </c>
      <c r="D373" t="inlineStr">
        <is>
          <t>VÄSTERBOTTENS LÄN</t>
        </is>
      </c>
      <c r="E373" t="inlineStr">
        <is>
          <t>DOROTEA</t>
        </is>
      </c>
      <c r="G373" t="n">
        <v>12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60757-2024</t>
        </is>
      </c>
      <c r="B374" s="1" t="n">
        <v>45642</v>
      </c>
      <c r="C374" s="1" t="n">
        <v>45981</v>
      </c>
      <c r="D374" t="inlineStr">
        <is>
          <t>VÄSTERBOTTENS LÄN</t>
        </is>
      </c>
      <c r="E374" t="inlineStr">
        <is>
          <t>DOROTEA</t>
        </is>
      </c>
      <c r="G374" t="n">
        <v>11.7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35000-2023</t>
        </is>
      </c>
      <c r="B375" s="1" t="n">
        <v>45142.92407407407</v>
      </c>
      <c r="C375" s="1" t="n">
        <v>45981</v>
      </c>
      <c r="D375" t="inlineStr">
        <is>
          <t>VÄSTERBOTTENS LÄN</t>
        </is>
      </c>
      <c r="E375" t="inlineStr">
        <is>
          <t>DOROTEA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55889-2022</t>
        </is>
      </c>
      <c r="B376" s="1" t="n">
        <v>44888</v>
      </c>
      <c r="C376" s="1" t="n">
        <v>45981</v>
      </c>
      <c r="D376" t="inlineStr">
        <is>
          <t>VÄSTERBOTTENS LÄN</t>
        </is>
      </c>
      <c r="E376" t="inlineStr">
        <is>
          <t>DOROTEA</t>
        </is>
      </c>
      <c r="G376" t="n">
        <v>15.8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56635-2025</t>
        </is>
      </c>
      <c r="B377" s="1" t="n">
        <v>45975.61641203704</v>
      </c>
      <c r="C377" s="1" t="n">
        <v>45981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12278-2023</t>
        </is>
      </c>
      <c r="B378" s="1" t="n">
        <v>44998</v>
      </c>
      <c r="C378" s="1" t="n">
        <v>45981</v>
      </c>
      <c r="D378" t="inlineStr">
        <is>
          <t>VÄSTERBOTTENS LÄN</t>
        </is>
      </c>
      <c r="E378" t="inlineStr">
        <is>
          <t>DOROTEA</t>
        </is>
      </c>
      <c r="G378" t="n">
        <v>12.5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48530-2025</t>
        </is>
      </c>
      <c r="B379" s="1" t="n">
        <v>45936.40789351852</v>
      </c>
      <c r="C379" s="1" t="n">
        <v>45981</v>
      </c>
      <c r="D379" t="inlineStr">
        <is>
          <t>VÄSTERBOTTENS LÄN</t>
        </is>
      </c>
      <c r="E379" t="inlineStr">
        <is>
          <t>DOROTEA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48531-2025</t>
        </is>
      </c>
      <c r="B380" s="1" t="n">
        <v>45936.40791666666</v>
      </c>
      <c r="C380" s="1" t="n">
        <v>45981</v>
      </c>
      <c r="D380" t="inlineStr">
        <is>
          <t>VÄSTERBOTTENS LÄN</t>
        </is>
      </c>
      <c r="E380" t="inlineStr">
        <is>
          <t>DOROTEA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5640-2025</t>
        </is>
      </c>
      <c r="B381" s="1" t="n">
        <v>45693</v>
      </c>
      <c r="C381" s="1" t="n">
        <v>45981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24.1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29454-2024</t>
        </is>
      </c>
      <c r="B382" s="1" t="n">
        <v>45483.96839120371</v>
      </c>
      <c r="C382" s="1" t="n">
        <v>45981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12.4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17591-2025</t>
        </is>
      </c>
      <c r="B383" s="1" t="n">
        <v>45757.69819444444</v>
      </c>
      <c r="C383" s="1" t="n">
        <v>45981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56707-2025</t>
        </is>
      </c>
      <c r="B384" s="1" t="n">
        <v>45977.6983912037</v>
      </c>
      <c r="C384" s="1" t="n">
        <v>45981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14320-2024</t>
        </is>
      </c>
      <c r="B385" s="1" t="n">
        <v>45393</v>
      </c>
      <c r="C385" s="1" t="n">
        <v>45981</v>
      </c>
      <c r="D385" t="inlineStr">
        <is>
          <t>VÄSTERBOTTENS LÄN</t>
        </is>
      </c>
      <c r="E385" t="inlineStr">
        <is>
          <t>DOROTEA</t>
        </is>
      </c>
      <c r="G385" t="n">
        <v>10.2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29645-2023</t>
        </is>
      </c>
      <c r="B386" s="1" t="n">
        <v>45098</v>
      </c>
      <c r="C386" s="1" t="n">
        <v>45981</v>
      </c>
      <c r="D386" t="inlineStr">
        <is>
          <t>VÄSTERBOTTENS LÄN</t>
        </is>
      </c>
      <c r="E386" t="inlineStr">
        <is>
          <t>DOROTEA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14935-2024</t>
        </is>
      </c>
      <c r="B387" s="1" t="n">
        <v>45399</v>
      </c>
      <c r="C387" s="1" t="n">
        <v>45981</v>
      </c>
      <c r="D387" t="inlineStr">
        <is>
          <t>VÄSTERBOTTENS LÄN</t>
        </is>
      </c>
      <c r="E387" t="inlineStr">
        <is>
          <t>DOROTEA</t>
        </is>
      </c>
      <c r="G387" t="n">
        <v>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56782-2025</t>
        </is>
      </c>
      <c r="B388" s="1" t="n">
        <v>45978.40677083333</v>
      </c>
      <c r="C388" s="1" t="n">
        <v>45981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7.7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59418-2023</t>
        </is>
      </c>
      <c r="B389" s="1" t="n">
        <v>45253</v>
      </c>
      <c r="C389" s="1" t="n">
        <v>45981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7.6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44380-2022</t>
        </is>
      </c>
      <c r="B390" s="1" t="n">
        <v>44838</v>
      </c>
      <c r="C390" s="1" t="n">
        <v>45981</v>
      </c>
      <c r="D390" t="inlineStr">
        <is>
          <t>VÄSTERBOTTENS LÄN</t>
        </is>
      </c>
      <c r="E390" t="inlineStr">
        <is>
          <t>DOROTEA</t>
        </is>
      </c>
      <c r="G390" t="n">
        <v>12.5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17132-2025</t>
        </is>
      </c>
      <c r="B391" s="1" t="n">
        <v>45755</v>
      </c>
      <c r="C391" s="1" t="n">
        <v>45981</v>
      </c>
      <c r="D391" t="inlineStr">
        <is>
          <t>VÄSTERBOTTENS LÄN</t>
        </is>
      </c>
      <c r="E391" t="inlineStr">
        <is>
          <t>DOROTEA</t>
        </is>
      </c>
      <c r="G391" t="n">
        <v>7.8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48510-2025</t>
        </is>
      </c>
      <c r="B392" s="1" t="n">
        <v>45936.3863425926</v>
      </c>
      <c r="C392" s="1" t="n">
        <v>45981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57236-2025</t>
        </is>
      </c>
      <c r="B393" s="1" t="n">
        <v>45978</v>
      </c>
      <c r="C393" s="1" t="n">
        <v>45981</v>
      </c>
      <c r="D393" t="inlineStr">
        <is>
          <t>VÄSTERBOTTENS LÄN</t>
        </is>
      </c>
      <c r="E393" t="inlineStr">
        <is>
          <t>DOROTEA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57034-2025</t>
        </is>
      </c>
      <c r="B394" s="1" t="n">
        <v>45979.34461805555</v>
      </c>
      <c r="C394" s="1" t="n">
        <v>45981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56590-2024</t>
        </is>
      </c>
      <c r="B395" s="1" t="n">
        <v>45625.62136574074</v>
      </c>
      <c r="C395" s="1" t="n">
        <v>45981</v>
      </c>
      <c r="D395" t="inlineStr">
        <is>
          <t>VÄSTERBOTTENS LÄN</t>
        </is>
      </c>
      <c r="E395" t="inlineStr">
        <is>
          <t>DOROTEA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57178-2025</t>
        </is>
      </c>
      <c r="B396" s="1" t="n">
        <v>45978</v>
      </c>
      <c r="C396" s="1" t="n">
        <v>45981</v>
      </c>
      <c r="D396" t="inlineStr">
        <is>
          <t>VÄSTERBOTTENS LÄN</t>
        </is>
      </c>
      <c r="E396" t="inlineStr">
        <is>
          <t>DOROTEA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7397-2025</t>
        </is>
      </c>
      <c r="B397" s="1" t="n">
        <v>45705.3462037037</v>
      </c>
      <c r="C397" s="1" t="n">
        <v>45981</v>
      </c>
      <c r="D397" t="inlineStr">
        <is>
          <t>VÄSTERBOTTENS LÄN</t>
        </is>
      </c>
      <c r="E397" t="inlineStr">
        <is>
          <t>DOROTEA</t>
        </is>
      </c>
      <c r="G397" t="n">
        <v>13.3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30570-2023</t>
        </is>
      </c>
      <c r="B398" s="1" t="n">
        <v>45111</v>
      </c>
      <c r="C398" s="1" t="n">
        <v>45981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8095-2023</t>
        </is>
      </c>
      <c r="B399" s="1" t="n">
        <v>44974.38841435185</v>
      </c>
      <c r="C399" s="1" t="n">
        <v>45981</v>
      </c>
      <c r="D399" t="inlineStr">
        <is>
          <t>VÄSTERBOTTENS LÄN</t>
        </is>
      </c>
      <c r="E399" t="inlineStr">
        <is>
          <t>DOROTEA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42515-2023</t>
        </is>
      </c>
      <c r="B400" s="1" t="n">
        <v>45180</v>
      </c>
      <c r="C400" s="1" t="n">
        <v>45981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27.7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26637-2024</t>
        </is>
      </c>
      <c r="B401" s="1" t="n">
        <v>45469.92811342593</v>
      </c>
      <c r="C401" s="1" t="n">
        <v>45981</v>
      </c>
      <c r="D401" t="inlineStr">
        <is>
          <t>VÄSTERBOTTENS LÄN</t>
        </is>
      </c>
      <c r="E401" t="inlineStr">
        <is>
          <t>DOROTEA</t>
        </is>
      </c>
      <c r="G401" t="n">
        <v>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19657-2025</t>
        </is>
      </c>
      <c r="B402" s="1" t="n">
        <v>45770.67743055556</v>
      </c>
      <c r="C402" s="1" t="n">
        <v>45981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30286-2023</t>
        </is>
      </c>
      <c r="B403" s="1" t="n">
        <v>45110</v>
      </c>
      <c r="C403" s="1" t="n">
        <v>45981</v>
      </c>
      <c r="D403" t="inlineStr">
        <is>
          <t>VÄSTERBOTTENS LÄN</t>
        </is>
      </c>
      <c r="E403" t="inlineStr">
        <is>
          <t>DOROTEA</t>
        </is>
      </c>
      <c r="G403" t="n">
        <v>21.2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52148-2023</t>
        </is>
      </c>
      <c r="B404" s="1" t="n">
        <v>45223.9649537037</v>
      </c>
      <c r="C404" s="1" t="n">
        <v>45981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31532-2025</t>
        </is>
      </c>
      <c r="B405" s="1" t="n">
        <v>45833.61688657408</v>
      </c>
      <c r="C405" s="1" t="n">
        <v>45981</v>
      </c>
      <c r="D405" t="inlineStr">
        <is>
          <t>VÄSTERBOTTENS LÄN</t>
        </is>
      </c>
      <c r="E405" t="inlineStr">
        <is>
          <t>DOROTEA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59653-2024</t>
        </is>
      </c>
      <c r="B406" s="1" t="n">
        <v>45639.34640046296</v>
      </c>
      <c r="C406" s="1" t="n">
        <v>45981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31510-2025</t>
        </is>
      </c>
      <c r="B407" s="1" t="n">
        <v>45833.59679398148</v>
      </c>
      <c r="C407" s="1" t="n">
        <v>45981</v>
      </c>
      <c r="D407" t="inlineStr">
        <is>
          <t>VÄSTERBOTTENS LÄN</t>
        </is>
      </c>
      <c r="E407" t="inlineStr">
        <is>
          <t>DOROTEA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57379-2023</t>
        </is>
      </c>
      <c r="B408" s="1" t="n">
        <v>45245.92914351852</v>
      </c>
      <c r="C408" s="1" t="n">
        <v>45981</v>
      </c>
      <c r="D408" t="inlineStr">
        <is>
          <t>VÄSTERBOTTENS LÄN</t>
        </is>
      </c>
      <c r="E408" t="inlineStr">
        <is>
          <t>DOROTEA</t>
        </is>
      </c>
      <c r="G408" t="n">
        <v>6.5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2014-2025</t>
        </is>
      </c>
      <c r="B409" s="1" t="n">
        <v>45672</v>
      </c>
      <c r="C409" s="1" t="n">
        <v>45981</v>
      </c>
      <c r="D409" t="inlineStr">
        <is>
          <t>VÄSTERBOTTENS LÄN</t>
        </is>
      </c>
      <c r="E409" t="inlineStr">
        <is>
          <t>DOROTEA</t>
        </is>
      </c>
      <c r="F409" t="inlineStr">
        <is>
          <t>Kommuner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4617-2023</t>
        </is>
      </c>
      <c r="B410" s="1" t="n">
        <v>44956.93971064815</v>
      </c>
      <c r="C410" s="1" t="n">
        <v>45981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59394-2023</t>
        </is>
      </c>
      <c r="B411" s="1" t="n">
        <v>45253</v>
      </c>
      <c r="C411" s="1" t="n">
        <v>45981</v>
      </c>
      <c r="D411" t="inlineStr">
        <is>
          <t>VÄSTERBOTTENS LÄN</t>
        </is>
      </c>
      <c r="E411" t="inlineStr">
        <is>
          <t>DOROTEA</t>
        </is>
      </c>
      <c r="G411" t="n">
        <v>28.8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60162-2024</t>
        </is>
      </c>
      <c r="B412" s="1" t="n">
        <v>45642</v>
      </c>
      <c r="C412" s="1" t="n">
        <v>45981</v>
      </c>
      <c r="D412" t="inlineStr">
        <is>
          <t>VÄSTERBOTTENS LÄN</t>
        </is>
      </c>
      <c r="E412" t="inlineStr">
        <is>
          <t>DOROTEA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7429-2023</t>
        </is>
      </c>
      <c r="B413" s="1" t="n">
        <v>44971</v>
      </c>
      <c r="C413" s="1" t="n">
        <v>45981</v>
      </c>
      <c r="D413" t="inlineStr">
        <is>
          <t>VÄSTERBOTTENS LÄN</t>
        </is>
      </c>
      <c r="E413" t="inlineStr">
        <is>
          <t>DOROTEA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56807-2021</t>
        </is>
      </c>
      <c r="B414" s="1" t="n">
        <v>44481</v>
      </c>
      <c r="C414" s="1" t="n">
        <v>45981</v>
      </c>
      <c r="D414" t="inlineStr">
        <is>
          <t>VÄSTERBOTTENS LÄN</t>
        </is>
      </c>
      <c r="E414" t="inlineStr">
        <is>
          <t>DOROTEA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3097-2025</t>
        </is>
      </c>
      <c r="B415" s="1" t="n">
        <v>45678.66665509259</v>
      </c>
      <c r="C415" s="1" t="n">
        <v>45981</v>
      </c>
      <c r="D415" t="inlineStr">
        <is>
          <t>VÄSTERBOTTENS LÄN</t>
        </is>
      </c>
      <c r="E415" t="inlineStr">
        <is>
          <t>DOROTEA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31835-2025</t>
        </is>
      </c>
      <c r="B416" s="1" t="n">
        <v>45834.59436342592</v>
      </c>
      <c r="C416" s="1" t="n">
        <v>45981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10.9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53092-2024</t>
        </is>
      </c>
      <c r="B417" s="1" t="n">
        <v>45611</v>
      </c>
      <c r="C417" s="1" t="n">
        <v>45981</v>
      </c>
      <c r="D417" t="inlineStr">
        <is>
          <t>VÄSTERBOTTENS LÄN</t>
        </is>
      </c>
      <c r="E417" t="inlineStr">
        <is>
          <t>DOROTEA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31501-2024</t>
        </is>
      </c>
      <c r="B418" s="1" t="n">
        <v>45505.95542824074</v>
      </c>
      <c r="C418" s="1" t="n">
        <v>45981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59395-2023</t>
        </is>
      </c>
      <c r="B419" s="1" t="n">
        <v>45253</v>
      </c>
      <c r="C419" s="1" t="n">
        <v>45981</v>
      </c>
      <c r="D419" t="inlineStr">
        <is>
          <t>VÄSTERBOTTENS LÄN</t>
        </is>
      </c>
      <c r="E419" t="inlineStr">
        <is>
          <t>DOROTEA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59397-2023</t>
        </is>
      </c>
      <c r="B420" s="1" t="n">
        <v>45253</v>
      </c>
      <c r="C420" s="1" t="n">
        <v>45981</v>
      </c>
      <c r="D420" t="inlineStr">
        <is>
          <t>VÄSTERBOTTENS LÄN</t>
        </is>
      </c>
      <c r="E420" t="inlineStr">
        <is>
          <t>DOROTEA</t>
        </is>
      </c>
      <c r="G420" t="n">
        <v>8.5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35990-2023</t>
        </is>
      </c>
      <c r="B421" s="1" t="n">
        <v>45148.96259259259</v>
      </c>
      <c r="C421" s="1" t="n">
        <v>45981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10402-2025</t>
        </is>
      </c>
      <c r="B422" s="1" t="n">
        <v>45720.61511574074</v>
      </c>
      <c r="C422" s="1" t="n">
        <v>45981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31799-2025</t>
        </is>
      </c>
      <c r="B423" s="1" t="n">
        <v>45834.55252314815</v>
      </c>
      <c r="C423" s="1" t="n">
        <v>45981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46818-2023</t>
        </is>
      </c>
      <c r="B424" s="1" t="n">
        <v>45198</v>
      </c>
      <c r="C424" s="1" t="n">
        <v>45981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44972-2023</t>
        </is>
      </c>
      <c r="B425" s="1" t="n">
        <v>45190.92549768519</v>
      </c>
      <c r="C425" s="1" t="n">
        <v>45981</v>
      </c>
      <c r="D425" t="inlineStr">
        <is>
          <t>VÄSTERBOTTENS LÄN</t>
        </is>
      </c>
      <c r="E425" t="inlineStr">
        <is>
          <t>DOROTEA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19589-2024</t>
        </is>
      </c>
      <c r="B426" s="1" t="n">
        <v>45429.9359375</v>
      </c>
      <c r="C426" s="1" t="n">
        <v>45981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62657-2022</t>
        </is>
      </c>
      <c r="B427" s="1" t="n">
        <v>44925</v>
      </c>
      <c r="C427" s="1" t="n">
        <v>45981</v>
      </c>
      <c r="D427" t="inlineStr">
        <is>
          <t>VÄSTERBOTTENS LÄN</t>
        </is>
      </c>
      <c r="E427" t="inlineStr">
        <is>
          <t>DOROTEA</t>
        </is>
      </c>
      <c r="G427" t="n">
        <v>22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22580-2023</t>
        </is>
      </c>
      <c r="B428" s="1" t="n">
        <v>45069</v>
      </c>
      <c r="C428" s="1" t="n">
        <v>45981</v>
      </c>
      <c r="D428" t="inlineStr">
        <is>
          <t>VÄSTERBOTTENS LÄN</t>
        </is>
      </c>
      <c r="E428" t="inlineStr">
        <is>
          <t>DOROTEA</t>
        </is>
      </c>
      <c r="G428" t="n">
        <v>5.7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53357-2024</t>
        </is>
      </c>
      <c r="B429" s="1" t="n">
        <v>45614</v>
      </c>
      <c r="C429" s="1" t="n">
        <v>45981</v>
      </c>
      <c r="D429" t="inlineStr">
        <is>
          <t>VÄSTERBOTTENS LÄN</t>
        </is>
      </c>
      <c r="E429" t="inlineStr">
        <is>
          <t>DOROTEA</t>
        </is>
      </c>
      <c r="G429" t="n">
        <v>26.5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60163-2024</t>
        </is>
      </c>
      <c r="B430" s="1" t="n">
        <v>45642.63332175926</v>
      </c>
      <c r="C430" s="1" t="n">
        <v>45981</v>
      </c>
      <c r="D430" t="inlineStr">
        <is>
          <t>VÄSTERBOTTENS LÄN</t>
        </is>
      </c>
      <c r="E430" t="inlineStr">
        <is>
          <t>DOROTEA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52393-2023</t>
        </is>
      </c>
      <c r="B431" s="1" t="n">
        <v>45224.96391203703</v>
      </c>
      <c r="C431" s="1" t="n">
        <v>45981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9030-2025</t>
        </is>
      </c>
      <c r="B432" s="1" t="n">
        <v>45713.61494212963</v>
      </c>
      <c r="C432" s="1" t="n">
        <v>45981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57955-2021</t>
        </is>
      </c>
      <c r="B433" s="1" t="n">
        <v>44484</v>
      </c>
      <c r="C433" s="1" t="n">
        <v>45981</v>
      </c>
      <c r="D433" t="inlineStr">
        <is>
          <t>VÄSTERBOTTENS LÄN</t>
        </is>
      </c>
      <c r="E433" t="inlineStr">
        <is>
          <t>DOROTEA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58168-2022</t>
        </is>
      </c>
      <c r="B434" s="1" t="n">
        <v>44900.95491898148</v>
      </c>
      <c r="C434" s="1" t="n">
        <v>45981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44973-2023</t>
        </is>
      </c>
      <c r="B435" s="1" t="n">
        <v>45190.92554398148</v>
      </c>
      <c r="C435" s="1" t="n">
        <v>45981</v>
      </c>
      <c r="D435" t="inlineStr">
        <is>
          <t>VÄSTERBOTTENS LÄN</t>
        </is>
      </c>
      <c r="E435" t="inlineStr">
        <is>
          <t>DOROTEA</t>
        </is>
      </c>
      <c r="G435" t="n">
        <v>23.9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57071-2023</t>
        </is>
      </c>
      <c r="B436" s="1" t="n">
        <v>45244.96703703704</v>
      </c>
      <c r="C436" s="1" t="n">
        <v>45981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33262-2025</t>
        </is>
      </c>
      <c r="B437" s="1" t="n">
        <v>45840.67768518518</v>
      </c>
      <c r="C437" s="1" t="n">
        <v>45981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17.4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11349-2025</t>
        </is>
      </c>
      <c r="B438" s="1" t="n">
        <v>45726.51075231482</v>
      </c>
      <c r="C438" s="1" t="n">
        <v>45981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12.4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33267-2025</t>
        </is>
      </c>
      <c r="B439" s="1" t="n">
        <v>45840.67862268518</v>
      </c>
      <c r="C439" s="1" t="n">
        <v>45981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52276-2023</t>
        </is>
      </c>
      <c r="B440" s="1" t="n">
        <v>45217</v>
      </c>
      <c r="C440" s="1" t="n">
        <v>45981</v>
      </c>
      <c r="D440" t="inlineStr">
        <is>
          <t>VÄSTERBOTTENS LÄN</t>
        </is>
      </c>
      <c r="E440" t="inlineStr">
        <is>
          <t>DOROTEA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8088-2023</t>
        </is>
      </c>
      <c r="B441" s="1" t="n">
        <v>44974</v>
      </c>
      <c r="C441" s="1" t="n">
        <v>45981</v>
      </c>
      <c r="D441" t="inlineStr">
        <is>
          <t>VÄSTERBOTTENS LÄN</t>
        </is>
      </c>
      <c r="E441" t="inlineStr">
        <is>
          <t>DOROTEA</t>
        </is>
      </c>
      <c r="G441" t="n">
        <v>14.8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38377-2023</t>
        </is>
      </c>
      <c r="B442" s="1" t="n">
        <v>45161.94466435185</v>
      </c>
      <c r="C442" s="1" t="n">
        <v>45981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33091-2025</t>
        </is>
      </c>
      <c r="B443" s="1" t="n">
        <v>45840.46914351852</v>
      </c>
      <c r="C443" s="1" t="n">
        <v>45981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4618-2023</t>
        </is>
      </c>
      <c r="B444" s="1" t="n">
        <v>44956</v>
      </c>
      <c r="C444" s="1" t="n">
        <v>45981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60145-2021</t>
        </is>
      </c>
      <c r="B445" s="1" t="n">
        <v>44494</v>
      </c>
      <c r="C445" s="1" t="n">
        <v>45981</v>
      </c>
      <c r="D445" t="inlineStr">
        <is>
          <t>VÄSTERBOTTENS LÄN</t>
        </is>
      </c>
      <c r="E445" t="inlineStr">
        <is>
          <t>DOROTEA</t>
        </is>
      </c>
      <c r="G445" t="n">
        <v>13.3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28549-2023</t>
        </is>
      </c>
      <c r="B446" s="1" t="n">
        <v>45103</v>
      </c>
      <c r="C446" s="1" t="n">
        <v>45981</v>
      </c>
      <c r="D446" t="inlineStr">
        <is>
          <t>VÄSTERBOTTENS LÄN</t>
        </is>
      </c>
      <c r="E446" t="inlineStr">
        <is>
          <t>DOROTEA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51740-2024</t>
        </is>
      </c>
      <c r="B447" s="1" t="n">
        <v>45607.40678240741</v>
      </c>
      <c r="C447" s="1" t="n">
        <v>45981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51741-2024</t>
        </is>
      </c>
      <c r="B448" s="1" t="n">
        <v>45607.40694444445</v>
      </c>
      <c r="C448" s="1" t="n">
        <v>45981</v>
      </c>
      <c r="D448" t="inlineStr">
        <is>
          <t>VÄSTERBOTTENS LÄN</t>
        </is>
      </c>
      <c r="E448" t="inlineStr">
        <is>
          <t>DOROTEA</t>
        </is>
      </c>
      <c r="F448" t="inlineStr">
        <is>
          <t>SCA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33805-2025</t>
        </is>
      </c>
      <c r="B449" s="1" t="n">
        <v>45842.44846064815</v>
      </c>
      <c r="C449" s="1" t="n">
        <v>45981</v>
      </c>
      <c r="D449" t="inlineStr">
        <is>
          <t>VÄSTERBOTTENS LÄN</t>
        </is>
      </c>
      <c r="E449" t="inlineStr">
        <is>
          <t>DOROTEA</t>
        </is>
      </c>
      <c r="F449" t="inlineStr">
        <is>
          <t>SCA</t>
        </is>
      </c>
      <c r="G449" t="n">
        <v>20.5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14329-2025</t>
        </is>
      </c>
      <c r="B450" s="1" t="n">
        <v>45740.84127314815</v>
      </c>
      <c r="C450" s="1" t="n">
        <v>45981</v>
      </c>
      <c r="D450" t="inlineStr">
        <is>
          <t>VÄSTERBOTTENS LÄN</t>
        </is>
      </c>
      <c r="E450" t="inlineStr">
        <is>
          <t>DOROTEA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33982-2025</t>
        </is>
      </c>
      <c r="B451" s="1" t="n">
        <v>45843.36505787037</v>
      </c>
      <c r="C451" s="1" t="n">
        <v>45981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34489-2025</t>
        </is>
      </c>
      <c r="B452" s="1" t="n">
        <v>45847.40707175926</v>
      </c>
      <c r="C452" s="1" t="n">
        <v>45981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34488-2025</t>
        </is>
      </c>
      <c r="B453" s="1" t="n">
        <v>45847.40681712963</v>
      </c>
      <c r="C453" s="1" t="n">
        <v>45981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34279-2025</t>
        </is>
      </c>
      <c r="B454" s="1" t="n">
        <v>45846.26190972222</v>
      </c>
      <c r="C454" s="1" t="n">
        <v>45981</v>
      </c>
      <c r="D454" t="inlineStr">
        <is>
          <t>VÄSTERBOTTENS LÄN</t>
        </is>
      </c>
      <c r="E454" t="inlineStr">
        <is>
          <t>DOROTEA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34604-2025</t>
        </is>
      </c>
      <c r="B455" s="1" t="n">
        <v>45847.6568287037</v>
      </c>
      <c r="C455" s="1" t="n">
        <v>45981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34503-2025</t>
        </is>
      </c>
      <c r="B456" s="1" t="n">
        <v>45846</v>
      </c>
      <c r="C456" s="1" t="n">
        <v>45981</v>
      </c>
      <c r="D456" t="inlineStr">
        <is>
          <t>VÄSTERBOTTENS LÄN</t>
        </is>
      </c>
      <c r="E456" t="inlineStr">
        <is>
          <t>DOROTEA</t>
        </is>
      </c>
      <c r="G456" t="n">
        <v>14.7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34681-2025</t>
        </is>
      </c>
      <c r="B457" s="1" t="n">
        <v>45848.42844907408</v>
      </c>
      <c r="C457" s="1" t="n">
        <v>45981</v>
      </c>
      <c r="D457" t="inlineStr">
        <is>
          <t>VÄSTERBOTTENS LÄN</t>
        </is>
      </c>
      <c r="E457" t="inlineStr">
        <is>
          <t>DOROTEA</t>
        </is>
      </c>
      <c r="F457" t="inlineStr">
        <is>
          <t>SCA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34682-2025</t>
        </is>
      </c>
      <c r="B458" s="1" t="n">
        <v>45848.42857638889</v>
      </c>
      <c r="C458" s="1" t="n">
        <v>45981</v>
      </c>
      <c r="D458" t="inlineStr">
        <is>
          <t>VÄSTERBOTTENS LÄN</t>
        </is>
      </c>
      <c r="E458" t="inlineStr">
        <is>
          <t>DOROTEA</t>
        </is>
      </c>
      <c r="F458" t="inlineStr">
        <is>
          <t>SCA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34857-2025</t>
        </is>
      </c>
      <c r="B459" s="1" t="n">
        <v>45849.4284837963</v>
      </c>
      <c r="C459" s="1" t="n">
        <v>45981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34856-2025</t>
        </is>
      </c>
      <c r="B460" s="1" t="n">
        <v>45849.42844907408</v>
      </c>
      <c r="C460" s="1" t="n">
        <v>45981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460-2025</t>
        </is>
      </c>
      <c r="B461" s="1" t="n">
        <v>45664.41229166667</v>
      </c>
      <c r="C461" s="1" t="n">
        <v>45981</v>
      </c>
      <c r="D461" t="inlineStr">
        <is>
          <t>VÄSTERBOTTENS LÄN</t>
        </is>
      </c>
      <c r="E461" t="inlineStr">
        <is>
          <t>DOROTEA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35937-2025</t>
        </is>
      </c>
      <c r="B462" s="1" t="n">
        <v>45862</v>
      </c>
      <c r="C462" s="1" t="n">
        <v>45981</v>
      </c>
      <c r="D462" t="inlineStr">
        <is>
          <t>VÄSTERBOTTENS LÄN</t>
        </is>
      </c>
      <c r="E462" t="inlineStr">
        <is>
          <t>DOROTEA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46817-2022</t>
        </is>
      </c>
      <c r="B463" s="1" t="n">
        <v>44848</v>
      </c>
      <c r="C463" s="1" t="n">
        <v>45981</v>
      </c>
      <c r="D463" t="inlineStr">
        <is>
          <t>VÄSTERBOTTENS LÄN</t>
        </is>
      </c>
      <c r="E463" t="inlineStr">
        <is>
          <t>DOROTEA</t>
        </is>
      </c>
      <c r="G463" t="n">
        <v>29.8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13035-2024</t>
        </is>
      </c>
      <c r="B464" s="1" t="n">
        <v>45385</v>
      </c>
      <c r="C464" s="1" t="n">
        <v>45981</v>
      </c>
      <c r="D464" t="inlineStr">
        <is>
          <t>VÄSTERBOTTENS LÄN</t>
        </is>
      </c>
      <c r="E464" t="inlineStr">
        <is>
          <t>DOROTEA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35093-2025</t>
        </is>
      </c>
      <c r="B465" s="1" t="n">
        <v>45852.53199074074</v>
      </c>
      <c r="C465" s="1" t="n">
        <v>45981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46966-2024</t>
        </is>
      </c>
      <c r="B466" s="1" t="n">
        <v>45586.32145833333</v>
      </c>
      <c r="C466" s="1" t="n">
        <v>45981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Sveaskog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35291-2025</t>
        </is>
      </c>
      <c r="B467" s="1" t="n">
        <v>45854.38577546296</v>
      </c>
      <c r="C467" s="1" t="n">
        <v>45981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35418-2025</t>
        </is>
      </c>
      <c r="B468" s="1" t="n">
        <v>45855.40684027778</v>
      </c>
      <c r="C468" s="1" t="n">
        <v>45981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35444-2025</t>
        </is>
      </c>
      <c r="B469" s="1" t="n">
        <v>45855.53179398148</v>
      </c>
      <c r="C469" s="1" t="n">
        <v>45981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35456-2025</t>
        </is>
      </c>
      <c r="B470" s="1" t="n">
        <v>45855</v>
      </c>
      <c r="C470" s="1" t="n">
        <v>45981</v>
      </c>
      <c r="D470" t="inlineStr">
        <is>
          <t>VÄSTERBOTTENS LÄN</t>
        </is>
      </c>
      <c r="E470" t="inlineStr">
        <is>
          <t>DOROTEA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35437-2025</t>
        </is>
      </c>
      <c r="B471" s="1" t="n">
        <v>45855</v>
      </c>
      <c r="C471" s="1" t="n">
        <v>45981</v>
      </c>
      <c r="D471" t="inlineStr">
        <is>
          <t>VÄSTERBOTTENS LÄN</t>
        </is>
      </c>
      <c r="E471" t="inlineStr">
        <is>
          <t>DOROTEA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35438-2025</t>
        </is>
      </c>
      <c r="B472" s="1" t="n">
        <v>45855</v>
      </c>
      <c r="C472" s="1" t="n">
        <v>45981</v>
      </c>
      <c r="D472" t="inlineStr">
        <is>
          <t>VÄSTERBOTTENS LÄN</t>
        </is>
      </c>
      <c r="E472" t="inlineStr">
        <is>
          <t>DOROTEA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35458-2025</t>
        </is>
      </c>
      <c r="B473" s="1" t="n">
        <v>45855</v>
      </c>
      <c r="C473" s="1" t="n">
        <v>45981</v>
      </c>
      <c r="D473" t="inlineStr">
        <is>
          <t>VÄSTERBOTTENS LÄN</t>
        </is>
      </c>
      <c r="E473" t="inlineStr">
        <is>
          <t>DOROTEA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35298-2025</t>
        </is>
      </c>
      <c r="B474" s="1" t="n">
        <v>45854.40681712963</v>
      </c>
      <c r="C474" s="1" t="n">
        <v>45981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35457-2025</t>
        </is>
      </c>
      <c r="B475" s="1" t="n">
        <v>45855</v>
      </c>
      <c r="C475" s="1" t="n">
        <v>45981</v>
      </c>
      <c r="D475" t="inlineStr">
        <is>
          <t>VÄSTERBOTTENS LÄN</t>
        </is>
      </c>
      <c r="E475" t="inlineStr">
        <is>
          <t>DOROTEA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23300-2023</t>
        </is>
      </c>
      <c r="B476" s="1" t="n">
        <v>45075</v>
      </c>
      <c r="C476" s="1" t="n">
        <v>45981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28717-2022</t>
        </is>
      </c>
      <c r="B477" s="1" t="n">
        <v>44748.94555555555</v>
      </c>
      <c r="C477" s="1" t="n">
        <v>45981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30059-2024</t>
        </is>
      </c>
      <c r="B478" s="1" t="n">
        <v>45488.94804398148</v>
      </c>
      <c r="C478" s="1" t="n">
        <v>45981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63084-2023</t>
        </is>
      </c>
      <c r="B479" s="1" t="n">
        <v>45272</v>
      </c>
      <c r="C479" s="1" t="n">
        <v>45981</v>
      </c>
      <c r="D479" t="inlineStr">
        <is>
          <t>VÄSTERBOTTENS LÄN</t>
        </is>
      </c>
      <c r="E479" t="inlineStr">
        <is>
          <t>DOROTEA</t>
        </is>
      </c>
      <c r="G479" t="n">
        <v>11.4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35630-2025</t>
        </is>
      </c>
      <c r="B480" s="1" t="n">
        <v>45859.44861111111</v>
      </c>
      <c r="C480" s="1" t="n">
        <v>45981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35631-2025</t>
        </is>
      </c>
      <c r="B481" s="1" t="n">
        <v>45859.44880787037</v>
      </c>
      <c r="C481" s="1" t="n">
        <v>45981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43092-2023</t>
        </is>
      </c>
      <c r="B482" s="1" t="n">
        <v>45182.92409722223</v>
      </c>
      <c r="C482" s="1" t="n">
        <v>45981</v>
      </c>
      <c r="D482" t="inlineStr">
        <is>
          <t>VÄSTERBOTTENS LÄN</t>
        </is>
      </c>
      <c r="E482" t="inlineStr">
        <is>
          <t>DOROTEA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36111-2025</t>
        </is>
      </c>
      <c r="B483" s="1" t="n">
        <v>45866.57357638889</v>
      </c>
      <c r="C483" s="1" t="n">
        <v>45981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36161-2025</t>
        </is>
      </c>
      <c r="B484" s="1" t="n">
        <v>45867.3653587963</v>
      </c>
      <c r="C484" s="1" t="n">
        <v>45981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14.2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36363-2025</t>
        </is>
      </c>
      <c r="B485" s="1" t="n">
        <v>45867</v>
      </c>
      <c r="C485" s="1" t="n">
        <v>45981</v>
      </c>
      <c r="D485" t="inlineStr">
        <is>
          <t>VÄSTERBOTTENS LÄN</t>
        </is>
      </c>
      <c r="E485" t="inlineStr">
        <is>
          <t>DOROTEA</t>
        </is>
      </c>
      <c r="G485" t="n">
        <v>6.5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36096-2025</t>
        </is>
      </c>
      <c r="B486" s="1" t="n">
        <v>45866.49025462963</v>
      </c>
      <c r="C486" s="1" t="n">
        <v>45981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36125-2025</t>
        </is>
      </c>
      <c r="B487" s="1" t="n">
        <v>45866.61515046296</v>
      </c>
      <c r="C487" s="1" t="n">
        <v>45981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36162-2025</t>
        </is>
      </c>
      <c r="B488" s="1" t="n">
        <v>45867.36557870371</v>
      </c>
      <c r="C488" s="1" t="n">
        <v>45981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36791-2025</t>
        </is>
      </c>
      <c r="B489" s="1" t="n">
        <v>45873</v>
      </c>
      <c r="C489" s="1" t="n">
        <v>45981</v>
      </c>
      <c r="D489" t="inlineStr">
        <is>
          <t>VÄSTERBOTTENS LÄN</t>
        </is>
      </c>
      <c r="E489" t="inlineStr">
        <is>
          <t>DOROTEA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36871-2025</t>
        </is>
      </c>
      <c r="B490" s="1" t="n">
        <v>45874.42888888889</v>
      </c>
      <c r="C490" s="1" t="n">
        <v>45981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7.3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36845-2025</t>
        </is>
      </c>
      <c r="B491" s="1" t="n">
        <v>45874.38578703703</v>
      </c>
      <c r="C491" s="1" t="n">
        <v>45981</v>
      </c>
      <c r="D491" t="inlineStr">
        <is>
          <t>VÄSTERBOTTENS LÄN</t>
        </is>
      </c>
      <c r="E491" t="inlineStr">
        <is>
          <t>DOROTEA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36984-2025</t>
        </is>
      </c>
      <c r="B492" s="1" t="n">
        <v>45874.64811342592</v>
      </c>
      <c r="C492" s="1" t="n">
        <v>45981</v>
      </c>
      <c r="D492" t="inlineStr">
        <is>
          <t>VÄSTERBOTTENS LÄN</t>
        </is>
      </c>
      <c r="E492" t="inlineStr">
        <is>
          <t>DOROTEA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36977-2025</t>
        </is>
      </c>
      <c r="B493" s="1" t="n">
        <v>45874.6445949074</v>
      </c>
      <c r="C493" s="1" t="n">
        <v>45981</v>
      </c>
      <c r="D493" t="inlineStr">
        <is>
          <t>VÄSTERBOTTENS LÄN</t>
        </is>
      </c>
      <c r="E493" t="inlineStr">
        <is>
          <t>DOROTEA</t>
        </is>
      </c>
      <c r="G493" t="n">
        <v>20.5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36844-2025</t>
        </is>
      </c>
      <c r="B494" s="1" t="n">
        <v>45874.38576388889</v>
      </c>
      <c r="C494" s="1" t="n">
        <v>45981</v>
      </c>
      <c r="D494" t="inlineStr">
        <is>
          <t>VÄSTERBOTTENS LÄN</t>
        </is>
      </c>
      <c r="E494" t="inlineStr">
        <is>
          <t>DOROTEA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37135-2025</t>
        </is>
      </c>
      <c r="B495" s="1" t="n">
        <v>45875.5525462963</v>
      </c>
      <c r="C495" s="1" t="n">
        <v>45981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4.7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14325-2025</t>
        </is>
      </c>
      <c r="B496" s="1" t="n">
        <v>45740.81103009259</v>
      </c>
      <c r="C496" s="1" t="n">
        <v>45981</v>
      </c>
      <c r="D496" t="inlineStr">
        <is>
          <t>VÄSTERBOTTENS LÄN</t>
        </is>
      </c>
      <c r="E496" t="inlineStr">
        <is>
          <t>DOROTEA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36945-2025</t>
        </is>
      </c>
      <c r="B497" s="1" t="n">
        <v>45874.5946875</v>
      </c>
      <c r="C497" s="1" t="n">
        <v>45981</v>
      </c>
      <c r="D497" t="inlineStr">
        <is>
          <t>VÄSTERBOTTENS LÄN</t>
        </is>
      </c>
      <c r="E497" t="inlineStr">
        <is>
          <t>DOROTEA</t>
        </is>
      </c>
      <c r="F497" t="inlineStr">
        <is>
          <t>SCA</t>
        </is>
      </c>
      <c r="G497" t="n">
        <v>4.7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711-2023</t>
        </is>
      </c>
      <c r="B498" s="1" t="n">
        <v>44930.92725694444</v>
      </c>
      <c r="C498" s="1" t="n">
        <v>45981</v>
      </c>
      <c r="D498" t="inlineStr">
        <is>
          <t>VÄSTERBOTTENS LÄN</t>
        </is>
      </c>
      <c r="E498" t="inlineStr">
        <is>
          <t>DOROTEA</t>
        </is>
      </c>
      <c r="G498" t="n">
        <v>7.3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37259-2025</t>
        </is>
      </c>
      <c r="B499" s="1" t="n">
        <v>45876.4483912037</v>
      </c>
      <c r="C499" s="1" t="n">
        <v>45981</v>
      </c>
      <c r="D499" t="inlineStr">
        <is>
          <t>VÄSTERBOTTENS LÄN</t>
        </is>
      </c>
      <c r="E499" t="inlineStr">
        <is>
          <t>DOROTEA</t>
        </is>
      </c>
      <c r="F499" t="inlineStr">
        <is>
          <t>SCA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37478-2025</t>
        </is>
      </c>
      <c r="B500" s="1" t="n">
        <v>45877</v>
      </c>
      <c r="C500" s="1" t="n">
        <v>45981</v>
      </c>
      <c r="D500" t="inlineStr">
        <is>
          <t>VÄSTERBOTTENS LÄN</t>
        </is>
      </c>
      <c r="E500" t="inlineStr">
        <is>
          <t>DOROTEA</t>
        </is>
      </c>
      <c r="F500" t="inlineStr">
        <is>
          <t>SCA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37479-2025</t>
        </is>
      </c>
      <c r="B501" s="1" t="n">
        <v>45877.61532407408</v>
      </c>
      <c r="C501" s="1" t="n">
        <v>45981</v>
      </c>
      <c r="D501" t="inlineStr">
        <is>
          <t>VÄSTERBOTTENS LÄN</t>
        </is>
      </c>
      <c r="E501" t="inlineStr">
        <is>
          <t>DOROTEA</t>
        </is>
      </c>
      <c r="F501" t="inlineStr">
        <is>
          <t>SCA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13023-2025</t>
        </is>
      </c>
      <c r="B502" s="1" t="n">
        <v>45734.55266203704</v>
      </c>
      <c r="C502" s="1" t="n">
        <v>45981</v>
      </c>
      <c r="D502" t="inlineStr">
        <is>
          <t>VÄSTERBOTTENS LÄN</t>
        </is>
      </c>
      <c r="E502" t="inlineStr">
        <is>
          <t>DOROTEA</t>
        </is>
      </c>
      <c r="F502" t="inlineStr">
        <is>
          <t>SCA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37476-2025</t>
        </is>
      </c>
      <c r="B503" s="1" t="n">
        <v>45877.61496527777</v>
      </c>
      <c r="C503" s="1" t="n">
        <v>45981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37277-2025</t>
        </is>
      </c>
      <c r="B504" s="1" t="n">
        <v>45876.49045138889</v>
      </c>
      <c r="C504" s="1" t="n">
        <v>45981</v>
      </c>
      <c r="D504" t="inlineStr">
        <is>
          <t>VÄSTERBOTTENS LÄN</t>
        </is>
      </c>
      <c r="E504" t="inlineStr">
        <is>
          <t>DOROTEA</t>
        </is>
      </c>
      <c r="F504" t="inlineStr">
        <is>
          <t>SCA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37280-2025</t>
        </is>
      </c>
      <c r="B505" s="1" t="n">
        <v>45876.4909837963</v>
      </c>
      <c r="C505" s="1" t="n">
        <v>45981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5.5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37284-2025</t>
        </is>
      </c>
      <c r="B506" s="1" t="n">
        <v>45876.49138888889</v>
      </c>
      <c r="C506" s="1" t="n">
        <v>45981</v>
      </c>
      <c r="D506" t="inlineStr">
        <is>
          <t>VÄSTERBOTTENS LÄN</t>
        </is>
      </c>
      <c r="E506" t="inlineStr">
        <is>
          <t>DOROTEA</t>
        </is>
      </c>
      <c r="F506" t="inlineStr">
        <is>
          <t>SCA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37282-2025</t>
        </is>
      </c>
      <c r="B507" s="1" t="n">
        <v>45876.49122685185</v>
      </c>
      <c r="C507" s="1" t="n">
        <v>45981</v>
      </c>
      <c r="D507" t="inlineStr">
        <is>
          <t>VÄSTERBOTTENS LÄN</t>
        </is>
      </c>
      <c r="E507" t="inlineStr">
        <is>
          <t>DOROTEA</t>
        </is>
      </c>
      <c r="F507" t="inlineStr">
        <is>
          <t>SCA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37276-2025</t>
        </is>
      </c>
      <c r="B508" s="1" t="n">
        <v>45876.49024305555</v>
      </c>
      <c r="C508" s="1" t="n">
        <v>45981</v>
      </c>
      <c r="D508" t="inlineStr">
        <is>
          <t>VÄSTERBOTTENS LÄN</t>
        </is>
      </c>
      <c r="E508" t="inlineStr">
        <is>
          <t>DOROTEA</t>
        </is>
      </c>
      <c r="F508" t="inlineStr">
        <is>
          <t>SCA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37289-2025</t>
        </is>
      </c>
      <c r="B509" s="1" t="n">
        <v>45876.51096064815</v>
      </c>
      <c r="C509" s="1" t="n">
        <v>45981</v>
      </c>
      <c r="D509" t="inlineStr">
        <is>
          <t>VÄSTERBOTTENS LÄN</t>
        </is>
      </c>
      <c r="E509" t="inlineStr">
        <is>
          <t>DOROTEA</t>
        </is>
      </c>
      <c r="F509" t="inlineStr">
        <is>
          <t>SCA</t>
        </is>
      </c>
      <c r="G509" t="n">
        <v>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37240-2025</t>
        </is>
      </c>
      <c r="B510" s="1" t="n">
        <v>45876.38582175926</v>
      </c>
      <c r="C510" s="1" t="n">
        <v>45981</v>
      </c>
      <c r="D510" t="inlineStr">
        <is>
          <t>VÄSTERBOTTENS LÄN</t>
        </is>
      </c>
      <c r="E510" t="inlineStr">
        <is>
          <t>DOROTEA</t>
        </is>
      </c>
      <c r="F510" t="inlineStr">
        <is>
          <t>SCA</t>
        </is>
      </c>
      <c r="G510" t="n">
        <v>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38099-2025</t>
        </is>
      </c>
      <c r="B511" s="1" t="n">
        <v>45882.49087962963</v>
      </c>
      <c r="C511" s="1" t="n">
        <v>45981</v>
      </c>
      <c r="D511" t="inlineStr">
        <is>
          <t>VÄSTERBOTTENS LÄN</t>
        </is>
      </c>
      <c r="E511" t="inlineStr">
        <is>
          <t>DOROTEA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38100-2025</t>
        </is>
      </c>
      <c r="B512" s="1" t="n">
        <v>45882.49097222222</v>
      </c>
      <c r="C512" s="1" t="n">
        <v>45981</v>
      </c>
      <c r="D512" t="inlineStr">
        <is>
          <t>VÄSTERBOTTENS LÄN</t>
        </is>
      </c>
      <c r="E512" t="inlineStr">
        <is>
          <t>DOROTEA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38096-2025</t>
        </is>
      </c>
      <c r="B513" s="1" t="n">
        <v>45882</v>
      </c>
      <c r="C513" s="1" t="n">
        <v>45981</v>
      </c>
      <c r="D513" t="inlineStr">
        <is>
          <t>VÄSTERBOTTENS LÄN</t>
        </is>
      </c>
      <c r="E513" t="inlineStr">
        <is>
          <t>DOROTEA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38097-2025</t>
        </is>
      </c>
      <c r="B514" s="1" t="n">
        <v>45882.49069444444</v>
      </c>
      <c r="C514" s="1" t="n">
        <v>45981</v>
      </c>
      <c r="D514" t="inlineStr">
        <is>
          <t>VÄSTERBOTTENS LÄN</t>
        </is>
      </c>
      <c r="E514" t="inlineStr">
        <is>
          <t>DOROTEA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38098-2025</t>
        </is>
      </c>
      <c r="B515" s="1" t="n">
        <v>45882</v>
      </c>
      <c r="C515" s="1" t="n">
        <v>45981</v>
      </c>
      <c r="D515" t="inlineStr">
        <is>
          <t>VÄSTERBOTTENS LÄN</t>
        </is>
      </c>
      <c r="E515" t="inlineStr">
        <is>
          <t>DOROTEA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38227-2025</t>
        </is>
      </c>
      <c r="B516" s="1" t="n">
        <v>45883.34537037037</v>
      </c>
      <c r="C516" s="1" t="n">
        <v>45981</v>
      </c>
      <c r="D516" t="inlineStr">
        <is>
          <t>VÄSTERBOTTENS LÄN</t>
        </is>
      </c>
      <c r="E516" t="inlineStr">
        <is>
          <t>DOROTEA</t>
        </is>
      </c>
      <c r="F516" t="inlineStr">
        <is>
          <t>SCA</t>
        </is>
      </c>
      <c r="G516" t="n">
        <v>10.6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38239-2025</t>
        </is>
      </c>
      <c r="B517" s="1" t="n">
        <v>45883.36519675926</v>
      </c>
      <c r="C517" s="1" t="n">
        <v>45981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38101-2025</t>
        </is>
      </c>
      <c r="B518" s="1" t="n">
        <v>45882.49106481481</v>
      </c>
      <c r="C518" s="1" t="n">
        <v>45981</v>
      </c>
      <c r="D518" t="inlineStr">
        <is>
          <t>VÄSTERBOTTENS LÄN</t>
        </is>
      </c>
      <c r="E518" t="inlineStr">
        <is>
          <t>DOROTEA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>
      <c r="A519" t="inlineStr">
        <is>
          <t>A 8709-2025</t>
        </is>
      </c>
      <c r="B519" s="1" t="n">
        <v>45712</v>
      </c>
      <c r="C519" s="1" t="n">
        <v>45981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2025-11-20T16:58:51Z</dcterms:created>
  <dcterms:modified xmlns:dcterms="http://purl.org/dc/terms/" xmlns:xsi="http://www.w3.org/2001/XMLSchema-instance" xsi:type="dcterms:W3CDTF">2025-11-20T16:58:52Z</dcterms:modified>
</cp:coreProperties>
</file>