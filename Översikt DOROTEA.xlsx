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46295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46295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46295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46295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46295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46295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46295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46295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46295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46295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46295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46295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46295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46295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46295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46295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46295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46295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46295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46295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46295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46295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46295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46295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46295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46295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4554-2026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46047</v>
      </c>
      <c r="E28" s="1" t="n">
        <v>46295</v>
      </c>
      <c r="F28" t="inlineStr">
        <is>
          <t>VÄSTERBOTTENS LÄN</t>
        </is>
      </c>
      <c r="G28" t="inlineStr">
        <is>
          <t>DOROTEA</t>
        </is>
      </c>
      <c r="I28" t="n">
        <v>6.1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Violettkantad guldvinge
Kricka</t>
        </is>
      </c>
      <c r="W28">
        <f>HYPERLINK("https://klasma.github.io/Logging_2425/artfynd/A 4554-2026 artfynd.xlsx", "A 4554-2026")</f>
        <v/>
      </c>
      <c r="X28">
        <f>HYPERLINK("https://klasma.github.io/Logging_2425/kartor/A 4554-2026 karta.png", "A 4554-2026")</f>
        <v/>
      </c>
      <c r="Y28">
        <f>HYPERLINK("https://klasma.github.io/Logging_2425/kartor_geotiff/A 4554-2026 georefererad karta.tif", "A 4554-2026")</f>
        <v/>
      </c>
      <c r="AA28">
        <f>HYPERLINK("https://klasma.github.io/Logging_2425/klagomål/A 4554-2026 FSC-klagomål.docx", "A 4554-2026")</f>
        <v/>
      </c>
      <c r="AB28">
        <f>HYPERLINK("https://klasma.github.io/Logging_2425/klagomålsmail/A 4554-2026 FSC-klagomål mail.docx", "A 4554-2026")</f>
        <v/>
      </c>
      <c r="AC28">
        <f>HYPERLINK("https://klasma.github.io/Logging_2425/tillsyn/A 4554-2026 tillsynsbegäran.docx", "A 4554-2026")</f>
        <v/>
      </c>
      <c r="AD28">
        <f>HYPERLINK("https://klasma.github.io/Logging_2425/tillsynsmail/A 4554-2026 tillsynsbegäran mail.docx", "A 4554-2026")</f>
        <v/>
      </c>
      <c r="AE28">
        <f>HYPERLINK("https://klasma.github.io/Logging_2425/fåglar/A 4554-2026 prioriterade fågelarter.docx", "A 4554-2026")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46295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46295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46295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46295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46295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46295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46295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46295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46295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46295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46295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46295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46295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46295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46295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12005-2023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44994</v>
      </c>
      <c r="E44" s="1" t="n">
        <v>46295</v>
      </c>
      <c r="F44" t="inlineStr">
        <is>
          <t>VÄSTERBOTTENS LÄN</t>
        </is>
      </c>
      <c r="G44" t="inlineStr">
        <is>
          <t>DOROTEA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HYPERLINK("https://klasma.github.io/Logging_2425/artfynd/A 12005-2023 artfynd.xlsx", "A 12005-2023")</f>
        <v/>
      </c>
      <c r="X44">
        <f>HYPERLINK("https://klasma.github.io/Logging_2425/kartor/A 12005-2023 karta.png", "A 12005-2023")</f>
        <v/>
      </c>
      <c r="Y44">
        <f>HYPERLINK("https://klasma.github.io/Logging_2425/kartor_geotiff/A 12005-2023 georefererad karta.tif", "A 12005-2023")</f>
        <v/>
      </c>
      <c r="AA44">
        <f>HYPERLINK("https://klasma.github.io/Logging_2425/klagomål/A 12005-2023 FSC-klagomål.docx", "A 12005-2023")</f>
        <v/>
      </c>
      <c r="AB44">
        <f>HYPERLINK("https://klasma.github.io/Logging_2425/klagomålsmail/A 12005-2023 FSC-klagomål mail.docx", "A 12005-2023")</f>
        <v/>
      </c>
      <c r="AC44">
        <f>HYPERLINK("https://klasma.github.io/Logging_2425/tillsyn/A 12005-2023 tillsynsbegäran.docx", "A 12005-2023")</f>
        <v/>
      </c>
      <c r="AD44">
        <f>HYPERLINK("https://klasma.github.io/Logging_2425/tillsynsmail/A 12005-2023 tillsynsbegäran mail.docx", "A 12005-2023")</f>
        <v/>
      </c>
    </row>
    <row r="45" ht="15" customHeight="1">
      <c r="A45" t="inlineStr">
        <is>
          <t>A 57058-2024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46295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HYPERLINK("https://klasma.github.io/Logging_2425/artfynd/A 57058-2024 artfynd.xlsx", "A 57058-2024")</f>
        <v/>
      </c>
      <c r="X45">
        <f>HYPERLINK("https://klasma.github.io/Logging_2425/kartor/A 57058-2024 karta.png", "A 57058-2024")</f>
        <v/>
      </c>
      <c r="Y45">
        <f>HYPERLINK("https://klasma.github.io/Logging_2425/kartor_geotiff/A 57058-2024 georefererad karta.tif", "A 57058-2024")</f>
        <v/>
      </c>
      <c r="AA45">
        <f>HYPERLINK("https://klasma.github.io/Logging_2425/klagomål/A 57058-2024 FSC-klagomål.docx", "A 57058-2024")</f>
        <v/>
      </c>
      <c r="AB45">
        <f>HYPERLINK("https://klasma.github.io/Logging_2425/klagomålsmail/A 57058-2024 FSC-klagomål mail.docx", "A 57058-2024")</f>
        <v/>
      </c>
      <c r="AC45">
        <f>HYPERLINK("https://klasma.github.io/Logging_2425/tillsyn/A 57058-2024 tillsynsbegäran.docx", "A 57058-2024")</f>
        <v/>
      </c>
      <c r="AD45">
        <f>HYPERLINK("https://klasma.github.io/Logging_2425/tillsynsmail/A 57058-2024 tillsynsbegäran mail.docx", "A 57058-2024")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46295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46295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46815-2023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45198</v>
      </c>
      <c r="E48" s="1" t="n">
        <v>46295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46815-2023 artfynd.xlsx", "A 46815-2023")</f>
        <v/>
      </c>
      <c r="X48">
        <f>HYPERLINK("https://klasma.github.io/Logging_2425/kartor/A 46815-2023 karta.png", "A 46815-2023")</f>
        <v/>
      </c>
      <c r="Y48">
        <f>HYPERLINK("https://klasma.github.io/Logging_2425/kartor_geotiff/A 46815-2023 georefererad karta.tif", "A 46815-2023")</f>
        <v/>
      </c>
      <c r="AA48">
        <f>HYPERLINK("https://klasma.github.io/Logging_2425/klagomål/A 46815-2023 FSC-klagomål.docx", "A 46815-2023")</f>
        <v/>
      </c>
      <c r="AB48">
        <f>HYPERLINK("https://klasma.github.io/Logging_2425/klagomålsmail/A 46815-2023 FSC-klagomål mail.docx", "A 46815-2023")</f>
        <v/>
      </c>
      <c r="AC48">
        <f>HYPERLINK("https://klasma.github.io/Logging_2425/tillsyn/A 46815-2023 tillsynsbegäran.docx", "A 46815-2023")</f>
        <v/>
      </c>
      <c r="AD48">
        <f>HYPERLINK("https://klasma.github.io/Logging_2425/tillsynsmail/A 46815-2023 tillsynsbegäran mail.docx", "A 46815-2023")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46295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25980-2026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46295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40.2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25980-2026 artfynd.xlsx", "A 25980-2026")</f>
        <v/>
      </c>
      <c r="X50">
        <f>HYPERLINK("https://klasma.github.io/Logging_2425/kartor/A 25980-2026 karta.png", "A 25980-2026")</f>
        <v/>
      </c>
      <c r="Y50">
        <f>HYPERLINK("https://klasma.github.io/Logging_2425/kartor_geotiff/A 25980-2026 georefererad karta.tif", "A 25980-2026")</f>
        <v/>
      </c>
      <c r="AA50">
        <f>HYPERLINK("https://klasma.github.io/Logging_2425/klagomål/A 25980-2026 FSC-klagomål.docx", "A 25980-2026")</f>
        <v/>
      </c>
      <c r="AB50">
        <f>HYPERLINK("https://klasma.github.io/Logging_2425/klagomålsmail/A 25980-2026 FSC-klagomål mail.docx", "A 25980-2026")</f>
        <v/>
      </c>
      <c r="AC50">
        <f>HYPERLINK("https://klasma.github.io/Logging_2425/tillsyn/A 25980-2026 tillsynsbegäran.docx", "A 25980-2026")</f>
        <v/>
      </c>
      <c r="AD50">
        <f>HYPERLINK("https://klasma.github.io/Logging_2425/tillsynsmail/A 25980-2026 tillsynsbegäran mail.docx", "A 25980-2026")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46295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46295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46295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46295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46295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46295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46295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46295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46295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46295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46295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46295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46295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46295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46295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46295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46295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27199-2024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45471</v>
      </c>
      <c r="E68" s="1" t="n">
        <v>46295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45734</v>
      </c>
      <c r="E69" s="1" t="n">
        <v>46295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46295</v>
      </c>
      <c r="F70" t="inlineStr">
        <is>
          <t>VÄSTERBOTTENS LÄN</t>
        </is>
      </c>
      <c r="G70" t="inlineStr">
        <is>
          <t>DOROTEA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45228</v>
      </c>
      <c r="E71" s="1" t="n">
        <v>46295</v>
      </c>
      <c r="F71" t="inlineStr">
        <is>
          <t>VÄSTERBOTTENS LÄN</t>
        </is>
      </c>
      <c r="G71" t="inlineStr">
        <is>
          <t>DOROTEA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46295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44761</v>
      </c>
      <c r="E73" s="1" t="n">
        <v>46295</v>
      </c>
      <c r="F73" t="inlineStr">
        <is>
          <t>VÄSTERBOTTENS LÄN</t>
        </is>
      </c>
      <c r="G73" t="inlineStr">
        <is>
          <t>DOROTEA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46295</v>
      </c>
      <c r="F74" t="inlineStr">
        <is>
          <t>VÄSTERBOTTENS LÄN</t>
        </is>
      </c>
      <c r="G74" t="inlineStr">
        <is>
          <t>DOROTEA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45198</v>
      </c>
      <c r="E75" s="1" t="n">
        <v>46295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46295</v>
      </c>
      <c r="F76" t="inlineStr">
        <is>
          <t>VÄSTERBOTTENS LÄN</t>
        </is>
      </c>
      <c r="G76" t="inlineStr">
        <is>
          <t>DOROTEA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46295</v>
      </c>
      <c r="F77" t="inlineStr">
        <is>
          <t>VÄSTERBOTTENS LÄN</t>
        </is>
      </c>
      <c r="G77" t="inlineStr">
        <is>
          <t>DOROTEA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45224</v>
      </c>
      <c r="E78" s="1" t="n">
        <v>46295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46295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46295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46295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46295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45485</v>
      </c>
      <c r="E83" s="1" t="n">
        <v>46295</v>
      </c>
      <c r="F83" t="inlineStr">
        <is>
          <t>VÄSTERBOTTENS LÄN</t>
        </is>
      </c>
      <c r="G83" t="inlineStr">
        <is>
          <t>DOROTEA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46295</v>
      </c>
      <c r="F84" t="inlineStr">
        <is>
          <t>VÄSTERBOTTENS LÄN</t>
        </is>
      </c>
      <c r="G84" t="inlineStr">
        <is>
          <t>DOROTEA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46295</v>
      </c>
      <c r="F85" t="inlineStr">
        <is>
          <t>VÄSTERBOTTENS LÄN</t>
        </is>
      </c>
      <c r="G85" t="inlineStr">
        <is>
          <t>DOROTEA</t>
        </is>
      </c>
      <c r="I85" t="n">
        <v>14.8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46295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45551</v>
      </c>
      <c r="E87" s="1" t="n">
        <v>46295</v>
      </c>
      <c r="F87" t="inlineStr">
        <is>
          <t>VÄSTERBOTTENS LÄN</t>
        </is>
      </c>
      <c r="G87" t="inlineStr">
        <is>
          <t>DOROTEA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46017</v>
      </c>
      <c r="E88" s="1" t="n">
        <v>46295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8.699999999999999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46295</v>
      </c>
      <c r="F89" t="inlineStr">
        <is>
          <t>VÄSTERBOTTENS LÄN</t>
        </is>
      </c>
      <c r="G89" t="inlineStr">
        <is>
          <t>DOROTEA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4958-2023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44956</v>
      </c>
      <c r="E90" s="1" t="n">
        <v>46295</v>
      </c>
      <c r="F90" t="inlineStr">
        <is>
          <t>VÄSTERBOTTENS LÄN</t>
        </is>
      </c>
      <c r="G90" t="inlineStr">
        <is>
          <t>DOROTEA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33113-2024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46295</v>
      </c>
      <c r="F91" t="inlineStr">
        <is>
          <t>VÄSTERBOTTENS LÄN</t>
        </is>
      </c>
      <c r="G91" t="inlineStr">
        <is>
          <t>DOROTEA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45448</v>
      </c>
      <c r="E92" s="1" t="n">
        <v>46295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44582</v>
      </c>
      <c r="E93" s="1" t="n">
        <v>46295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45140</v>
      </c>
      <c r="E94" s="1" t="n">
        <v>46295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46295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46295</v>
      </c>
      <c r="F96" t="inlineStr">
        <is>
          <t>VÄSTERBOTTENS LÄN</t>
        </is>
      </c>
      <c r="G96" t="inlineStr">
        <is>
          <t>DOROTEA</t>
        </is>
      </c>
      <c r="I96" t="n">
        <v>12.8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46295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57070-2023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45244</v>
      </c>
      <c r="E98" s="1" t="n">
        <v>46295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59418-2023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45253</v>
      </c>
      <c r="E99" s="1" t="n">
        <v>46295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44860</v>
      </c>
      <c r="E100" s="1" t="n">
        <v>46295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46295</v>
      </c>
      <c r="F101" t="inlineStr">
        <is>
          <t>VÄSTERBOTTENS LÄN</t>
        </is>
      </c>
      <c r="G101" t="inlineStr">
        <is>
          <t>DOROTEA</t>
        </is>
      </c>
      <c r="I101" t="n">
        <v>18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46295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46295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46295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46295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45893</v>
      </c>
      <c r="E106" s="1" t="n">
        <v>46295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40435-2023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45169</v>
      </c>
      <c r="E107" s="1" t="n">
        <v>46295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46295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46295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44484</v>
      </c>
      <c r="E110" s="1" t="n">
        <v>46295</v>
      </c>
      <c r="F110" t="inlineStr">
        <is>
          <t>VÄSTERBOTTENS LÄN</t>
        </is>
      </c>
      <c r="G110" t="inlineStr">
        <is>
          <t>DOROTEA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46295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46295</v>
      </c>
      <c r="F112" t="inlineStr">
        <is>
          <t>VÄSTERBOTTENS LÄN</t>
        </is>
      </c>
      <c r="G112" t="inlineStr">
        <is>
          <t>DOROTEA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46295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46295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46295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46295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46295</v>
      </c>
      <c r="F117" t="inlineStr">
        <is>
          <t>VÄSTERBOTTENS LÄN</t>
        </is>
      </c>
      <c r="G117" t="inlineStr">
        <is>
          <t>DOROTEA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45622</v>
      </c>
      <c r="E118" s="1" t="n">
        <v>46295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45742</v>
      </c>
      <c r="E119" s="1" t="n">
        <v>46295</v>
      </c>
      <c r="F119" t="inlineStr">
        <is>
          <t>VÄSTERBOTTENS LÄN</t>
        </is>
      </c>
      <c r="G119" t="inlineStr">
        <is>
          <t>DOROTEA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46295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57431-2022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46295</v>
      </c>
      <c r="F121" t="inlineStr">
        <is>
          <t>VÄSTERBOTTENS LÄN</t>
        </is>
      </c>
      <c r="G121" t="inlineStr">
        <is>
          <t>DOROTEA</t>
        </is>
      </c>
      <c r="I121" t="n">
        <v>15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46295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46295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46295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74013-2021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44557</v>
      </c>
      <c r="E125" s="1" t="n">
        <v>46295</v>
      </c>
      <c r="F125" t="inlineStr">
        <is>
          <t>VÄSTERBOTTENS LÄN</t>
        </is>
      </c>
      <c r="G125" t="inlineStr">
        <is>
          <t>DOROTEA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46295</v>
      </c>
      <c r="F126" t="inlineStr">
        <is>
          <t>VÄSTERBOTTENS LÄN</t>
        </is>
      </c>
      <c r="G126" t="inlineStr">
        <is>
          <t>DOROTEA</t>
        </is>
      </c>
      <c r="I126" t="n">
        <v>22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46295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46295</v>
      </c>
      <c r="F128" t="inlineStr">
        <is>
          <t>VÄSTERBOTTENS LÄN</t>
        </is>
      </c>
      <c r="G128" t="inlineStr">
        <is>
          <t>DOROTEA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46295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44282-2025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45916</v>
      </c>
      <c r="E130" s="1" t="n">
        <v>46295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45491</v>
      </c>
      <c r="E131" s="1" t="n">
        <v>46295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Sveaskog</t>
        </is>
      </c>
      <c r="I131" t="n">
        <v>13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46295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46295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46295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46295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46295</v>
      </c>
      <c r="F136" t="inlineStr">
        <is>
          <t>VÄSTERBOTTENS LÄN</t>
        </is>
      </c>
      <c r="G136" t="inlineStr">
        <is>
          <t>DOROTEA</t>
        </is>
      </c>
      <c r="H136" t="inlineStr">
        <is>
          <t>Övriga statliga verk och myndigheter</t>
        </is>
      </c>
      <c r="I136" t="n">
        <v>15.2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46295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46295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46295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46295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46295</v>
      </c>
      <c r="F141" t="inlineStr">
        <is>
          <t>VÄSTERBOTTENS LÄN</t>
        </is>
      </c>
      <c r="G141" t="inlineStr">
        <is>
          <t>DOROTEA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46295</v>
      </c>
      <c r="F142" t="inlineStr">
        <is>
          <t>VÄSTERBOTTENS LÄN</t>
        </is>
      </c>
      <c r="G142" t="inlineStr">
        <is>
          <t>DOROTEA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46295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46295</v>
      </c>
      <c r="F144" t="inlineStr">
        <is>
          <t>VÄSTERBOTTENS LÄN</t>
        </is>
      </c>
      <c r="G144" t="inlineStr">
        <is>
          <t>DOROTEA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46295</v>
      </c>
      <c r="F145" t="inlineStr">
        <is>
          <t>VÄSTERBOTTENS LÄN</t>
        </is>
      </c>
      <c r="G145" t="inlineStr">
        <is>
          <t>DOROTEA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46295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46295</v>
      </c>
      <c r="F147" t="inlineStr">
        <is>
          <t>VÄSTERBOTTENS LÄN</t>
        </is>
      </c>
      <c r="G147" t="inlineStr">
        <is>
          <t>DOROTEA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46295</v>
      </c>
      <c r="F148" t="inlineStr">
        <is>
          <t>VÄSTERBOTTENS LÄN</t>
        </is>
      </c>
      <c r="G148" t="inlineStr">
        <is>
          <t>DOROTEA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46295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46295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44971</v>
      </c>
      <c r="E151" s="1" t="n">
        <v>46295</v>
      </c>
      <c r="F151" t="inlineStr">
        <is>
          <t>VÄSTERBOTTENS LÄN</t>
        </is>
      </c>
      <c r="G151" t="inlineStr">
        <is>
          <t>DOROTEA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46295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46295</v>
      </c>
      <c r="F153" t="inlineStr">
        <is>
          <t>VÄSTERBOTTENS LÄN</t>
        </is>
      </c>
      <c r="G153" t="inlineStr">
        <is>
          <t>DOROTEA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46295</v>
      </c>
      <c r="F154" t="inlineStr">
        <is>
          <t>VÄSTERBOTTENS LÄN</t>
        </is>
      </c>
      <c r="G154" t="inlineStr">
        <is>
          <t>DOROTEA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46295</v>
      </c>
      <c r="F155" t="inlineStr">
        <is>
          <t>VÄSTERBOTTENS LÄN</t>
        </is>
      </c>
      <c r="G155" t="inlineStr">
        <is>
          <t>DOROTEA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46295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44719</v>
      </c>
      <c r="E157" s="1" t="n">
        <v>46295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45848</v>
      </c>
      <c r="E158" s="1" t="n">
        <v>46295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46295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34488-2025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45847</v>
      </c>
      <c r="E160" s="1" t="n">
        <v>46295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46295</v>
      </c>
      <c r="F161" t="inlineStr">
        <is>
          <t>VÄSTERBOTTENS LÄN</t>
        </is>
      </c>
      <c r="G161" t="inlineStr">
        <is>
          <t>DOROTEA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46295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46295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46295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46295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45855</v>
      </c>
      <c r="E166" s="1" t="n">
        <v>46295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45855</v>
      </c>
      <c r="E167" s="1" t="n">
        <v>46295</v>
      </c>
      <c r="F167" t="inlineStr">
        <is>
          <t>VÄSTERBOTTENS LÄN</t>
        </is>
      </c>
      <c r="G167" t="inlineStr">
        <is>
          <t>DOROTEA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45855</v>
      </c>
      <c r="E168" s="1" t="n">
        <v>46295</v>
      </c>
      <c r="F168" t="inlineStr">
        <is>
          <t>VÄSTERBOTTENS LÄN</t>
        </is>
      </c>
      <c r="G168" t="inlineStr">
        <is>
          <t>DOROTEA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46295</v>
      </c>
      <c r="F169" t="inlineStr">
        <is>
          <t>VÄSTERBOTTENS LÄN</t>
        </is>
      </c>
      <c r="G169" t="inlineStr">
        <is>
          <t>DOROTEA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46295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46295</v>
      </c>
      <c r="F171" t="inlineStr">
        <is>
          <t>VÄSTERBOTTENS LÄN</t>
        </is>
      </c>
      <c r="G171" t="inlineStr">
        <is>
          <t>DOROTEA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45866</v>
      </c>
      <c r="E172" s="1" t="n">
        <v>46295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45463</v>
      </c>
      <c r="E173" s="1" t="n">
        <v>46295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46295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46295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46295</v>
      </c>
      <c r="F176" t="inlineStr">
        <is>
          <t>VÄSTERBOTTENS LÄN</t>
        </is>
      </c>
      <c r="G176" t="inlineStr">
        <is>
          <t>DOROTEA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46295</v>
      </c>
      <c r="F177" t="inlineStr">
        <is>
          <t>VÄSTERBOTTENS LÄN</t>
        </is>
      </c>
      <c r="G177" t="inlineStr">
        <is>
          <t>DOROTEA</t>
        </is>
      </c>
      <c r="I177" t="n">
        <v>11.8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46091</v>
      </c>
      <c r="E178" s="1" t="n">
        <v>46295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46295</v>
      </c>
      <c r="F179" t="inlineStr">
        <is>
          <t>VÄSTERBOTTENS LÄN</t>
        </is>
      </c>
      <c r="G179" t="inlineStr">
        <is>
          <t>DOROTEA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46295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46295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46295</v>
      </c>
      <c r="F182" t="inlineStr">
        <is>
          <t>VÄSTERBOTTENS LÄN</t>
        </is>
      </c>
      <c r="G182" t="inlineStr">
        <is>
          <t>DOROTEA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25028-2024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45461</v>
      </c>
      <c r="E183" s="1" t="n">
        <v>46295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6381-2026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46295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46295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45875</v>
      </c>
      <c r="E186" s="1" t="n">
        <v>46295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37276-2025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45876</v>
      </c>
      <c r="E187" s="1" t="n">
        <v>46295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46295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46054</v>
      </c>
      <c r="E189" s="1" t="n">
        <v>46295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46295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45712</v>
      </c>
      <c r="E191" s="1" t="n">
        <v>46295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46295</v>
      </c>
      <c r="F192" t="inlineStr">
        <is>
          <t>VÄSTERBOTTENS LÄN</t>
        </is>
      </c>
      <c r="G192" t="inlineStr">
        <is>
          <t>DOROTEA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45882</v>
      </c>
      <c r="E193" s="1" t="n">
        <v>46295</v>
      </c>
      <c r="F193" t="inlineStr">
        <is>
          <t>VÄSTERBOTTENS LÄN</t>
        </is>
      </c>
      <c r="G193" t="inlineStr">
        <is>
          <t>DOROTEA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46295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46295</v>
      </c>
      <c r="F195" t="inlineStr">
        <is>
          <t>VÄSTERBOTTENS LÄN</t>
        </is>
      </c>
      <c r="G195" t="inlineStr">
        <is>
          <t>DOROTEA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46295</v>
      </c>
      <c r="F196" t="inlineStr">
        <is>
          <t>VÄSTERBOTTENS LÄN</t>
        </is>
      </c>
      <c r="G196" t="inlineStr">
        <is>
          <t>DOROTEA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46295</v>
      </c>
      <c r="F197" t="inlineStr">
        <is>
          <t>VÄSTERBOTTENS LÄN</t>
        </is>
      </c>
      <c r="G197" t="inlineStr">
        <is>
          <t>DOROTEA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4617-2023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44956</v>
      </c>
      <c r="E198" s="1" t="n">
        <v>46295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46295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46295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46295</v>
      </c>
      <c r="F201" t="inlineStr">
        <is>
          <t>VÄSTERBOTTENS LÄN</t>
        </is>
      </c>
      <c r="G201" t="inlineStr">
        <is>
          <t>DOROTEA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46059</v>
      </c>
      <c r="E202" s="1" t="n">
        <v>46295</v>
      </c>
      <c r="F202" t="inlineStr">
        <is>
          <t>VÄSTERBOTTENS LÄN</t>
        </is>
      </c>
      <c r="G202" t="inlineStr">
        <is>
          <t>DOROTEA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46295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7963-2026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46063</v>
      </c>
      <c r="E204" s="1" t="n">
        <v>46295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46295</v>
      </c>
      <c r="F205" t="inlineStr">
        <is>
          <t>VÄSTERBOTTENS LÄN</t>
        </is>
      </c>
      <c r="G205" t="inlineStr">
        <is>
          <t>DOROTEA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45642</v>
      </c>
      <c r="E206" s="1" t="n">
        <v>46295</v>
      </c>
      <c r="F206" t="inlineStr">
        <is>
          <t>VÄSTERBOTTENS LÄN</t>
        </is>
      </c>
      <c r="G206" t="inlineStr">
        <is>
          <t>DOROTEA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46295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45975</v>
      </c>
      <c r="E208" s="1" t="n">
        <v>46295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46295</v>
      </c>
      <c r="F209" t="inlineStr">
        <is>
          <t>VÄSTERBOTTENS LÄN</t>
        </is>
      </c>
      <c r="G209" t="inlineStr">
        <is>
          <t>DOROTEA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46295</v>
      </c>
      <c r="F210" t="inlineStr">
        <is>
          <t>VÄSTERBOTTENS LÄN</t>
        </is>
      </c>
      <c r="G210" t="inlineStr">
        <is>
          <t>DOROTEA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45977</v>
      </c>
      <c r="E211" s="1" t="n">
        <v>46295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46295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46295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46295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46295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46295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46295</v>
      </c>
      <c r="F217" t="inlineStr">
        <is>
          <t>VÄSTERBOTTENS LÄN</t>
        </is>
      </c>
      <c r="G217" t="inlineStr">
        <is>
          <t>DOROTEA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46295</v>
      </c>
      <c r="F218" t="inlineStr">
        <is>
          <t>VÄSTERBOTTENS LÄN</t>
        </is>
      </c>
      <c r="G218" t="inlineStr">
        <is>
          <t>DOROTEA</t>
        </is>
      </c>
      <c r="I218" t="n">
        <v>20.1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46295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60163-2024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46295</v>
      </c>
      <c r="F220" t="inlineStr">
        <is>
          <t>VÄSTERBOTTENS LÄN</t>
        </is>
      </c>
      <c r="G220" t="inlineStr">
        <is>
          <t>DOROTEA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46295</v>
      </c>
      <c r="F221" t="inlineStr">
        <is>
          <t>VÄSTERBOTTENS LÄN</t>
        </is>
      </c>
      <c r="G221" t="inlineStr">
        <is>
          <t>DOROTEA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45125</v>
      </c>
      <c r="E222" s="1" t="n">
        <v>46295</v>
      </c>
      <c r="F222" t="inlineStr">
        <is>
          <t>VÄSTERBOTTENS LÄN</t>
        </is>
      </c>
      <c r="G222" t="inlineStr">
        <is>
          <t>DOROTEA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46295</v>
      </c>
      <c r="F223" t="inlineStr">
        <is>
          <t>VÄSTERBOTTENS LÄN</t>
        </is>
      </c>
      <c r="G223" t="inlineStr">
        <is>
          <t>DOROTEA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46295</v>
      </c>
      <c r="F224" t="inlineStr">
        <is>
          <t>VÄSTERBOTTENS LÄN</t>
        </is>
      </c>
      <c r="G224" t="inlineStr">
        <is>
          <t>DOROTEA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46295</v>
      </c>
      <c r="F225" t="inlineStr">
        <is>
          <t>VÄSTERBOTTENS LÄN</t>
        </is>
      </c>
      <c r="G225" t="inlineStr">
        <is>
          <t>DOROTEA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46295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46295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46295</v>
      </c>
      <c r="F228" t="inlineStr">
        <is>
          <t>VÄSTERBOTTENS LÄN</t>
        </is>
      </c>
      <c r="G228" t="inlineStr">
        <is>
          <t>DOROTEA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35937-2025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45862</v>
      </c>
      <c r="E229" s="1" t="n">
        <v>46295</v>
      </c>
      <c r="F229" t="inlineStr">
        <is>
          <t>VÄSTERBOTTENS LÄN</t>
        </is>
      </c>
      <c r="G229" t="inlineStr">
        <is>
          <t>DOROTEA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45169</v>
      </c>
      <c r="E230" s="1" t="n">
        <v>46295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46295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46295</v>
      </c>
      <c r="F232" t="inlineStr">
        <is>
          <t>VÄSTERBOTTENS LÄN</t>
        </is>
      </c>
      <c r="G232" t="inlineStr">
        <is>
          <t>DOROTEA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46295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45996</v>
      </c>
      <c r="E234" s="1" t="n">
        <v>46295</v>
      </c>
      <c r="F234" t="inlineStr">
        <is>
          <t>VÄSTERBOTTENS LÄN</t>
        </is>
      </c>
      <c r="G234" t="inlineStr">
        <is>
          <t>DOROTEA</t>
        </is>
      </c>
      <c r="I234" t="n">
        <v>23.9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46295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46295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45720</v>
      </c>
      <c r="E237" s="1" t="n">
        <v>46295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46295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46295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13.2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62193-2025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46003</v>
      </c>
      <c r="E240" s="1" t="n">
        <v>46295</v>
      </c>
      <c r="F240" t="inlineStr">
        <is>
          <t>VÄSTERBOTTENS LÄN</t>
        </is>
      </c>
      <c r="G240" t="inlineStr">
        <is>
          <t>DOROTEA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46295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46295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46295</v>
      </c>
      <c r="F243" t="inlineStr">
        <is>
          <t>VÄSTERBOTTENS LÄN</t>
        </is>
      </c>
      <c r="G243" t="inlineStr">
        <is>
          <t>DOROTEA</t>
        </is>
      </c>
      <c r="I243" t="n">
        <v>16.7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46295</v>
      </c>
      <c r="F244" t="inlineStr">
        <is>
          <t>VÄSTERBOTTENS LÄN</t>
        </is>
      </c>
      <c r="G244" t="inlineStr">
        <is>
          <t>DOROTEA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24003-2025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46295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46295</v>
      </c>
      <c r="F246" t="inlineStr">
        <is>
          <t>VÄSTERBOTTENS LÄN</t>
        </is>
      </c>
      <c r="G246" t="inlineStr">
        <is>
          <t>DOROTEA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45755</v>
      </c>
      <c r="E247" s="1" t="n">
        <v>46295</v>
      </c>
      <c r="F247" t="inlineStr">
        <is>
          <t>VÄSTERBOTTENS LÄN</t>
        </is>
      </c>
      <c r="G247" t="inlineStr">
        <is>
          <t>DOROTEA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46295</v>
      </c>
      <c r="F248" t="inlineStr">
        <is>
          <t>VÄSTERBOTTENS LÄN</t>
        </is>
      </c>
      <c r="G248" t="inlineStr">
        <is>
          <t>DOROTEA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45852</v>
      </c>
      <c r="E249" s="1" t="n">
        <v>46295</v>
      </c>
      <c r="F249" t="inlineStr">
        <is>
          <t>VÄSTERBOTTENS LÄN</t>
        </is>
      </c>
      <c r="G249" t="inlineStr">
        <is>
          <t>DOROTEA</t>
        </is>
      </c>
      <c r="H249" t="inlineStr">
        <is>
          <t>Allmännings- och besparingsskogar</t>
        </is>
      </c>
      <c r="I249" t="n">
        <v>22.1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46295</v>
      </c>
      <c r="F250" t="inlineStr">
        <is>
          <t>VÄSTERBOTTENS LÄN</t>
        </is>
      </c>
      <c r="G250" t="inlineStr">
        <is>
          <t>DOROTEA</t>
        </is>
      </c>
      <c r="H250" t="inlineStr">
        <is>
          <t>Allmännings- och besparingsskogar</t>
        </is>
      </c>
      <c r="I250" t="n">
        <v>20.3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46295</v>
      </c>
      <c r="F251" t="inlineStr">
        <is>
          <t>VÄSTERBOTTENS LÄN</t>
        </is>
      </c>
      <c r="G251" t="inlineStr">
        <is>
          <t>DOROTEA</t>
        </is>
      </c>
      <c r="I251" t="n">
        <v>12.3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46295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9.4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63939-2025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46295</v>
      </c>
      <c r="F253" t="inlineStr">
        <is>
          <t>VÄSTERBOTTENS LÄN</t>
        </is>
      </c>
      <c r="G253" t="inlineStr">
        <is>
          <t>DOROTEA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46295</v>
      </c>
      <c r="F254" t="inlineStr">
        <is>
          <t>VÄSTERBOTTENS LÄN</t>
        </is>
      </c>
      <c r="G254" t="inlineStr">
        <is>
          <t>DOROTEA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45013</v>
      </c>
      <c r="E255" s="1" t="n">
        <v>46295</v>
      </c>
      <c r="F255" t="inlineStr">
        <is>
          <t>VÄSTERBOTTENS LÄN</t>
        </is>
      </c>
      <c r="G255" t="inlineStr">
        <is>
          <t>DOROTEA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46295</v>
      </c>
      <c r="F256" t="inlineStr">
        <is>
          <t>VÄSTERBOTTENS LÄN</t>
        </is>
      </c>
      <c r="G256" t="inlineStr">
        <is>
          <t>DOROTEA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44889</v>
      </c>
      <c r="E257" s="1" t="n">
        <v>46295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46295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46295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46295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46295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33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46295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45111</v>
      </c>
      <c r="E263" s="1" t="n">
        <v>46295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46295</v>
      </c>
      <c r="F264" t="inlineStr">
        <is>
          <t>VÄSTERBOTTENS LÄN</t>
        </is>
      </c>
      <c r="G264" t="inlineStr">
        <is>
          <t>DOROTEA</t>
        </is>
      </c>
      <c r="H264" t="inlineStr">
        <is>
          <t>Kommuner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16985-2026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46295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46295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46295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46295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46123</v>
      </c>
      <c r="E269" s="1" t="n">
        <v>46295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46295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18.3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46295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46295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18310-2026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46295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44568</v>
      </c>
      <c r="E274" s="1" t="n">
        <v>46295</v>
      </c>
      <c r="F274" t="inlineStr">
        <is>
          <t>VÄSTERBOTTENS LÄN</t>
        </is>
      </c>
      <c r="G274" t="inlineStr">
        <is>
          <t>DOROTEA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46295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19445-2026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46133</v>
      </c>
      <c r="E276" s="1" t="n">
        <v>46295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46295</v>
      </c>
      <c r="F277" t="inlineStr">
        <is>
          <t>VÄSTERBOTTENS LÄN</t>
        </is>
      </c>
      <c r="G277" t="inlineStr">
        <is>
          <t>DOROTEA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46295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19446-2026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46295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45561</v>
      </c>
      <c r="E280" s="1" t="n">
        <v>46295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55919-2023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45239</v>
      </c>
      <c r="E281" s="1" t="n">
        <v>46295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46295</v>
      </c>
      <c r="F282" t="inlineStr">
        <is>
          <t>VÄSTERBOTTENS LÄN</t>
        </is>
      </c>
      <c r="G282" t="inlineStr">
        <is>
          <t>DOROTEA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45069</v>
      </c>
      <c r="E283" s="1" t="n">
        <v>46295</v>
      </c>
      <c r="F283" t="inlineStr">
        <is>
          <t>VÄSTERBOTTENS LÄN</t>
        </is>
      </c>
      <c r="G283" t="inlineStr">
        <is>
          <t>DOROTEA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46295</v>
      </c>
      <c r="F284" t="inlineStr">
        <is>
          <t>VÄSTERBOTTENS LÄN</t>
        </is>
      </c>
      <c r="G284" t="inlineStr">
        <is>
          <t>DOROTEA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46295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46295</v>
      </c>
      <c r="F286" t="inlineStr">
        <is>
          <t>VÄSTERBOTTENS LÄN</t>
        </is>
      </c>
      <c r="G286" t="inlineStr">
        <is>
          <t>DOROTEA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46295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44979</v>
      </c>
      <c r="E288" s="1" t="n">
        <v>46295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9.4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45295</v>
      </c>
      <c r="E289" s="1" t="n">
        <v>46295</v>
      </c>
      <c r="F289" t="inlineStr">
        <is>
          <t>VÄSTERBOTTENS LÄN</t>
        </is>
      </c>
      <c r="G289" t="inlineStr">
        <is>
          <t>DOROTEA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46295</v>
      </c>
      <c r="F290" t="inlineStr">
        <is>
          <t>VÄSTERBOTTENS LÄN</t>
        </is>
      </c>
      <c r="G290" t="inlineStr">
        <is>
          <t>DOROTEA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46295</v>
      </c>
      <c r="F291" t="inlineStr">
        <is>
          <t>VÄSTERBOTTENS LÄN</t>
        </is>
      </c>
      <c r="G291" t="inlineStr">
        <is>
          <t>DOROTEA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46295</v>
      </c>
      <c r="F292" t="inlineStr">
        <is>
          <t>VÄSTERBOTTENS LÄN</t>
        </is>
      </c>
      <c r="G292" t="inlineStr">
        <is>
          <t>DOROTEA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46295</v>
      </c>
      <c r="F293" t="inlineStr">
        <is>
          <t>VÄSTERBOTTENS LÄN</t>
        </is>
      </c>
      <c r="G293" t="inlineStr">
        <is>
          <t>DOROTEA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46295</v>
      </c>
      <c r="F294" t="inlineStr">
        <is>
          <t>VÄSTERBOTTENS LÄN</t>
        </is>
      </c>
      <c r="G294" t="inlineStr">
        <is>
          <t>DOROTEA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46295</v>
      </c>
      <c r="F295" t="inlineStr">
        <is>
          <t>VÄSTERBOTTENS LÄN</t>
        </is>
      </c>
      <c r="G295" t="inlineStr">
        <is>
          <t>DOROTEA</t>
        </is>
      </c>
      <c r="I295" t="n">
        <v>31.7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44888</v>
      </c>
      <c r="E296" s="1" t="n">
        <v>46295</v>
      </c>
      <c r="F296" t="inlineStr">
        <is>
          <t>VÄSTERBOTTENS LÄN</t>
        </is>
      </c>
      <c r="G296" t="inlineStr">
        <is>
          <t>DOROTEA</t>
        </is>
      </c>
      <c r="I296" t="n">
        <v>15.8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46295</v>
      </c>
      <c r="F297" t="inlineStr">
        <is>
          <t>VÄSTERBOTTENS LÄN</t>
        </is>
      </c>
      <c r="G297" t="inlineStr">
        <is>
          <t>DOROTEA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46295</v>
      </c>
      <c r="F298" t="inlineStr">
        <is>
          <t>VÄSTERBOTTENS LÄN</t>
        </is>
      </c>
      <c r="G298" t="inlineStr">
        <is>
          <t>DOROTEA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45036</v>
      </c>
      <c r="E299" s="1" t="n">
        <v>46295</v>
      </c>
      <c r="F299" t="inlineStr">
        <is>
          <t>VÄSTERBOTTENS LÄN</t>
        </is>
      </c>
      <c r="G299" t="inlineStr">
        <is>
          <t>DOROTEA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46295</v>
      </c>
      <c r="F300" t="inlineStr">
        <is>
          <t>VÄSTERBOTTENS LÄN</t>
        </is>
      </c>
      <c r="G300" t="inlineStr">
        <is>
          <t>DOROTEA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46295</v>
      </c>
      <c r="F301" t="inlineStr">
        <is>
          <t>VÄSTERBOTTENS LÄN</t>
        </is>
      </c>
      <c r="G301" t="inlineStr">
        <is>
          <t>DOROTEA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45556</v>
      </c>
      <c r="E302" s="1" t="n">
        <v>46295</v>
      </c>
      <c r="F302" t="inlineStr">
        <is>
          <t>VÄSTERBOTTENS LÄN</t>
        </is>
      </c>
      <c r="G302" t="inlineStr">
        <is>
          <t>DOROTEA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46295</v>
      </c>
      <c r="F303" t="inlineStr">
        <is>
          <t>VÄSTERBOTTENS LÄN</t>
        </is>
      </c>
      <c r="G303" t="inlineStr">
        <is>
          <t>DOROTEA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37282-2025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45876</v>
      </c>
      <c r="E304" s="1" t="n">
        <v>46295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8247-2024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45351</v>
      </c>
      <c r="E305" s="1" t="n">
        <v>46295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46295</v>
      </c>
      <c r="F306" t="inlineStr">
        <is>
          <t>VÄSTERBOTTENS LÄN</t>
        </is>
      </c>
      <c r="G306" t="inlineStr">
        <is>
          <t>DOROTEA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46295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46966-2024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45586</v>
      </c>
      <c r="E308" s="1" t="n">
        <v>46295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46295</v>
      </c>
      <c r="F309" t="inlineStr">
        <is>
          <t>VÄSTERBOTTENS LÄN</t>
        </is>
      </c>
      <c r="G309" t="inlineStr">
        <is>
          <t>DOROTEA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46295</v>
      </c>
      <c r="F310" t="inlineStr">
        <is>
          <t>VÄSTERBOTTENS LÄN</t>
        </is>
      </c>
      <c r="G310" t="inlineStr">
        <is>
          <t>DOROTEA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46295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46295</v>
      </c>
      <c r="F312" t="inlineStr">
        <is>
          <t>VÄSTERBOTTENS LÄN</t>
        </is>
      </c>
      <c r="G312" t="inlineStr">
        <is>
          <t>DOROTEA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46295</v>
      </c>
      <c r="F313" t="inlineStr">
        <is>
          <t>VÄSTERBOTTENS LÄN</t>
        </is>
      </c>
      <c r="G313" t="inlineStr">
        <is>
          <t>DOROTEA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46295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46295</v>
      </c>
      <c r="F315" t="inlineStr">
        <is>
          <t>VÄSTERBOTTENS LÄN</t>
        </is>
      </c>
      <c r="G315" t="inlineStr">
        <is>
          <t>DOROTEA</t>
        </is>
      </c>
      <c r="I315" t="n">
        <v>21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45331</v>
      </c>
      <c r="E316" s="1" t="n">
        <v>46295</v>
      </c>
      <c r="F316" t="inlineStr">
        <is>
          <t>VÄSTERBOTTENS LÄN</t>
        </is>
      </c>
      <c r="G316" t="inlineStr">
        <is>
          <t>DOROTEA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46295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46136</v>
      </c>
      <c r="E318" s="1" t="n">
        <v>46295</v>
      </c>
      <c r="F318" t="inlineStr">
        <is>
          <t>VÄSTERBOTTENS LÄN</t>
        </is>
      </c>
      <c r="G318" t="inlineStr">
        <is>
          <t>DOROTEA</t>
        </is>
      </c>
      <c r="I318" t="n">
        <v>17.8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46295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45075</v>
      </c>
      <c r="E320" s="1" t="n">
        <v>46295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46295</v>
      </c>
      <c r="F321" t="inlineStr">
        <is>
          <t>VÄSTERBOTTENS LÄN</t>
        </is>
      </c>
      <c r="G321" t="inlineStr">
        <is>
          <t>DOROTEA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46295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46295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53357-2024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45614</v>
      </c>
      <c r="E324" s="1" t="n">
        <v>46295</v>
      </c>
      <c r="F324" t="inlineStr">
        <is>
          <t>VÄSTERBOTTENS LÄN</t>
        </is>
      </c>
      <c r="G324" t="inlineStr">
        <is>
          <t>DOROTEA</t>
        </is>
      </c>
      <c r="I324" t="n">
        <v>26.5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46147</v>
      </c>
      <c r="E325" s="1" t="n">
        <v>46295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46295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46149</v>
      </c>
      <c r="E327" s="1" t="n">
        <v>46295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46150</v>
      </c>
      <c r="E328" s="1" t="n">
        <v>46295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46150</v>
      </c>
      <c r="E329" s="1" t="n">
        <v>46295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46189</v>
      </c>
      <c r="E330" s="1" t="n">
        <v>46295</v>
      </c>
      <c r="F330" t="inlineStr">
        <is>
          <t>VÄSTERBOTTENS LÄN</t>
        </is>
      </c>
      <c r="G330" t="inlineStr">
        <is>
          <t>DOROTEA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46189</v>
      </c>
      <c r="E331" s="1" t="n">
        <v>46295</v>
      </c>
      <c r="F331" t="inlineStr">
        <is>
          <t>VÄSTERBOTTENS LÄN</t>
        </is>
      </c>
      <c r="G331" t="inlineStr">
        <is>
          <t>DOROTEA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46189</v>
      </c>
      <c r="E332" s="1" t="n">
        <v>46295</v>
      </c>
      <c r="F332" t="inlineStr">
        <is>
          <t>VÄSTERBOTTENS LÄN</t>
        </is>
      </c>
      <c r="G332" t="inlineStr">
        <is>
          <t>DOROTEA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46295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55888-2022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44888</v>
      </c>
      <c r="E334" s="1" t="n">
        <v>46295</v>
      </c>
      <c r="F334" t="inlineStr">
        <is>
          <t>VÄSTERBOTTENS LÄN</t>
        </is>
      </c>
      <c r="G334" t="inlineStr">
        <is>
          <t>DOROTEA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46295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45672</v>
      </c>
      <c r="E336" s="1" t="n">
        <v>46295</v>
      </c>
      <c r="F336" t="inlineStr">
        <is>
          <t>VÄSTERBOTTENS LÄN</t>
        </is>
      </c>
      <c r="G336" t="inlineStr">
        <is>
          <t>DOROTEA</t>
        </is>
      </c>
      <c r="H336" t="inlineStr">
        <is>
          <t>Kommuner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46295</v>
      </c>
      <c r="F337" t="inlineStr">
        <is>
          <t>VÄSTERBOTTENS LÄN</t>
        </is>
      </c>
      <c r="G337" t="inlineStr">
        <is>
          <t>DOROTEA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45747</v>
      </c>
      <c r="E338" s="1" t="n">
        <v>46295</v>
      </c>
      <c r="F338" t="inlineStr">
        <is>
          <t>VÄSTERBOTTENS LÄN</t>
        </is>
      </c>
      <c r="G338" t="inlineStr">
        <is>
          <t>DOROTEA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46295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46295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23001-2026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46160</v>
      </c>
      <c r="E341" s="1" t="n">
        <v>46295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46295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46295</v>
      </c>
      <c r="F343" t="inlineStr">
        <is>
          <t>VÄSTERBOTTENS LÄN</t>
        </is>
      </c>
      <c r="G343" t="inlineStr">
        <is>
          <t>DOROTEA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31497-2024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45505</v>
      </c>
      <c r="E344" s="1" t="n">
        <v>46295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46295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46295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30461-2024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45491</v>
      </c>
      <c r="E347" s="1" t="n">
        <v>46295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45962</v>
      </c>
      <c r="E348" s="1" t="n">
        <v>46295</v>
      </c>
      <c r="F348" t="inlineStr">
        <is>
          <t>VÄSTERBOTTENS LÄN</t>
        </is>
      </c>
      <c r="G348" t="inlineStr">
        <is>
          <t>DOROTEA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46295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46295</v>
      </c>
      <c r="F350" t="inlineStr">
        <is>
          <t>VÄSTERBOTTENS LÄN</t>
        </is>
      </c>
      <c r="G350" t="inlineStr">
        <is>
          <t>DOROTEA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50582-2024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45600</v>
      </c>
      <c r="E351" s="1" t="n">
        <v>46295</v>
      </c>
      <c r="F351" t="inlineStr">
        <is>
          <t>VÄSTERBOTTENS LÄN</t>
        </is>
      </c>
      <c r="G351" t="inlineStr">
        <is>
          <t>DOROTEA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44742</v>
      </c>
      <c r="E352" s="1" t="n">
        <v>46295</v>
      </c>
      <c r="F352" t="inlineStr">
        <is>
          <t>VÄSTERBOTTENS LÄN</t>
        </is>
      </c>
      <c r="G352" t="inlineStr">
        <is>
          <t>DOROTEA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45223</v>
      </c>
      <c r="E353" s="1" t="n">
        <v>46295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46295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46295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46295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40438-2023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45169</v>
      </c>
      <c r="E357" s="1" t="n">
        <v>46295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46295</v>
      </c>
      <c r="F358" t="inlineStr">
        <is>
          <t>VÄSTERBOTTENS LÄN</t>
        </is>
      </c>
      <c r="G358" t="inlineStr">
        <is>
          <t>DOROTEA</t>
        </is>
      </c>
      <c r="I358" t="n">
        <v>26.2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46295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46295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45771</v>
      </c>
      <c r="E361" s="1" t="n">
        <v>46295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46295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46295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44748</v>
      </c>
      <c r="E364" s="1" t="n">
        <v>46295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47494-2023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45202</v>
      </c>
      <c r="E365" s="1" t="n">
        <v>46295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46295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46185</v>
      </c>
      <c r="E367" s="1" t="n">
        <v>46295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44974</v>
      </c>
      <c r="E368" s="1" t="n">
        <v>46295</v>
      </c>
      <c r="F368" t="inlineStr">
        <is>
          <t>VÄSTERBOTTENS LÄN</t>
        </is>
      </c>
      <c r="G368" t="inlineStr">
        <is>
          <t>DOROTEA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27738-2026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46191</v>
      </c>
      <c r="E369" s="1" t="n">
        <v>46295</v>
      </c>
      <c r="F369" t="inlineStr">
        <is>
          <t>VÄSTERBOTTENS LÄN</t>
        </is>
      </c>
      <c r="G369" t="inlineStr">
        <is>
          <t>DOROTEA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46295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46295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57794-2023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45246</v>
      </c>
      <c r="E372" s="1" t="n">
        <v>46295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46295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46295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46295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46295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56807-2021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44481</v>
      </c>
      <c r="E377" s="1" t="n">
        <v>46295</v>
      </c>
      <c r="F377" t="inlineStr">
        <is>
          <t>VÄSTERBOTTENS LÄN</t>
        </is>
      </c>
      <c r="G377" t="inlineStr">
        <is>
          <t>DOROTEA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45642</v>
      </c>
      <c r="E378" s="1" t="n">
        <v>46295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14163-2024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45392</v>
      </c>
      <c r="E379" s="1" t="n">
        <v>46295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46295</v>
      </c>
      <c r="F380" t="inlineStr">
        <is>
          <t>VÄSTERBOTTENS LÄN</t>
        </is>
      </c>
      <c r="G380" t="inlineStr">
        <is>
          <t>DOROTEA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46295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44848</v>
      </c>
      <c r="E382" s="1" t="n">
        <v>46295</v>
      </c>
      <c r="F382" t="inlineStr">
        <is>
          <t>VÄSTERBOTTENS LÄN</t>
        </is>
      </c>
      <c r="G382" t="inlineStr">
        <is>
          <t>DOROTEA</t>
        </is>
      </c>
      <c r="I382" t="n">
        <v>29.8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46295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45565</v>
      </c>
      <c r="E384" s="1" t="n">
        <v>46295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46295</v>
      </c>
      <c r="F385" t="inlineStr">
        <is>
          <t>VÄSTERBOTTENS LÄN</t>
        </is>
      </c>
      <c r="G385" t="inlineStr">
        <is>
          <t>DOROTEA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46295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46965-2024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45586</v>
      </c>
      <c r="E387" s="1" t="n">
        <v>46295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46295</v>
      </c>
      <c r="F388" t="inlineStr">
        <is>
          <t>VÄSTERBOTTENS LÄN</t>
        </is>
      </c>
      <c r="G388" t="inlineStr">
        <is>
          <t>DOROTEA</t>
        </is>
      </c>
      <c r="I388" t="n">
        <v>18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46295</v>
      </c>
      <c r="F389" t="inlineStr">
        <is>
          <t>VÄSTERBOTTENS LÄN</t>
        </is>
      </c>
      <c r="G389" t="inlineStr">
        <is>
          <t>DOROTEA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46211</v>
      </c>
      <c r="E390" s="1" t="n">
        <v>46295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46211</v>
      </c>
      <c r="E391" s="1" t="n">
        <v>46295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46295</v>
      </c>
      <c r="F392" t="inlineStr">
        <is>
          <t>VÄSTERBOTTENS LÄN</t>
        </is>
      </c>
      <c r="G392" t="inlineStr">
        <is>
          <t>DOROTEA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46295</v>
      </c>
      <c r="F393" t="inlineStr">
        <is>
          <t>VÄSTERBOTTENS LÄN</t>
        </is>
      </c>
      <c r="G393" t="inlineStr">
        <is>
          <t>DOROTEA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46295</v>
      </c>
      <c r="F394" t="inlineStr">
        <is>
          <t>VÄSTERBOTTENS LÄN</t>
        </is>
      </c>
      <c r="G394" t="inlineStr">
        <is>
          <t>DOROTEA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45562</v>
      </c>
      <c r="E395" s="1" t="n">
        <v>46295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46295</v>
      </c>
      <c r="F396" t="inlineStr">
        <is>
          <t>VÄSTERBOTTENS LÄN</t>
        </is>
      </c>
      <c r="G396" t="inlineStr">
        <is>
          <t>DOROTEA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46212</v>
      </c>
      <c r="E397" s="1" t="n">
        <v>46295</v>
      </c>
      <c r="F397" t="inlineStr">
        <is>
          <t>VÄSTERBOTTENS LÄN</t>
        </is>
      </c>
      <c r="G397" t="inlineStr">
        <is>
          <t>DOROTEA</t>
        </is>
      </c>
      <c r="I397" t="n">
        <v>8.4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46212</v>
      </c>
      <c r="E398" s="1" t="n">
        <v>46295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46213</v>
      </c>
      <c r="E399" s="1" t="n">
        <v>46295</v>
      </c>
      <c r="F399" t="inlineStr">
        <is>
          <t>VÄSTERBOTTENS LÄN</t>
        </is>
      </c>
      <c r="G399" t="inlineStr">
        <is>
          <t>DOROTEA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46295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46213</v>
      </c>
      <c r="E401" s="1" t="n">
        <v>46295</v>
      </c>
      <c r="F401" t="inlineStr">
        <is>
          <t>VÄSTERBOTTENS LÄN</t>
        </is>
      </c>
      <c r="G401" t="inlineStr">
        <is>
          <t>DOROTEA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27477-2023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45097</v>
      </c>
      <c r="E402" s="1" t="n">
        <v>46295</v>
      </c>
      <c r="F402" t="inlineStr">
        <is>
          <t>VÄSTERBOTTENS LÄN</t>
        </is>
      </c>
      <c r="G402" t="inlineStr">
        <is>
          <t>DOROTEA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44942</v>
      </c>
      <c r="E403" s="1" t="n">
        <v>46295</v>
      </c>
      <c r="F403" t="inlineStr">
        <is>
          <t>VÄSTERBOTTENS LÄN</t>
        </is>
      </c>
      <c r="G403" t="inlineStr">
        <is>
          <t>DOROTEA</t>
        </is>
      </c>
      <c r="I403" t="n">
        <v>22.7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46295</v>
      </c>
      <c r="F404" t="inlineStr">
        <is>
          <t>VÄSTERBOTTENS LÄN</t>
        </is>
      </c>
      <c r="G404" t="inlineStr">
        <is>
          <t>DOROTEA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46217</v>
      </c>
      <c r="E405" s="1" t="n">
        <v>46295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46217</v>
      </c>
      <c r="E406" s="1" t="n">
        <v>46295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31259-2026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46218</v>
      </c>
      <c r="E407" s="1" t="n">
        <v>46295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46218</v>
      </c>
      <c r="E408" s="1" t="n">
        <v>46295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46261</v>
      </c>
      <c r="E409" s="1" t="n">
        <v>46295</v>
      </c>
      <c r="F409" t="inlineStr">
        <is>
          <t>VÄSTERBOTTENS LÄN</t>
        </is>
      </c>
      <c r="G409" t="inlineStr">
        <is>
          <t>DOROTEA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35353-2026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46261</v>
      </c>
      <c r="E410" s="1" t="n">
        <v>46295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46295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46261</v>
      </c>
      <c r="E412" s="1" t="n">
        <v>46295</v>
      </c>
      <c r="F412" t="inlineStr">
        <is>
          <t>VÄSTERBOTTENS LÄN</t>
        </is>
      </c>
      <c r="G412" t="inlineStr">
        <is>
          <t>DOROTEA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46261</v>
      </c>
      <c r="E413" s="1" t="n">
        <v>46295</v>
      </c>
      <c r="F413" t="inlineStr">
        <is>
          <t>VÄSTERBOTTENS LÄN</t>
        </is>
      </c>
      <c r="G413" t="inlineStr">
        <is>
          <t>DOROTEA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46295</v>
      </c>
      <c r="F414" t="inlineStr">
        <is>
          <t>VÄSTERBOTTENS LÄN</t>
        </is>
      </c>
      <c r="G414" t="inlineStr">
        <is>
          <t>DOROTEA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46261</v>
      </c>
      <c r="E415" s="1" t="n">
        <v>46295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45448</v>
      </c>
      <c r="E416" s="1" t="n">
        <v>46295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46262</v>
      </c>
      <c r="E417" s="1" t="n">
        <v>46295</v>
      </c>
      <c r="F417" t="inlineStr">
        <is>
          <t>VÄSTERBOTTENS LÄN</t>
        </is>
      </c>
      <c r="G417" t="inlineStr">
        <is>
          <t>DOROTEA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46218</v>
      </c>
      <c r="E418" s="1" t="n">
        <v>46295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45356</v>
      </c>
      <c r="E419" s="1" t="n">
        <v>46295</v>
      </c>
      <c r="F419" t="inlineStr">
        <is>
          <t>VÄSTERBOTTENS LÄN</t>
        </is>
      </c>
      <c r="G419" t="inlineStr">
        <is>
          <t>DOROTEA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46220</v>
      </c>
      <c r="E420" s="1" t="n">
        <v>46295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46295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8246-2024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45351</v>
      </c>
      <c r="E422" s="1" t="n">
        <v>46295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46224</v>
      </c>
      <c r="E423" s="1" t="n">
        <v>46295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46268</v>
      </c>
      <c r="E424" s="1" t="n">
        <v>46295</v>
      </c>
      <c r="F424" t="inlineStr">
        <is>
          <t>VÄSTERBOTTENS LÄN</t>
        </is>
      </c>
      <c r="G424" t="inlineStr">
        <is>
          <t>DOROTEA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46224</v>
      </c>
      <c r="E425" s="1" t="n">
        <v>46295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31574-2026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46224</v>
      </c>
      <c r="E426" s="1" t="n">
        <v>46295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45253</v>
      </c>
      <c r="E427" s="1" t="n">
        <v>46295</v>
      </c>
      <c r="F427" t="inlineStr">
        <is>
          <t>VÄSTERBOTTENS LÄN</t>
        </is>
      </c>
      <c r="G427" t="inlineStr">
        <is>
          <t>DOROTEA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45253</v>
      </c>
      <c r="E428" s="1" t="n">
        <v>46295</v>
      </c>
      <c r="F428" t="inlineStr">
        <is>
          <t>VÄSTERBOTTENS LÄN</t>
        </is>
      </c>
      <c r="G428" t="inlineStr">
        <is>
          <t>DOROTEA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45055</v>
      </c>
      <c r="E429" s="1" t="n">
        <v>46295</v>
      </c>
      <c r="F429" t="inlineStr">
        <is>
          <t>VÄSTERBOTTENS LÄN</t>
        </is>
      </c>
      <c r="G429" t="inlineStr">
        <is>
          <t>DOROTEA</t>
        </is>
      </c>
      <c r="H429" t="inlineStr">
        <is>
          <t>Övriga statliga verk och myndigheter</t>
        </is>
      </c>
      <c r="I429" t="n">
        <v>13.9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67686-2021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46295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32821-2024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45516</v>
      </c>
      <c r="E431" s="1" t="n">
        <v>46295</v>
      </c>
      <c r="F431" t="inlineStr">
        <is>
          <t>VÄSTERBOTTENS LÄN</t>
        </is>
      </c>
      <c r="G431" t="inlineStr">
        <is>
          <t>DOROTEA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44889</v>
      </c>
      <c r="E432" s="1" t="n">
        <v>46295</v>
      </c>
      <c r="F432" t="inlineStr">
        <is>
          <t>VÄSTERBOTTENS LÄN</t>
        </is>
      </c>
      <c r="G432" t="inlineStr">
        <is>
          <t>DOROTEA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34107-2023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45125</v>
      </c>
      <c r="E433" s="1" t="n">
        <v>46295</v>
      </c>
      <c r="F433" t="inlineStr">
        <is>
          <t>VÄSTERBOTTENS LÄN</t>
        </is>
      </c>
      <c r="G433" t="inlineStr">
        <is>
          <t>DOROTEA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46295</v>
      </c>
      <c r="F434" t="inlineStr">
        <is>
          <t>VÄSTERBOTTENS LÄN</t>
        </is>
      </c>
      <c r="G434" t="inlineStr">
        <is>
          <t>DOROTEA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52276-2023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46295</v>
      </c>
      <c r="F435" t="inlineStr">
        <is>
          <t>VÄSTERBOTTENS LÄN</t>
        </is>
      </c>
      <c r="G435" t="inlineStr">
        <is>
          <t>DOROTEA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46279</v>
      </c>
      <c r="E436" s="1" t="n">
        <v>46295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53795-2022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46295</v>
      </c>
      <c r="F437" t="inlineStr">
        <is>
          <t>VÄSTERBOTTENS LÄN</t>
        </is>
      </c>
      <c r="G437" t="inlineStr">
        <is>
          <t>DOROTEA</t>
        </is>
      </c>
      <c r="I437" t="n">
        <v>12.3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45735</v>
      </c>
      <c r="E438" s="1" t="n">
        <v>46295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38087-2026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46281</v>
      </c>
      <c r="E439" s="1" t="n">
        <v>46295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45223</v>
      </c>
      <c r="E440" s="1" t="n">
        <v>46295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46282</v>
      </c>
      <c r="E441" s="1" t="n">
        <v>46295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22450-2024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45446</v>
      </c>
      <c r="E442" s="1" t="n">
        <v>46295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60153-2024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45642</v>
      </c>
      <c r="E443" s="1" t="n">
        <v>46295</v>
      </c>
      <c r="F443" t="inlineStr">
        <is>
          <t>VÄSTERBOTTENS LÄN</t>
        </is>
      </c>
      <c r="G443" t="inlineStr">
        <is>
          <t>DOROTEA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46295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60015-2023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45257</v>
      </c>
      <c r="E445" s="1" t="n">
        <v>46295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45315</v>
      </c>
      <c r="E446" s="1" t="n">
        <v>46295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10402-2025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45720</v>
      </c>
      <c r="E447" s="1" t="n">
        <v>46295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45253</v>
      </c>
      <c r="E448" s="1" t="n">
        <v>46295</v>
      </c>
      <c r="F448" t="inlineStr">
        <is>
          <t>VÄSTERBOTTENS LÄN</t>
        </is>
      </c>
      <c r="G448" t="inlineStr">
        <is>
          <t>DOROTEA</t>
        </is>
      </c>
      <c r="I448" t="n">
        <v>28.8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39088-2026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46295</v>
      </c>
      <c r="F449" t="inlineStr">
        <is>
          <t>VÄSTERBOTTENS LÄN</t>
        </is>
      </c>
      <c r="G449" t="inlineStr">
        <is>
          <t>DOROTEA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27305-2024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45471</v>
      </c>
      <c r="E450" s="1" t="n">
        <v>46295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28549-2023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46295</v>
      </c>
      <c r="F451" t="inlineStr">
        <is>
          <t>VÄSTERBOTTENS LÄN</t>
        </is>
      </c>
      <c r="G451" t="inlineStr">
        <is>
          <t>DOROTEA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46247</v>
      </c>
      <c r="E452" s="1" t="n">
        <v>46295</v>
      </c>
      <c r="F452" t="inlineStr">
        <is>
          <t>VÄSTERBOTTENS LÄN</t>
        </is>
      </c>
      <c r="G452" t="inlineStr">
        <is>
          <t>DOROTEA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46295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46295</v>
      </c>
      <c r="F454" t="inlineStr">
        <is>
          <t>VÄSTERBOTTENS LÄN</t>
        </is>
      </c>
      <c r="G454" t="inlineStr">
        <is>
          <t>DOROTEA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45614</v>
      </c>
      <c r="E455" s="1" t="n">
        <v>46295</v>
      </c>
      <c r="F455" t="inlineStr">
        <is>
          <t>VÄSTERBOTTENS LÄN</t>
        </is>
      </c>
      <c r="G455" t="inlineStr">
        <is>
          <t>DOROTEA</t>
        </is>
      </c>
      <c r="I455" t="n">
        <v>11.2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46295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46293</v>
      </c>
      <c r="E457" s="1" t="n">
        <v>46295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46295</v>
      </c>
      <c r="F458" t="inlineStr">
        <is>
          <t>VÄSTERBOTTENS LÄN</t>
        </is>
      </c>
      <c r="G458" t="inlineStr">
        <is>
          <t>DOROTEA</t>
        </is>
      </c>
      <c r="H458" t="inlineStr">
        <is>
          <t>Allmännings- och besparingsskogar</t>
        </is>
      </c>
      <c r="I458" t="n">
        <v>12.6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45789</v>
      </c>
      <c r="E459" s="1" t="n">
        <v>46295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33738-2024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46295</v>
      </c>
      <c r="F460" t="inlineStr">
        <is>
          <t>VÄSTERBOTTENS LÄN</t>
        </is>
      </c>
      <c r="G460" t="inlineStr">
        <is>
          <t>DOROTEA</t>
        </is>
      </c>
      <c r="I460" t="n">
        <v>11.1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46248</v>
      </c>
      <c r="E461" s="1" t="n">
        <v>46295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46265</v>
      </c>
      <c r="E462" s="1" t="n">
        <v>46295</v>
      </c>
      <c r="F462" t="inlineStr">
        <is>
          <t>VÄSTERBOTTENS LÄN</t>
        </is>
      </c>
      <c r="G462" t="inlineStr">
        <is>
          <t>DOROTEA</t>
        </is>
      </c>
      <c r="H462" t="inlineStr">
        <is>
          <t>Allmännings- och besparingsskogar</t>
        </is>
      </c>
      <c r="I462" t="n">
        <v>16.4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46295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46295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46295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46295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46295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46295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2407-2026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46279</v>
      </c>
      <c r="E469" s="1" t="n">
        <v>46295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46295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2026-09-30T02:02:04Z</dcterms:created>
  <dcterms:modified xmlns:dcterms="http://purl.org/dc/terms/" xmlns:xsi="http://www.w3.org/2001/XMLSchema-instance" xsi:type="dcterms:W3CDTF">2026-09-30T02:02:04Z</dcterms:modified>
</cp:coreProperties>
</file>