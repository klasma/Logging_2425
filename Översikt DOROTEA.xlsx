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46286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46286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46286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46286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46286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46286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46286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46286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46286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46286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46286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46286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46286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46286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46286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46286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46286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46286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46286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46286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46286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46286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46286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46286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46286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46286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46286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46286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46286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46286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46286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46286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46286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46286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46286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46286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1278-2024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45302</v>
      </c>
      <c r="E43" s="1" t="n">
        <v>46286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1.3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Gräddticka</t>
        </is>
      </c>
      <c r="W43">
        <f>HYPERLINK("https://klasma.github.io/Logging_2425/artfynd/A 1278-2024 artfynd.xlsx", "A 1278-2024")</f>
        <v/>
      </c>
      <c r="X43">
        <f>HYPERLINK("https://klasma.github.io/Logging_2425/kartor/A 1278-2024 karta.png", "A 1278-2024")</f>
        <v/>
      </c>
      <c r="Y43">
        <f>HYPERLINK("https://klasma.github.io/Logging_2425/kartor_geotiff/A 1278-2024 georefererad karta.tif", "A 1278-2024")</f>
        <v/>
      </c>
      <c r="AA43">
        <f>HYPERLINK("https://klasma.github.io/Logging_2425/klagomål/A 1278-2024 FSC-klagomål.docx", "A 1278-2024")</f>
        <v/>
      </c>
      <c r="AB43">
        <f>HYPERLINK("https://klasma.github.io/Logging_2425/klagomålsmail/A 1278-2024 FSC-klagomål mail.docx", "A 1278-2024")</f>
        <v/>
      </c>
      <c r="AC43">
        <f>HYPERLINK("https://klasma.github.io/Logging_2425/tillsyn/A 1278-2024 tillsynsbegäran.docx", "A 1278-2024")</f>
        <v/>
      </c>
      <c r="AD43">
        <f>HYPERLINK("https://klasma.github.io/Logging_2425/tillsynsmail/A 1278-2024 tillsynsbegäran mail.docx", "A 1278-2024")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46286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46286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46286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46286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46286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20600-2023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45057</v>
      </c>
      <c r="E49" s="1" t="n">
        <v>46286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HYPERLINK("https://klasma.github.io/Logging_2425/artfynd/A 20600-2023 artfynd.xlsx", "A 20600-2023")</f>
        <v/>
      </c>
      <c r="X49">
        <f>HYPERLINK("https://klasma.github.io/Logging_2425/kartor/A 20600-2023 karta.png", "A 20600-2023")</f>
        <v/>
      </c>
      <c r="Y49">
        <f>HYPERLINK("https://klasma.github.io/Logging_2425/kartor_geotiff/A 20600-2023 georefererad karta.tif", "A 20600-2023")</f>
        <v/>
      </c>
      <c r="AA49">
        <f>HYPERLINK("https://klasma.github.io/Logging_2425/klagomål/A 20600-2023 FSC-klagomål.docx", "A 20600-2023")</f>
        <v/>
      </c>
      <c r="AB49">
        <f>HYPERLINK("https://klasma.github.io/Logging_2425/klagomålsmail/A 20600-2023 FSC-klagomål mail.docx", "A 20600-2023")</f>
        <v/>
      </c>
      <c r="AC49">
        <f>HYPERLINK("https://klasma.github.io/Logging_2425/tillsyn/A 20600-2023 tillsynsbegäran.docx", "A 20600-2023")</f>
        <v/>
      </c>
      <c r="AD49">
        <f>HYPERLINK("https://klasma.github.io/Logging_2425/tillsynsmail/A 20600-2023 tillsynsbegäran mail.docx", "A 20600-2023")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46286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46286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35297-2026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46286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5.5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35297-2026 artfynd.xlsx", "A 35297-2026")</f>
        <v/>
      </c>
      <c r="X52">
        <f>HYPERLINK("https://klasma.github.io/Logging_2425/kartor/A 35297-2026 karta.png", "A 35297-2026")</f>
        <v/>
      </c>
      <c r="Y52">
        <f>HYPERLINK("https://klasma.github.io/Logging_2425/kartor_geotiff/A 35297-2026 georefererad karta.tif", "A 35297-2026")</f>
        <v/>
      </c>
      <c r="AA52">
        <f>HYPERLINK("https://klasma.github.io/Logging_2425/klagomål/A 35297-2026 FSC-klagomål.docx", "A 35297-2026")</f>
        <v/>
      </c>
      <c r="AB52">
        <f>HYPERLINK("https://klasma.github.io/Logging_2425/klagomålsmail/A 35297-2026 FSC-klagomål mail.docx", "A 35297-2026")</f>
        <v/>
      </c>
      <c r="AC52">
        <f>HYPERLINK("https://klasma.github.io/Logging_2425/tillsyn/A 35297-2026 tillsynsbegäran.docx", "A 35297-2026")</f>
        <v/>
      </c>
      <c r="AD52">
        <f>HYPERLINK("https://klasma.github.io/Logging_2425/tillsynsmail/A 35297-2026 tillsynsbegäran mail.docx", "A 35297-2026")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46286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46286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46286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46286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46286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46286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46286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46286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46286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46286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46286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46286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46286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46286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46286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46286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46286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46286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46286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46286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46286</v>
      </c>
      <c r="F77" t="inlineStr">
        <is>
          <t>VÄSTERBOTTENS LÄN</t>
        </is>
      </c>
      <c r="G77" t="inlineStr">
        <is>
          <t>DOROTEA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46286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45036</v>
      </c>
      <c r="E79" s="1" t="n">
        <v>46286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46286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46286</v>
      </c>
      <c r="F81" t="inlineStr">
        <is>
          <t>VÄSTERBOTTENS LÄN</t>
        </is>
      </c>
      <c r="G81" t="inlineStr">
        <is>
          <t>DOROTEA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46286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46286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46286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46286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46286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46286</v>
      </c>
      <c r="F87" t="inlineStr">
        <is>
          <t>VÄSTERBOTTENS LÄN</t>
        </is>
      </c>
      <c r="G87" t="inlineStr">
        <is>
          <t>DOROTEA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25028-2024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45461</v>
      </c>
      <c r="E88" s="1" t="n">
        <v>46286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46286</v>
      </c>
      <c r="F89" t="inlineStr">
        <is>
          <t>VÄSTERBOTTENS LÄN</t>
        </is>
      </c>
      <c r="G89" t="inlineStr">
        <is>
          <t>DOROTEA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45735</v>
      </c>
      <c r="E90" s="1" t="n">
        <v>46286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46286</v>
      </c>
      <c r="F91" t="inlineStr">
        <is>
          <t>VÄSTERBOTTENS LÄN</t>
        </is>
      </c>
      <c r="G91" t="inlineStr">
        <is>
          <t>DOROTEA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46286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46286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48006-2023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45198</v>
      </c>
      <c r="E94" s="1" t="n">
        <v>46286</v>
      </c>
      <c r="F94" t="inlineStr">
        <is>
          <t>VÄSTERBOTTENS LÄN</t>
        </is>
      </c>
      <c r="G94" t="inlineStr">
        <is>
          <t>DOROTEA</t>
        </is>
      </c>
      <c r="H94" t="inlineStr">
        <is>
          <t>Övriga statliga verk och myndigheter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45228</v>
      </c>
      <c r="E95" s="1" t="n">
        <v>46286</v>
      </c>
      <c r="F95" t="inlineStr">
        <is>
          <t>VÄSTERBOTTENS LÄN</t>
        </is>
      </c>
      <c r="G95" t="inlineStr">
        <is>
          <t>DOROTEA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45228</v>
      </c>
      <c r="E96" s="1" t="n">
        <v>46286</v>
      </c>
      <c r="F96" t="inlineStr">
        <is>
          <t>VÄSTERBOTTENS LÄN</t>
        </is>
      </c>
      <c r="G96" t="inlineStr">
        <is>
          <t>DOROTEA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46286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14806-2023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45013</v>
      </c>
      <c r="E98" s="1" t="n">
        <v>46286</v>
      </c>
      <c r="F98" t="inlineStr">
        <is>
          <t>VÄSTERBOTTENS LÄN</t>
        </is>
      </c>
      <c r="G98" t="inlineStr">
        <is>
          <t>DOROTEA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46965-2024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45586</v>
      </c>
      <c r="E99" s="1" t="n">
        <v>46286</v>
      </c>
      <c r="F99" t="inlineStr">
        <is>
          <t>VÄSTERBOTTENS LÄN</t>
        </is>
      </c>
      <c r="G99" t="inlineStr">
        <is>
          <t>DOROTEA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45720</v>
      </c>
      <c r="E100" s="1" t="n">
        <v>46286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45356</v>
      </c>
      <c r="E101" s="1" t="n">
        <v>46286</v>
      </c>
      <c r="F101" t="inlineStr">
        <is>
          <t>VÄSTERBOTTENS LÄN</t>
        </is>
      </c>
      <c r="G101" t="inlineStr">
        <is>
          <t>DOROTEA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27305-2024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45471</v>
      </c>
      <c r="E102" s="1" t="n">
        <v>46286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46286</v>
      </c>
      <c r="F103" t="inlineStr">
        <is>
          <t>VÄSTERBOTTENS LÄN</t>
        </is>
      </c>
      <c r="G103" t="inlineStr">
        <is>
          <t>DOROTEA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45331</v>
      </c>
      <c r="E104" s="1" t="n">
        <v>46286</v>
      </c>
      <c r="F104" t="inlineStr">
        <is>
          <t>VÄSTERBOTTENS LÄN</t>
        </is>
      </c>
      <c r="G104" t="inlineStr">
        <is>
          <t>DOROTEA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46286</v>
      </c>
      <c r="F105" t="inlineStr">
        <is>
          <t>VÄSTERBOTTENS LÄN</t>
        </is>
      </c>
      <c r="G105" t="inlineStr">
        <is>
          <t>DOROTEA</t>
        </is>
      </c>
      <c r="I105" t="n">
        <v>13.3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44889</v>
      </c>
      <c r="E106" s="1" t="n">
        <v>46286</v>
      </c>
      <c r="F106" t="inlineStr">
        <is>
          <t>VÄSTERBOTTENS LÄN</t>
        </is>
      </c>
      <c r="G106" t="inlineStr">
        <is>
          <t>DOROTEA</t>
        </is>
      </c>
      <c r="I106" t="n">
        <v>15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46139</v>
      </c>
      <c r="E107" s="1" t="n">
        <v>46286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46286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20332-2026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46286</v>
      </c>
      <c r="F109" t="inlineStr">
        <is>
          <t>VÄSTERBOTTENS LÄN</t>
        </is>
      </c>
      <c r="G109" t="inlineStr">
        <is>
          <t>DOROTEA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46286</v>
      </c>
      <c r="F110" t="inlineStr">
        <is>
          <t>VÄSTERBOTTENS LÄN</t>
        </is>
      </c>
      <c r="G110" t="inlineStr">
        <is>
          <t>DOROTEA</t>
        </is>
      </c>
      <c r="I110" t="n">
        <v>6.1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46286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46286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46010</v>
      </c>
      <c r="E113" s="1" t="n">
        <v>46286</v>
      </c>
      <c r="F113" t="inlineStr">
        <is>
          <t>VÄSTERBOTTENS LÄN</t>
        </is>
      </c>
      <c r="G113" t="inlineStr">
        <is>
          <t>DOROTEA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45893</v>
      </c>
      <c r="E114" s="1" t="n">
        <v>46286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46286</v>
      </c>
      <c r="F115" t="inlineStr">
        <is>
          <t>VÄSTERBOTTENS LÄN</t>
        </is>
      </c>
      <c r="G115" t="inlineStr">
        <is>
          <t>DOROTEA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46286</v>
      </c>
      <c r="F116" t="inlineStr">
        <is>
          <t>VÄSTERBOTTENS LÄN</t>
        </is>
      </c>
      <c r="G116" t="inlineStr">
        <is>
          <t>DOROTEA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46286</v>
      </c>
      <c r="F117" t="inlineStr">
        <is>
          <t>VÄSTERBOTTENS LÄN</t>
        </is>
      </c>
      <c r="G117" t="inlineStr">
        <is>
          <t>DOROTEA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45855</v>
      </c>
      <c r="E118" s="1" t="n">
        <v>46286</v>
      </c>
      <c r="F118" t="inlineStr">
        <is>
          <t>VÄSTERBOTTENS LÄN</t>
        </is>
      </c>
      <c r="G118" t="inlineStr">
        <is>
          <t>DOROTEA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45898</v>
      </c>
      <c r="E119" s="1" t="n">
        <v>46286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45483</v>
      </c>
      <c r="E120" s="1" t="n">
        <v>46286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46286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46286</v>
      </c>
      <c r="F122" t="inlineStr">
        <is>
          <t>VÄSTERBOTTENS LÄN</t>
        </is>
      </c>
      <c r="G122" t="inlineStr">
        <is>
          <t>DOROTEA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46286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46286</v>
      </c>
      <c r="F124" t="inlineStr">
        <is>
          <t>VÄSTERBOTTENS LÄN</t>
        </is>
      </c>
      <c r="G124" t="inlineStr">
        <is>
          <t>DOROTEA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45611</v>
      </c>
      <c r="E125" s="1" t="n">
        <v>46286</v>
      </c>
      <c r="F125" t="inlineStr">
        <is>
          <t>VÄSTERBOTTENS LÄN</t>
        </is>
      </c>
      <c r="G125" t="inlineStr">
        <is>
          <t>DOROTEA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46286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46286</v>
      </c>
      <c r="F127" t="inlineStr">
        <is>
          <t>VÄSTERBOTTENS LÄN</t>
        </is>
      </c>
      <c r="G127" t="inlineStr">
        <is>
          <t>DOROTEA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46286</v>
      </c>
      <c r="F128" t="inlineStr">
        <is>
          <t>VÄSTERBOTTENS LÄN</t>
        </is>
      </c>
      <c r="G128" t="inlineStr">
        <is>
          <t>DOROTEA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45295</v>
      </c>
      <c r="E129" s="1" t="n">
        <v>46286</v>
      </c>
      <c r="F129" t="inlineStr">
        <is>
          <t>VÄSTERBOTTENS LÄN</t>
        </is>
      </c>
      <c r="G129" t="inlineStr">
        <is>
          <t>DOROTEA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20680-2026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46286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46286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46286</v>
      </c>
      <c r="F132" t="inlineStr">
        <is>
          <t>VÄSTERBOTTENS LÄN</t>
        </is>
      </c>
      <c r="G132" t="inlineStr">
        <is>
          <t>DOROTEA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46286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44190-2025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46286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46286</v>
      </c>
      <c r="F135" t="inlineStr">
        <is>
          <t>VÄSTERBOTTENS LÄN</t>
        </is>
      </c>
      <c r="G135" t="inlineStr">
        <is>
          <t>DOROTEA</t>
        </is>
      </c>
      <c r="I135" t="n">
        <v>17.8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46286</v>
      </c>
      <c r="F136" t="inlineStr">
        <is>
          <t>VÄSTERBOTTENS LÄN</t>
        </is>
      </c>
      <c r="G136" t="inlineStr">
        <is>
          <t>DOROTEA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46286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45912</v>
      </c>
      <c r="E138" s="1" t="n">
        <v>46286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46286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46286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19657-2025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46286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46286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44282-2025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45916</v>
      </c>
      <c r="E143" s="1" t="n">
        <v>46286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46286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Övriga statliga verk och myndigheter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46286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46286</v>
      </c>
      <c r="F146" t="inlineStr">
        <is>
          <t>VÄSTERBOTTENS LÄN</t>
        </is>
      </c>
      <c r="G146" t="inlineStr">
        <is>
          <t>DOROTEA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46286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46286</v>
      </c>
      <c r="F148" t="inlineStr">
        <is>
          <t>VÄSTERBOTTENS LÄN</t>
        </is>
      </c>
      <c r="G148" t="inlineStr">
        <is>
          <t>DOROTEA</t>
        </is>
      </c>
      <c r="I148" t="n">
        <v>31.7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46286</v>
      </c>
      <c r="F149" t="inlineStr">
        <is>
          <t>VÄSTERBOTTENS LÄN</t>
        </is>
      </c>
      <c r="G149" t="inlineStr">
        <is>
          <t>DOROTEA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46286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46286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46286</v>
      </c>
      <c r="F152" t="inlineStr">
        <is>
          <t>VÄSTERBOTTENS LÄN</t>
        </is>
      </c>
      <c r="G152" t="inlineStr">
        <is>
          <t>DOROTEA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45672</v>
      </c>
      <c r="E153" s="1" t="n">
        <v>46286</v>
      </c>
      <c r="F153" t="inlineStr">
        <is>
          <t>VÄSTERBOTTENS LÄN</t>
        </is>
      </c>
      <c r="G153" t="inlineStr">
        <is>
          <t>DOROTEA</t>
        </is>
      </c>
      <c r="H153" t="inlineStr">
        <is>
          <t>Kommuner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46286</v>
      </c>
      <c r="F154" t="inlineStr">
        <is>
          <t>VÄSTERBOTTENS LÄN</t>
        </is>
      </c>
      <c r="G154" t="inlineStr">
        <is>
          <t>DOROTEA</t>
        </is>
      </c>
      <c r="I154" t="n">
        <v>28.8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46286</v>
      </c>
      <c r="F155" t="inlineStr">
        <is>
          <t>VÄSTERBOTTENS LÄN</t>
        </is>
      </c>
      <c r="G155" t="inlineStr">
        <is>
          <t>DOROTEA</t>
        </is>
      </c>
      <c r="I155" t="n">
        <v>21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46286</v>
      </c>
      <c r="F156" t="inlineStr">
        <is>
          <t>VÄSTERBOTTENS LÄN</t>
        </is>
      </c>
      <c r="G156" t="inlineStr">
        <is>
          <t>DOROTEA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46286</v>
      </c>
      <c r="F157" t="inlineStr">
        <is>
          <t>VÄSTERBOTTENS LÄN</t>
        </is>
      </c>
      <c r="G157" t="inlineStr">
        <is>
          <t>DOROTEA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45866</v>
      </c>
      <c r="E158" s="1" t="n">
        <v>46286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44971</v>
      </c>
      <c r="E159" s="1" t="n">
        <v>46286</v>
      </c>
      <c r="F159" t="inlineStr">
        <is>
          <t>VÄSTERBOTTENS LÄN</t>
        </is>
      </c>
      <c r="G159" t="inlineStr">
        <is>
          <t>DOROTEA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46286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46286</v>
      </c>
      <c r="F161" t="inlineStr">
        <is>
          <t>VÄSTERBOTTENS LÄN</t>
        </is>
      </c>
      <c r="G161" t="inlineStr">
        <is>
          <t>DOROTEA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46286</v>
      </c>
      <c r="F162" t="inlineStr">
        <is>
          <t>VÄSTERBOTTENS LÄN</t>
        </is>
      </c>
      <c r="G162" t="inlineStr">
        <is>
          <t>DOROTEA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46286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46286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46286</v>
      </c>
      <c r="F165" t="inlineStr">
        <is>
          <t>VÄSTERBOTTENS LÄN</t>
        </is>
      </c>
      <c r="G165" t="inlineStr">
        <is>
          <t>DOROTEA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46147</v>
      </c>
      <c r="E166" s="1" t="n">
        <v>46286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45938</v>
      </c>
      <c r="E167" s="1" t="n">
        <v>46286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46286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46286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46147</v>
      </c>
      <c r="E170" s="1" t="n">
        <v>46286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45069</v>
      </c>
      <c r="E171" s="1" t="n">
        <v>46286</v>
      </c>
      <c r="F171" t="inlineStr">
        <is>
          <t>VÄSTERBOTTENS LÄN</t>
        </is>
      </c>
      <c r="G171" t="inlineStr">
        <is>
          <t>DOROTEA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46286</v>
      </c>
      <c r="F172" t="inlineStr">
        <is>
          <t>VÄSTERBOTTENS LÄN</t>
        </is>
      </c>
      <c r="G172" t="inlineStr">
        <is>
          <t>DOROTEA</t>
        </is>
      </c>
      <c r="I172" t="n">
        <v>26.5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46286</v>
      </c>
      <c r="F173" t="inlineStr">
        <is>
          <t>VÄSTERBOTTENS LÄN</t>
        </is>
      </c>
      <c r="G173" t="inlineStr">
        <is>
          <t>DOROTEA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46286</v>
      </c>
      <c r="F174" t="inlineStr">
        <is>
          <t>VÄSTERBOTTENS LÄN</t>
        </is>
      </c>
      <c r="G174" t="inlineStr">
        <is>
          <t>DOROTEA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46286</v>
      </c>
      <c r="F175" t="inlineStr">
        <is>
          <t>VÄSTERBOTTENS LÄN</t>
        </is>
      </c>
      <c r="G175" t="inlineStr">
        <is>
          <t>DOROTEA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46286</v>
      </c>
      <c r="F176" t="inlineStr">
        <is>
          <t>VÄSTERBOTTENS LÄN</t>
        </is>
      </c>
      <c r="G176" t="inlineStr">
        <is>
          <t>DOROTEA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46286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45224</v>
      </c>
      <c r="E178" s="1" t="n">
        <v>46286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46286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46286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46286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46286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46286</v>
      </c>
      <c r="F183" t="inlineStr">
        <is>
          <t>VÄSTERBOTTENS LÄN</t>
        </is>
      </c>
      <c r="G183" t="inlineStr">
        <is>
          <t>DOROTEA</t>
        </is>
      </c>
      <c r="I183" t="n">
        <v>10.3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46286</v>
      </c>
      <c r="F184" t="inlineStr">
        <is>
          <t>VÄSTERBOTTENS LÄN</t>
        </is>
      </c>
      <c r="G184" t="inlineStr">
        <is>
          <t>DOROTEA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46286</v>
      </c>
      <c r="F185" t="inlineStr">
        <is>
          <t>VÄSTERBOTTENS LÄN</t>
        </is>
      </c>
      <c r="G185" t="inlineStr">
        <is>
          <t>DOROTEA</t>
        </is>
      </c>
      <c r="I185" t="n">
        <v>14.8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46286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46286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46286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46286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46286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46286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46286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46286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46286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46286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46286</v>
      </c>
      <c r="F196" t="inlineStr">
        <is>
          <t>VÄSTERBOTTENS LÄN</t>
        </is>
      </c>
      <c r="G196" t="inlineStr">
        <is>
          <t>DOROTEA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46286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46286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46286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46286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45975</v>
      </c>
      <c r="E201" s="1" t="n">
        <v>46286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45977</v>
      </c>
      <c r="E202" s="1" t="n">
        <v>46286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44568</v>
      </c>
      <c r="E203" s="1" t="n">
        <v>46286</v>
      </c>
      <c r="F203" t="inlineStr">
        <is>
          <t>VÄSTERBOTTENS LÄN</t>
        </is>
      </c>
      <c r="G203" t="inlineStr">
        <is>
          <t>DOROTEA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46286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46286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46286</v>
      </c>
      <c r="F206" t="inlineStr">
        <is>
          <t>VÄSTERBOTTENS LÄN</t>
        </is>
      </c>
      <c r="G206" t="inlineStr">
        <is>
          <t>DOROTEA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46286</v>
      </c>
      <c r="F207" t="inlineStr">
        <is>
          <t>VÄSTERBOTTENS LÄN</t>
        </is>
      </c>
      <c r="G207" t="inlineStr">
        <is>
          <t>DOROTEA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46286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46286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46286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46286</v>
      </c>
      <c r="F211" t="inlineStr">
        <is>
          <t>VÄSTERBOTTENS LÄN</t>
        </is>
      </c>
      <c r="G211" t="inlineStr">
        <is>
          <t>DOROTEA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46286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46286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46286</v>
      </c>
      <c r="F214" t="inlineStr">
        <is>
          <t>VÄSTERBOTTENS LÄN</t>
        </is>
      </c>
      <c r="G214" t="inlineStr">
        <is>
          <t>DOROTEA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46286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18.2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46286</v>
      </c>
      <c r="F216" t="inlineStr">
        <is>
          <t>VÄSTERBOTTENS LÄN</t>
        </is>
      </c>
      <c r="G216" t="inlineStr">
        <is>
          <t>DOROTEA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46286</v>
      </c>
      <c r="F217" t="inlineStr">
        <is>
          <t>VÄSTERBOTTENS LÄN</t>
        </is>
      </c>
      <c r="G217" t="inlineStr">
        <is>
          <t>DOROTEA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15735-2026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46107</v>
      </c>
      <c r="E218" s="1" t="n">
        <v>46286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46286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45988</v>
      </c>
      <c r="E220" s="1" t="n">
        <v>46286</v>
      </c>
      <c r="F220" t="inlineStr">
        <is>
          <t>VÄSTERBOTTENS LÄN</t>
        </is>
      </c>
      <c r="G220" t="inlineStr">
        <is>
          <t>DOROTEA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46286</v>
      </c>
      <c r="F221" t="inlineStr">
        <is>
          <t>VÄSTERBOTTENS LÄN</t>
        </is>
      </c>
      <c r="G221" t="inlineStr">
        <is>
          <t>DOROTEA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45505</v>
      </c>
      <c r="E222" s="1" t="n">
        <v>46286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46286</v>
      </c>
      <c r="F223" t="inlineStr">
        <is>
          <t>VÄSTERBOTTENS LÄN</t>
        </is>
      </c>
      <c r="G223" t="inlineStr">
        <is>
          <t>DOROTEA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32821-2024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46286</v>
      </c>
      <c r="F224" t="inlineStr">
        <is>
          <t>VÄSTERBOTTENS LÄN</t>
        </is>
      </c>
      <c r="G224" t="inlineStr">
        <is>
          <t>DOROTEA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44980</v>
      </c>
      <c r="E225" s="1" t="n">
        <v>46286</v>
      </c>
      <c r="F225" t="inlineStr">
        <is>
          <t>VÄSTERBOTTENS LÄN</t>
        </is>
      </c>
      <c r="G225" t="inlineStr">
        <is>
          <t>DOROTEA</t>
        </is>
      </c>
      <c r="I225" t="n">
        <v>18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45475</v>
      </c>
      <c r="E226" s="1" t="n">
        <v>46286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46160</v>
      </c>
      <c r="E227" s="1" t="n">
        <v>46286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46286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30461-2024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45491</v>
      </c>
      <c r="E229" s="1" t="n">
        <v>46286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46286</v>
      </c>
      <c r="F230" t="inlineStr">
        <is>
          <t>VÄSTERBOTTENS LÄN</t>
        </is>
      </c>
      <c r="G230" t="inlineStr">
        <is>
          <t>DOROTEA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45962</v>
      </c>
      <c r="E231" s="1" t="n">
        <v>46286</v>
      </c>
      <c r="F231" t="inlineStr">
        <is>
          <t>VÄSTERBOTTENS LÄN</t>
        </is>
      </c>
      <c r="G231" t="inlineStr">
        <is>
          <t>DOROTEA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46162</v>
      </c>
      <c r="E232" s="1" t="n">
        <v>46286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46286</v>
      </c>
      <c r="F233" t="inlineStr">
        <is>
          <t>VÄSTERBOTTENS LÄN</t>
        </is>
      </c>
      <c r="G233" t="inlineStr">
        <is>
          <t>DOROTEA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45399</v>
      </c>
      <c r="E234" s="1" t="n">
        <v>46286</v>
      </c>
      <c r="F234" t="inlineStr">
        <is>
          <t>VÄSTERBOTTENS LÄN</t>
        </is>
      </c>
      <c r="G234" t="inlineStr">
        <is>
          <t>DOROTEA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44889</v>
      </c>
      <c r="E235" s="1" t="n">
        <v>46286</v>
      </c>
      <c r="F235" t="inlineStr">
        <is>
          <t>VÄSTERBOTTENS LÄN</t>
        </is>
      </c>
      <c r="G235" t="inlineStr">
        <is>
          <t>DOROTEA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45862</v>
      </c>
      <c r="E236" s="1" t="n">
        <v>46286</v>
      </c>
      <c r="F236" t="inlineStr">
        <is>
          <t>VÄSTERBOTTENS LÄN</t>
        </is>
      </c>
      <c r="G236" t="inlineStr">
        <is>
          <t>DOROTEA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67686-2021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46286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46286</v>
      </c>
      <c r="F238" t="inlineStr">
        <is>
          <t>VÄSTERBOTTENS LÄN</t>
        </is>
      </c>
      <c r="G238" t="inlineStr">
        <is>
          <t>DOROTEA</t>
        </is>
      </c>
      <c r="I238" t="n">
        <v>23.9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46162</v>
      </c>
      <c r="E239" s="1" t="n">
        <v>46286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46286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50582-2024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45600</v>
      </c>
      <c r="E241" s="1" t="n">
        <v>46286</v>
      </c>
      <c r="F241" t="inlineStr">
        <is>
          <t>VÄSTERBOTTENS LÄN</t>
        </is>
      </c>
      <c r="G241" t="inlineStr">
        <is>
          <t>DOROTEA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46286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62193-2025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46003</v>
      </c>
      <c r="E243" s="1" t="n">
        <v>46286</v>
      </c>
      <c r="F243" t="inlineStr">
        <is>
          <t>VÄSTERBOTTENS LÄN</t>
        </is>
      </c>
      <c r="G243" t="inlineStr">
        <is>
          <t>DOROTEA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46286</v>
      </c>
      <c r="F244" t="inlineStr">
        <is>
          <t>VÄSTERBOTTENS LÄN</t>
        </is>
      </c>
      <c r="G244" t="inlineStr">
        <is>
          <t>DOROTEA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46286</v>
      </c>
      <c r="F245" t="inlineStr">
        <is>
          <t>VÄSTERBOTTENS LÄN</t>
        </is>
      </c>
      <c r="G245" t="inlineStr">
        <is>
          <t>DOROTEA</t>
        </is>
      </c>
      <c r="I245" t="n">
        <v>16.7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46286</v>
      </c>
      <c r="F246" t="inlineStr">
        <is>
          <t>VÄSTERBOTTENS LÄN</t>
        </is>
      </c>
      <c r="G246" t="inlineStr">
        <is>
          <t>DOROTEA</t>
        </is>
      </c>
      <c r="I246" t="n">
        <v>13.2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45755</v>
      </c>
      <c r="E247" s="1" t="n">
        <v>46286</v>
      </c>
      <c r="F247" t="inlineStr">
        <is>
          <t>VÄSTERBOTTENS LÄN</t>
        </is>
      </c>
      <c r="G247" t="inlineStr">
        <is>
          <t>DOROTEA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46286</v>
      </c>
      <c r="F248" t="inlineStr">
        <is>
          <t>VÄSTERBOTTENS LÄN</t>
        </is>
      </c>
      <c r="G248" t="inlineStr">
        <is>
          <t>DOROTEA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39721-2024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46286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46286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46286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45149</v>
      </c>
      <c r="E252" s="1" t="n">
        <v>46286</v>
      </c>
      <c r="F252" t="inlineStr">
        <is>
          <t>VÄSTERBOTTENS LÄN</t>
        </is>
      </c>
      <c r="G252" t="inlineStr">
        <is>
          <t>DOROTEA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9102-2023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46286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46286</v>
      </c>
      <c r="F254" t="inlineStr">
        <is>
          <t>VÄSTERBOTTENS LÄN</t>
        </is>
      </c>
      <c r="G254" t="inlineStr">
        <is>
          <t>DOROTEA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44761</v>
      </c>
      <c r="E255" s="1" t="n">
        <v>46286</v>
      </c>
      <c r="F255" t="inlineStr">
        <is>
          <t>VÄSTERBOTTENS LÄN</t>
        </is>
      </c>
      <c r="G255" t="inlineStr">
        <is>
          <t>DOROTEA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63745-2025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46017</v>
      </c>
      <c r="E256" s="1" t="n">
        <v>46286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46286</v>
      </c>
      <c r="F257" t="inlineStr">
        <is>
          <t>VÄSTERBOTTENS LÄN</t>
        </is>
      </c>
      <c r="G257" t="inlineStr">
        <is>
          <t>DOROTEA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46286</v>
      </c>
      <c r="F258" t="inlineStr">
        <is>
          <t>VÄSTERBOTTENS LÄN</t>
        </is>
      </c>
      <c r="G258" t="inlineStr">
        <is>
          <t>DOROTEA</t>
        </is>
      </c>
      <c r="I258" t="n">
        <v>11.1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14163-2024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45392</v>
      </c>
      <c r="E259" s="1" t="n">
        <v>46286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44719</v>
      </c>
      <c r="E260" s="1" t="n">
        <v>46286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46286</v>
      </c>
      <c r="F261" t="inlineStr">
        <is>
          <t>VÄSTERBOTTENS LÄN</t>
        </is>
      </c>
      <c r="G261" t="inlineStr">
        <is>
          <t>DOROTEA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40435-2023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45169</v>
      </c>
      <c r="E262" s="1" t="n">
        <v>46286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46286</v>
      </c>
      <c r="F263" t="inlineStr">
        <is>
          <t>VÄSTERBOTTENS LÄN</t>
        </is>
      </c>
      <c r="G263" t="inlineStr">
        <is>
          <t>DOROTEA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46286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46286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40434-2023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45169</v>
      </c>
      <c r="E266" s="1" t="n">
        <v>46286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4958-2023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44956</v>
      </c>
      <c r="E267" s="1" t="n">
        <v>46286</v>
      </c>
      <c r="F267" t="inlineStr">
        <is>
          <t>VÄSTERBOTTENS LÄN</t>
        </is>
      </c>
      <c r="G267" t="inlineStr">
        <is>
          <t>DOROTEA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41353-2022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44824</v>
      </c>
      <c r="E268" s="1" t="n">
        <v>46286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46286</v>
      </c>
      <c r="F269" t="inlineStr">
        <is>
          <t>VÄSTERBOTTENS LÄN</t>
        </is>
      </c>
      <c r="G269" t="inlineStr">
        <is>
          <t>DOROTEA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46286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46286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46286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46286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44910</v>
      </c>
      <c r="E274" s="1" t="n">
        <v>46286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27199-2024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45471</v>
      </c>
      <c r="E275" s="1" t="n">
        <v>46286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45551</v>
      </c>
      <c r="E276" s="1" t="n">
        <v>46286</v>
      </c>
      <c r="F276" t="inlineStr">
        <is>
          <t>VÄSTERBOTTENS LÄN</t>
        </is>
      </c>
      <c r="G276" t="inlineStr">
        <is>
          <t>DOROTEA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45055</v>
      </c>
      <c r="E277" s="1" t="n">
        <v>46286</v>
      </c>
      <c r="F277" t="inlineStr">
        <is>
          <t>VÄSTERBOTTENS LÄN</t>
        </is>
      </c>
      <c r="G277" t="inlineStr">
        <is>
          <t>DOROTEA</t>
        </is>
      </c>
      <c r="H277" t="inlineStr">
        <is>
          <t>Övriga statliga verk och myndigheter</t>
        </is>
      </c>
      <c r="I277" t="n">
        <v>13.9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46286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46286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46286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46286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46010</v>
      </c>
      <c r="E282" s="1" t="n">
        <v>46286</v>
      </c>
      <c r="F282" t="inlineStr">
        <is>
          <t>VÄSTERBOTTENS LÄN</t>
        </is>
      </c>
      <c r="G282" t="inlineStr">
        <is>
          <t>DOROTEA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45315</v>
      </c>
      <c r="E283" s="1" t="n">
        <v>46286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46286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46286</v>
      </c>
      <c r="F285" t="inlineStr">
        <is>
          <t>VÄSTERBOTTENS LÄN</t>
        </is>
      </c>
      <c r="G285" t="inlineStr">
        <is>
          <t>DOROTEA</t>
        </is>
      </c>
      <c r="I285" t="n">
        <v>11.8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46286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46286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46286</v>
      </c>
      <c r="F288" t="inlineStr">
        <is>
          <t>VÄSTERBOTTENS LÄN</t>
        </is>
      </c>
      <c r="G288" t="inlineStr">
        <is>
          <t>DOROTEA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45771</v>
      </c>
      <c r="E289" s="1" t="n">
        <v>46286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46055</v>
      </c>
      <c r="E290" s="1" t="n">
        <v>46286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46286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46054</v>
      </c>
      <c r="E292" s="1" t="n">
        <v>46286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46286</v>
      </c>
      <c r="F293" t="inlineStr">
        <is>
          <t>VÄSTERBOTTENS LÄN</t>
        </is>
      </c>
      <c r="G293" t="inlineStr">
        <is>
          <t>DOROTEA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46286</v>
      </c>
      <c r="F294" t="inlineStr">
        <is>
          <t>VÄSTERBOTTENS LÄN</t>
        </is>
      </c>
      <c r="G294" t="inlineStr">
        <is>
          <t>DOROTEA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74013-2021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46286</v>
      </c>
      <c r="F295" t="inlineStr">
        <is>
          <t>VÄSTERBOTTENS LÄN</t>
        </is>
      </c>
      <c r="G295" t="inlineStr">
        <is>
          <t>DOROTEA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46286</v>
      </c>
      <c r="F296" t="inlineStr">
        <is>
          <t>VÄSTERBOTTENS LÄN</t>
        </is>
      </c>
      <c r="G296" t="inlineStr">
        <is>
          <t>DOROTEA</t>
        </is>
      </c>
      <c r="I296" t="n">
        <v>26.2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46286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46286</v>
      </c>
      <c r="F298" t="inlineStr">
        <is>
          <t>VÄSTERBOTTENS LÄN</t>
        </is>
      </c>
      <c r="G298" t="inlineStr">
        <is>
          <t>DOROTEA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46286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45565</v>
      </c>
      <c r="E300" s="1" t="n">
        <v>46286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55919-2023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45239</v>
      </c>
      <c r="E301" s="1" t="n">
        <v>46286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46286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46286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46286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46286</v>
      </c>
      <c r="F305" t="inlineStr">
        <is>
          <t>VÄSTERBOTTENS LÄN</t>
        </is>
      </c>
      <c r="G305" t="inlineStr">
        <is>
          <t>DOROTEA</t>
        </is>
      </c>
      <c r="I305" t="n">
        <v>20.1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46286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46286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46286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46085</v>
      </c>
      <c r="E309" s="1" t="n">
        <v>46286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47494-2023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45202</v>
      </c>
      <c r="E310" s="1" t="n">
        <v>46286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22942-2024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46286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45036</v>
      </c>
      <c r="E312" s="1" t="n">
        <v>46286</v>
      </c>
      <c r="F312" t="inlineStr">
        <is>
          <t>VÄSTERBOTTENS LÄN</t>
        </is>
      </c>
      <c r="G312" t="inlineStr">
        <is>
          <t>DOROTEA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46286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45565</v>
      </c>
      <c r="E314" s="1" t="n">
        <v>46286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46286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46286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Allmännings- och besparingsskogar</t>
        </is>
      </c>
      <c r="I316" t="n">
        <v>20.3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46286</v>
      </c>
      <c r="F317" t="inlineStr">
        <is>
          <t>VÄSTERBOTTENS LÄN</t>
        </is>
      </c>
      <c r="G317" t="inlineStr">
        <is>
          <t>DOROTEA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46286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57070-2023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45244</v>
      </c>
      <c r="E319" s="1" t="n">
        <v>46286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46286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22944-2024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46286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27738-2026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46191</v>
      </c>
      <c r="E322" s="1" t="n">
        <v>46286</v>
      </c>
      <c r="F322" t="inlineStr">
        <is>
          <t>VÄSTERBOTTENS LÄN</t>
        </is>
      </c>
      <c r="G322" t="inlineStr">
        <is>
          <t>DOROTEA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46286</v>
      </c>
      <c r="F323" t="inlineStr">
        <is>
          <t>VÄSTERBOTTENS LÄN</t>
        </is>
      </c>
      <c r="G323" t="inlineStr">
        <is>
          <t>DOROTEA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46286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46286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46286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46286</v>
      </c>
      <c r="F327" t="inlineStr">
        <is>
          <t>VÄSTERBOTTENS LÄN</t>
        </is>
      </c>
      <c r="G327" t="inlineStr">
        <is>
          <t>DOROTEA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28782-2026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46286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13170-2025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46286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46286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46286</v>
      </c>
      <c r="F331" t="inlineStr">
        <is>
          <t>VÄSTERBOTTENS LÄN</t>
        </is>
      </c>
      <c r="G331" t="inlineStr">
        <is>
          <t>DOROTEA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46286</v>
      </c>
      <c r="F332" t="inlineStr">
        <is>
          <t>VÄSTERBOTTENS LÄN</t>
        </is>
      </c>
      <c r="G332" t="inlineStr">
        <is>
          <t>DOROTEA</t>
        </is>
      </c>
      <c r="I332" t="n">
        <v>22.7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46286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58313-2024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46286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46286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46286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46286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46286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33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46286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46286</v>
      </c>
      <c r="F340" t="inlineStr">
        <is>
          <t>VÄSTERBOTTENS LÄN</t>
        </is>
      </c>
      <c r="G340" t="inlineStr">
        <is>
          <t>DOROTEA</t>
        </is>
      </c>
      <c r="H340" t="inlineStr">
        <is>
          <t>Kommuner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45519</v>
      </c>
      <c r="E341" s="1" t="n">
        <v>46286</v>
      </c>
      <c r="F341" t="inlineStr">
        <is>
          <t>VÄSTERBOTTENS LÄN</t>
        </is>
      </c>
      <c r="G341" t="inlineStr">
        <is>
          <t>DOROTEA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46286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17623-2026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46286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46286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46123</v>
      </c>
      <c r="E345" s="1" t="n">
        <v>46286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46286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18.3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46286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18157-2026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46286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46286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46286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19298-2026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46286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46286</v>
      </c>
      <c r="F352" t="inlineStr">
        <is>
          <t>VÄSTERBOTTENS LÄN</t>
        </is>
      </c>
      <c r="G352" t="inlineStr">
        <is>
          <t>DOROTEA</t>
        </is>
      </c>
      <c r="I352" t="n">
        <v>10.2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59418-2023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45253</v>
      </c>
      <c r="E353" s="1" t="n">
        <v>46286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19445-2026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46286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46286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46286</v>
      </c>
      <c r="F356" t="inlineStr">
        <is>
          <t>VÄSTERBOTTENS LÄN</t>
        </is>
      </c>
      <c r="G356" t="inlineStr">
        <is>
          <t>DOROTEA</t>
        </is>
      </c>
      <c r="I356" t="n">
        <v>14.7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46286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45180</v>
      </c>
      <c r="E358" s="1" t="n">
        <v>46286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46286</v>
      </c>
      <c r="F359" t="inlineStr">
        <is>
          <t>VÄSTERBOTTENS LÄN</t>
        </is>
      </c>
      <c r="G359" t="inlineStr">
        <is>
          <t>DOROTEA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20333-2026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46136</v>
      </c>
      <c r="E360" s="1" t="n">
        <v>46286</v>
      </c>
      <c r="F360" t="inlineStr">
        <is>
          <t>VÄSTERBOTTENS LÄN</t>
        </is>
      </c>
      <c r="G360" t="inlineStr">
        <is>
          <t>DOROTEA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44888</v>
      </c>
      <c r="E361" s="1" t="n">
        <v>46286</v>
      </c>
      <c r="F361" t="inlineStr">
        <is>
          <t>VÄSTERBOTTENS LÄN</t>
        </is>
      </c>
      <c r="G361" t="inlineStr">
        <is>
          <t>DOROTEA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46286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46286</v>
      </c>
      <c r="F363" t="inlineStr">
        <is>
          <t>VÄSTERBOTTENS LÄN</t>
        </is>
      </c>
      <c r="G363" t="inlineStr">
        <is>
          <t>DOROTEA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44956</v>
      </c>
      <c r="E364" s="1" t="n">
        <v>46286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46209</v>
      </c>
      <c r="E365" s="1" t="n">
        <v>46286</v>
      </c>
      <c r="F365" t="inlineStr">
        <is>
          <t>VÄSTERBOTTENS LÄN</t>
        </is>
      </c>
      <c r="G365" t="inlineStr">
        <is>
          <t>DOROTEA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56807-2021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44481</v>
      </c>
      <c r="E366" s="1" t="n">
        <v>46286</v>
      </c>
      <c r="F366" t="inlineStr">
        <is>
          <t>VÄSTERBOTTENS LÄN</t>
        </is>
      </c>
      <c r="G366" t="inlineStr">
        <is>
          <t>DOROTEA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46286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46286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46286</v>
      </c>
      <c r="F369" t="inlineStr">
        <is>
          <t>VÄSTERBOTTENS LÄN</t>
        </is>
      </c>
      <c r="G369" t="inlineStr">
        <is>
          <t>DOROTEA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46286</v>
      </c>
      <c r="F370" t="inlineStr">
        <is>
          <t>VÄSTERBOTTENS LÄN</t>
        </is>
      </c>
      <c r="G370" t="inlineStr">
        <is>
          <t>DOROTEA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46286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45148</v>
      </c>
      <c r="E372" s="1" t="n">
        <v>46286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45198</v>
      </c>
      <c r="E373" s="1" t="n">
        <v>46286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46286</v>
      </c>
      <c r="F374" t="inlineStr">
        <is>
          <t>VÄSTERBOTTENS LÄN</t>
        </is>
      </c>
      <c r="G374" t="inlineStr">
        <is>
          <t>DOROTEA</t>
        </is>
      </c>
      <c r="I374" t="n">
        <v>11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46286</v>
      </c>
      <c r="F375" t="inlineStr">
        <is>
          <t>VÄSTERBOTTENS LÄN</t>
        </is>
      </c>
      <c r="G375" t="inlineStr">
        <is>
          <t>DOROTEA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46286</v>
      </c>
      <c r="F376" t="inlineStr">
        <is>
          <t>VÄSTERBOTTENS LÄN</t>
        </is>
      </c>
      <c r="G376" t="inlineStr">
        <is>
          <t>DOROTEA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46286</v>
      </c>
      <c r="F377" t="inlineStr">
        <is>
          <t>VÄSTERBOTTENS LÄN</t>
        </is>
      </c>
      <c r="G377" t="inlineStr">
        <is>
          <t>DOROTEA</t>
        </is>
      </c>
      <c r="I377" t="n">
        <v>13.6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57955-2021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44484</v>
      </c>
      <c r="E378" s="1" t="n">
        <v>46286</v>
      </c>
      <c r="F378" t="inlineStr">
        <is>
          <t>VÄSTERBOTTENS LÄN</t>
        </is>
      </c>
      <c r="G378" t="inlineStr">
        <is>
          <t>DOROTEA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46286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46286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46286</v>
      </c>
      <c r="F381" t="inlineStr">
        <is>
          <t>VÄSTERBOTTENS LÄN</t>
        </is>
      </c>
      <c r="G381" t="inlineStr">
        <is>
          <t>DOROTEA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46286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46286</v>
      </c>
      <c r="F383" t="inlineStr">
        <is>
          <t>VÄSTERBOTTENS LÄN</t>
        </is>
      </c>
      <c r="G383" t="inlineStr">
        <is>
          <t>DOROTEA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46212</v>
      </c>
      <c r="E384" s="1" t="n">
        <v>46286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44494</v>
      </c>
      <c r="E385" s="1" t="n">
        <v>46286</v>
      </c>
      <c r="F385" t="inlineStr">
        <is>
          <t>VÄSTERBOTTENS LÄN</t>
        </is>
      </c>
      <c r="G385" t="inlineStr">
        <is>
          <t>DOROTEA</t>
        </is>
      </c>
      <c r="I385" t="n">
        <v>13.3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28549-2023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45103</v>
      </c>
      <c r="E386" s="1" t="n">
        <v>46286</v>
      </c>
      <c r="F386" t="inlineStr">
        <is>
          <t>VÄSTERBOTTENS LÄN</t>
        </is>
      </c>
      <c r="G386" t="inlineStr">
        <is>
          <t>DOROTEA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46211</v>
      </c>
      <c r="E387" s="1" t="n">
        <v>46286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46213</v>
      </c>
      <c r="E388" s="1" t="n">
        <v>46286</v>
      </c>
      <c r="F388" t="inlineStr">
        <is>
          <t>VÄSTERBOTTENS LÄN</t>
        </is>
      </c>
      <c r="G388" t="inlineStr">
        <is>
          <t>DOROTEA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46213</v>
      </c>
      <c r="E389" s="1" t="n">
        <v>46286</v>
      </c>
      <c r="F389" t="inlineStr">
        <is>
          <t>VÄSTERBOTTENS LÄN</t>
        </is>
      </c>
      <c r="G389" t="inlineStr">
        <is>
          <t>DOROTEA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44848</v>
      </c>
      <c r="E390" s="1" t="n">
        <v>46286</v>
      </c>
      <c r="F390" t="inlineStr">
        <is>
          <t>VÄSTERBOTTENS LÄN</t>
        </is>
      </c>
      <c r="G390" t="inlineStr">
        <is>
          <t>DOROTEA</t>
        </is>
      </c>
      <c r="I390" t="n">
        <v>29.8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46286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45385</v>
      </c>
      <c r="E392" s="1" t="n">
        <v>46286</v>
      </c>
      <c r="F392" t="inlineStr">
        <is>
          <t>VÄSTERBOTTENS LÄN</t>
        </is>
      </c>
      <c r="G392" t="inlineStr">
        <is>
          <t>DOROTEA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46286</v>
      </c>
      <c r="F393" t="inlineStr">
        <is>
          <t>VÄSTERBOTTENS LÄN</t>
        </is>
      </c>
      <c r="G393" t="inlineStr">
        <is>
          <t>DOROTEA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31302-2026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46218</v>
      </c>
      <c r="E394" s="1" t="n">
        <v>46286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31181-2026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46217</v>
      </c>
      <c r="E395" s="1" t="n">
        <v>46286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46966-2024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45586</v>
      </c>
      <c r="E396" s="1" t="n">
        <v>46286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46261</v>
      </c>
      <c r="E397" s="1" t="n">
        <v>46286</v>
      </c>
      <c r="F397" t="inlineStr">
        <is>
          <t>VÄSTERBOTTENS LÄN</t>
        </is>
      </c>
      <c r="G397" t="inlineStr">
        <is>
          <t>DOROTEA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46217</v>
      </c>
      <c r="E398" s="1" t="n">
        <v>46286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46286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46261</v>
      </c>
      <c r="E400" s="1" t="n">
        <v>46286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46261</v>
      </c>
      <c r="E401" s="1" t="n">
        <v>46286</v>
      </c>
      <c r="F401" t="inlineStr">
        <is>
          <t>VÄSTERBOTTENS LÄN</t>
        </is>
      </c>
      <c r="G401" t="inlineStr">
        <is>
          <t>DOROTEA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46261</v>
      </c>
      <c r="E402" s="1" t="n">
        <v>46286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46286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28717-2022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44748</v>
      </c>
      <c r="E404" s="1" t="n">
        <v>46286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45488</v>
      </c>
      <c r="E405" s="1" t="n">
        <v>46286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46220</v>
      </c>
      <c r="E406" s="1" t="n">
        <v>46286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46286</v>
      </c>
      <c r="F407" t="inlineStr">
        <is>
          <t>VÄSTERBOTTENS LÄN</t>
        </is>
      </c>
      <c r="G407" t="inlineStr">
        <is>
          <t>DOROTEA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35500-2026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46262</v>
      </c>
      <c r="E408" s="1" t="n">
        <v>46286</v>
      </c>
      <c r="F408" t="inlineStr">
        <is>
          <t>VÄSTERBOTTENS LÄN</t>
        </is>
      </c>
      <c r="G408" t="inlineStr">
        <is>
          <t>DOROTEA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45734</v>
      </c>
      <c r="E409" s="1" t="n">
        <v>46286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46224</v>
      </c>
      <c r="E410" s="1" t="n">
        <v>46286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46224</v>
      </c>
      <c r="E411" s="1" t="n">
        <v>46286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46286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46286</v>
      </c>
      <c r="F413" t="inlineStr">
        <is>
          <t>VÄSTERBOTTENS LÄN</t>
        </is>
      </c>
      <c r="G413" t="inlineStr">
        <is>
          <t>DOROTEA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43944-2024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45572</v>
      </c>
      <c r="E414" s="1" t="n">
        <v>46286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46286</v>
      </c>
      <c r="F415" t="inlineStr">
        <is>
          <t>VÄSTERBOTTENS LÄN</t>
        </is>
      </c>
      <c r="G415" t="inlineStr">
        <is>
          <t>DOROTEA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46286</v>
      </c>
      <c r="F416" t="inlineStr">
        <is>
          <t>VÄSTERBOTTENS LÄN</t>
        </is>
      </c>
      <c r="G416" t="inlineStr">
        <is>
          <t>DOROTEA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42104-2024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45562</v>
      </c>
      <c r="E417" s="1" t="n">
        <v>46286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46279</v>
      </c>
      <c r="E418" s="1" t="n">
        <v>46286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45789</v>
      </c>
      <c r="E419" s="1" t="n">
        <v>46286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46286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13451-2022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44645</v>
      </c>
      <c r="E421" s="1" t="n">
        <v>46286</v>
      </c>
      <c r="F421" t="inlineStr">
        <is>
          <t>VÄSTERBOTTENS LÄN</t>
        </is>
      </c>
      <c r="G421" t="inlineStr">
        <is>
          <t>DOROTEA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46286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46286</v>
      </c>
      <c r="F423" t="inlineStr">
        <is>
          <t>VÄSTERBOTTENS LÄN</t>
        </is>
      </c>
      <c r="G423" t="inlineStr">
        <is>
          <t>DOROTEA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45485</v>
      </c>
      <c r="E424" s="1" t="n">
        <v>46286</v>
      </c>
      <c r="F424" t="inlineStr">
        <is>
          <t>VÄSTERBOTTENS LÄN</t>
        </is>
      </c>
      <c r="G424" t="inlineStr">
        <is>
          <t>DOROTEA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23457-2025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46286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46286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38299-2026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46282</v>
      </c>
      <c r="E427" s="1" t="n">
        <v>46286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46286</v>
      </c>
      <c r="F428" t="inlineStr">
        <is>
          <t>VÄSTERBOTTENS LÄN</t>
        </is>
      </c>
      <c r="G428" t="inlineStr">
        <is>
          <t>DOROTEA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45614</v>
      </c>
      <c r="E429" s="1" t="n">
        <v>46286</v>
      </c>
      <c r="F429" t="inlineStr">
        <is>
          <t>VÄSTERBOTTENS LÄN</t>
        </is>
      </c>
      <c r="G429" t="inlineStr">
        <is>
          <t>DOROTEA</t>
        </is>
      </c>
      <c r="I429" t="n">
        <v>12.8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45803</v>
      </c>
      <c r="E430" s="1" t="n">
        <v>46286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46286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46286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45807</v>
      </c>
      <c r="E433" s="1" t="n">
        <v>46286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45807</v>
      </c>
      <c r="E434" s="1" t="n">
        <v>46286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46286</v>
      </c>
      <c r="F435" t="inlineStr">
        <is>
          <t>VÄSTERBOTTENS LÄN</t>
        </is>
      </c>
      <c r="G435" t="inlineStr">
        <is>
          <t>DOROTEA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45742</v>
      </c>
      <c r="E436" s="1" t="n">
        <v>46286</v>
      </c>
      <c r="F436" t="inlineStr">
        <is>
          <t>VÄSTERBOTTENS LÄN</t>
        </is>
      </c>
      <c r="G436" t="inlineStr">
        <is>
          <t>DOROTEA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45811</v>
      </c>
      <c r="E437" s="1" t="n">
        <v>46286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46286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46286</v>
      </c>
      <c r="F439" t="inlineStr">
        <is>
          <t>VÄSTERBOTTENS LÄN</t>
        </is>
      </c>
      <c r="G439" t="inlineStr">
        <is>
          <t>DOROTEA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46286</v>
      </c>
      <c r="F440" t="inlineStr">
        <is>
          <t>VÄSTERBOTTENS LÄN</t>
        </is>
      </c>
      <c r="G440" t="inlineStr">
        <is>
          <t>DOROTEA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45833</v>
      </c>
      <c r="E441" s="1" t="n">
        <v>46286</v>
      </c>
      <c r="F441" t="inlineStr">
        <is>
          <t>VÄSTERBOTTENS LÄN</t>
        </is>
      </c>
      <c r="G441" t="inlineStr">
        <is>
          <t>DOROTEA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45847</v>
      </c>
      <c r="E442" s="1" t="n">
        <v>46286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45846</v>
      </c>
      <c r="E443" s="1" t="n">
        <v>46286</v>
      </c>
      <c r="F443" t="inlineStr">
        <is>
          <t>VÄSTERBOTTENS LÄN</t>
        </is>
      </c>
      <c r="G443" t="inlineStr">
        <is>
          <t>DOROTEA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45848</v>
      </c>
      <c r="E444" s="1" t="n">
        <v>46286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45849</v>
      </c>
      <c r="E445" s="1" t="n">
        <v>46286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45852</v>
      </c>
      <c r="E446" s="1" t="n">
        <v>46286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45855</v>
      </c>
      <c r="E447" s="1" t="n">
        <v>46286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46286</v>
      </c>
      <c r="F448" t="inlineStr">
        <is>
          <t>VÄSTERBOTTENS LÄN</t>
        </is>
      </c>
      <c r="G448" t="inlineStr">
        <is>
          <t>DOROTEA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46286</v>
      </c>
      <c r="F449" t="inlineStr">
        <is>
          <t>VÄSTERBOTTENS LÄN</t>
        </is>
      </c>
      <c r="G449" t="inlineStr">
        <is>
          <t>DOROTEA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35458-2025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45855</v>
      </c>
      <c r="E450" s="1" t="n">
        <v>46286</v>
      </c>
      <c r="F450" t="inlineStr">
        <is>
          <t>VÄSTERBOTTENS LÄN</t>
        </is>
      </c>
      <c r="G450" t="inlineStr">
        <is>
          <t>DOROTEA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36111-2025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45866</v>
      </c>
      <c r="E451" s="1" t="n">
        <v>46286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36125-2025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45866</v>
      </c>
      <c r="E452" s="1" t="n">
        <v>46286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45874</v>
      </c>
      <c r="E453" s="1" t="n">
        <v>46286</v>
      </c>
      <c r="F453" t="inlineStr">
        <is>
          <t>VÄSTERBOTTENS LÄN</t>
        </is>
      </c>
      <c r="G453" t="inlineStr">
        <is>
          <t>DOROTEA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36844-2025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46286</v>
      </c>
      <c r="F454" t="inlineStr">
        <is>
          <t>VÄSTERBOTTENS LÄN</t>
        </is>
      </c>
      <c r="G454" t="inlineStr">
        <is>
          <t>DOROTEA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45875</v>
      </c>
      <c r="E455" s="1" t="n">
        <v>46286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37259-2025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45876</v>
      </c>
      <c r="E456" s="1" t="n">
        <v>46286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37476-2025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45877</v>
      </c>
      <c r="E457" s="1" t="n">
        <v>46286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45876</v>
      </c>
      <c r="E458" s="1" t="n">
        <v>46286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45882</v>
      </c>
      <c r="E459" s="1" t="n">
        <v>46286</v>
      </c>
      <c r="F459" t="inlineStr">
        <is>
          <t>VÄSTERBOTTENS LÄN</t>
        </is>
      </c>
      <c r="G459" t="inlineStr">
        <is>
          <t>DOROTEA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38100-2025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46286</v>
      </c>
      <c r="F460" t="inlineStr">
        <is>
          <t>VÄSTERBOTTENS LÄN</t>
        </is>
      </c>
      <c r="G460" t="inlineStr">
        <is>
          <t>DOROTEA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45882</v>
      </c>
      <c r="E461" s="1" t="n">
        <v>46286</v>
      </c>
      <c r="F461" t="inlineStr">
        <is>
          <t>VÄSTERBOTTENS LÄN</t>
        </is>
      </c>
      <c r="G461" t="inlineStr">
        <is>
          <t>DOROTEA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38098-2025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45882</v>
      </c>
      <c r="E462" s="1" t="n">
        <v>46286</v>
      </c>
      <c r="F462" t="inlineStr">
        <is>
          <t>VÄSTERBOTTENS LÄN</t>
        </is>
      </c>
      <c r="G462" t="inlineStr">
        <is>
          <t>DOROTEA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45883</v>
      </c>
      <c r="E463" s="1" t="n">
        <v>46286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46286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38101-2025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46286</v>
      </c>
      <c r="F465" t="inlineStr">
        <is>
          <t>VÄSTERBOTTENS LÄN</t>
        </is>
      </c>
      <c r="G465" t="inlineStr">
        <is>
          <t>DOROTEA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45712</v>
      </c>
      <c r="E466" s="1" t="n">
        <v>46286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2945-2024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45506</v>
      </c>
      <c r="E467" s="1" t="n">
        <v>46286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1058-2025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45749</v>
      </c>
      <c r="E468" s="1" t="n">
        <v>46286</v>
      </c>
      <c r="F468" t="inlineStr">
        <is>
          <t>VÄSTERBOTTENS LÄN</t>
        </is>
      </c>
      <c r="G468" t="inlineStr">
        <is>
          <t>DOROTEA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844-2025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45733</v>
      </c>
      <c r="E469" s="1" t="n">
        <v>46286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1293.5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2195-2025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45858</v>
      </c>
      <c r="E470" s="1" t="n">
        <v>46286</v>
      </c>
      <c r="F470" t="inlineStr">
        <is>
          <t>VÄSTERBOTTENS LÄN</t>
        </is>
      </c>
      <c r="G470" t="inlineStr">
        <is>
          <t>DOROTEA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2283-2025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45876</v>
      </c>
      <c r="E471" s="1" t="n">
        <v>46286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2360-2025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45889</v>
      </c>
      <c r="E472" s="1" t="n">
        <v>46286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1763-2026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46189</v>
      </c>
      <c r="E473" s="1" t="n">
        <v>46286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2407-2026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46279</v>
      </c>
      <c r="E474" s="1" t="n">
        <v>46286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2026-09-21T02:03:32Z</dcterms:created>
  <dcterms:modified xmlns:dcterms="http://purl.org/dc/terms/" xmlns:xsi="http://www.w3.org/2001/XMLSchema-instance" xsi:type="dcterms:W3CDTF">2026-09-21T02:03:32Z</dcterms:modified>
</cp:coreProperties>
</file>