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46267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46267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46267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46267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46267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46267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46267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46267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46267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46267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46267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46267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46267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46267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46267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46267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46267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46267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46267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46267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46267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46267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46267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46267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46267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4554-2026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46047</v>
      </c>
      <c r="E27" s="1" t="n">
        <v>46267</v>
      </c>
      <c r="F27" t="inlineStr">
        <is>
          <t>VÄSTERBOTTENS LÄN</t>
        </is>
      </c>
      <c r="G27" t="inlineStr">
        <is>
          <t>DOROTEA</t>
        </is>
      </c>
      <c r="I27" t="n">
        <v>6.1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Violettkantad guldvinge
Kricka</t>
        </is>
      </c>
      <c r="W27">
        <f>HYPERLINK("https://klasma.github.io/Logging_2425/artfynd/A 4554-2026 artfynd.xlsx", "A 4554-2026")</f>
        <v/>
      </c>
      <c r="X27">
        <f>HYPERLINK("https://klasma.github.io/Logging_2425/kartor/A 4554-2026 karta.png", "A 4554-2026")</f>
        <v/>
      </c>
      <c r="Y27">
        <f>HYPERLINK("https://klasma.github.io/Logging_2425/kartor_geotiff/A 4554-2026 georefererad karta.tif", "A 4554-2026")</f>
        <v/>
      </c>
      <c r="AA27">
        <f>HYPERLINK("https://klasma.github.io/Logging_2425/klagomål/A 4554-2026 FSC-klagomål.docx", "A 4554-2026")</f>
        <v/>
      </c>
      <c r="AB27">
        <f>HYPERLINK("https://klasma.github.io/Logging_2425/klagomålsmail/A 4554-2026 FSC-klagomål mail.docx", "A 4554-2026")</f>
        <v/>
      </c>
      <c r="AC27">
        <f>HYPERLINK("https://klasma.github.io/Logging_2425/tillsyn/A 4554-2026 tillsynsbegäran.docx", "A 4554-2026")</f>
        <v/>
      </c>
      <c r="AD27">
        <f>HYPERLINK("https://klasma.github.io/Logging_2425/tillsynsmail/A 4554-2026 tillsynsbegäran mail.docx", "A 4554-2026")</f>
        <v/>
      </c>
      <c r="AE27">
        <f>HYPERLINK("https://klasma.github.io/Logging_2425/fåglar/A 4554-2026 prioriterade fågelarter.docx", "A 4554-2026")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46267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46267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46267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46267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46267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46267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46267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46267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46267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46267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46267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46267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46267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46267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46267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46267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46267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46267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46267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46267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46815-2023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45198</v>
      </c>
      <c r="E48" s="1" t="n">
        <v>46267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46815-2023 artfynd.xlsx", "A 46815-2023")</f>
        <v/>
      </c>
      <c r="X48">
        <f>HYPERLINK("https://klasma.github.io/Logging_2425/kartor/A 46815-2023 karta.png", "A 46815-2023")</f>
        <v/>
      </c>
      <c r="Y48">
        <f>HYPERLINK("https://klasma.github.io/Logging_2425/kartor_geotiff/A 46815-2023 georefererad karta.tif", "A 46815-2023")</f>
        <v/>
      </c>
      <c r="AA48">
        <f>HYPERLINK("https://klasma.github.io/Logging_2425/klagomål/A 46815-2023 FSC-klagomål.docx", "A 46815-2023")</f>
        <v/>
      </c>
      <c r="AB48">
        <f>HYPERLINK("https://klasma.github.io/Logging_2425/klagomålsmail/A 46815-2023 FSC-klagomål mail.docx", "A 46815-2023")</f>
        <v/>
      </c>
      <c r="AC48">
        <f>HYPERLINK("https://klasma.github.io/Logging_2425/tillsyn/A 46815-2023 tillsynsbegäran.docx", "A 46815-2023")</f>
        <v/>
      </c>
      <c r="AD48">
        <f>HYPERLINK("https://klasma.github.io/Logging_2425/tillsynsmail/A 46815-2023 tillsynsbegäran mail.docx", "A 46815-2023")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46267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21926-2026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46150</v>
      </c>
      <c r="E50" s="1" t="n">
        <v>46267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HYPERLINK("https://klasma.github.io/Logging_2425/artfynd/A 21926-2026 artfynd.xlsx", "A 21926-2026")</f>
        <v/>
      </c>
      <c r="X50">
        <f>HYPERLINK("https://klasma.github.io/Logging_2425/kartor/A 21926-2026 karta.png", "A 21926-2026")</f>
        <v/>
      </c>
      <c r="Y50">
        <f>HYPERLINK("https://klasma.github.io/Logging_2425/kartor_geotiff/A 21926-2026 georefererad karta.tif", "A 21926-2026")</f>
        <v/>
      </c>
      <c r="AA50">
        <f>HYPERLINK("https://klasma.github.io/Logging_2425/klagomål/A 21926-2026 FSC-klagomål.docx", "A 21926-2026")</f>
        <v/>
      </c>
      <c r="AB50">
        <f>HYPERLINK("https://klasma.github.io/Logging_2425/klagomålsmail/A 21926-2026 FSC-klagomål mail.docx", "A 21926-2026")</f>
        <v/>
      </c>
      <c r="AC50">
        <f>HYPERLINK("https://klasma.github.io/Logging_2425/tillsyn/A 21926-2026 tillsynsbegäran.docx", "A 21926-2026")</f>
        <v/>
      </c>
      <c r="AD50">
        <f>HYPERLINK("https://klasma.github.io/Logging_2425/tillsynsmail/A 21926-2026 tillsynsbegäran mail.docx", "A 21926-2026")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46267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57060-2024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46267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57060-2024 artfynd.xlsx", "A 57060-2024")</f>
        <v/>
      </c>
      <c r="X52">
        <f>HYPERLINK("https://klasma.github.io/Logging_2425/kartor/A 57060-2024 karta.png", "A 57060-2024")</f>
        <v/>
      </c>
      <c r="Y52">
        <f>HYPERLINK("https://klasma.github.io/Logging_2425/kartor_geotiff/A 57060-2024 georefererad karta.tif", "A 57060-2024")</f>
        <v/>
      </c>
      <c r="AA52">
        <f>HYPERLINK("https://klasma.github.io/Logging_2425/klagomål/A 57060-2024 FSC-klagomål.docx", "A 57060-2024")</f>
        <v/>
      </c>
      <c r="AB52">
        <f>HYPERLINK("https://klasma.github.io/Logging_2425/klagomålsmail/A 57060-2024 FSC-klagomål mail.docx", "A 57060-2024")</f>
        <v/>
      </c>
      <c r="AC52">
        <f>HYPERLINK("https://klasma.github.io/Logging_2425/tillsyn/A 57060-2024 tillsynsbegäran.docx", "A 57060-2024")</f>
        <v/>
      </c>
      <c r="AD52">
        <f>HYPERLINK("https://klasma.github.io/Logging_2425/tillsynsmail/A 57060-2024 tillsynsbegäran mail.docx", "A 57060-2024")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46267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46267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46267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46267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46267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46267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46267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46267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46267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46267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46267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46267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46267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46267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46267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46267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46267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46267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46267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27199-2024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45471</v>
      </c>
      <c r="E72" s="1" t="n">
        <v>46267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46267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46267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46267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46267</v>
      </c>
      <c r="F76" t="inlineStr">
        <is>
          <t>VÄSTERBOTTENS LÄN</t>
        </is>
      </c>
      <c r="G76" t="inlineStr">
        <is>
          <t>DOROTEA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46267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46267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46267</v>
      </c>
      <c r="F79" t="inlineStr">
        <is>
          <t>VÄSTERBOTTENS LÄN</t>
        </is>
      </c>
      <c r="G79" t="inlineStr">
        <is>
          <t>DOROTEA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45224</v>
      </c>
      <c r="E80" s="1" t="n">
        <v>46267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46267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46267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46267</v>
      </c>
      <c r="F83" t="inlineStr">
        <is>
          <t>VÄSTERBOTTENS LÄN</t>
        </is>
      </c>
      <c r="G83" t="inlineStr">
        <is>
          <t>DOROTEA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45551</v>
      </c>
      <c r="E84" s="1" t="n">
        <v>46267</v>
      </c>
      <c r="F84" t="inlineStr">
        <is>
          <t>VÄSTERBOTTENS LÄN</t>
        </is>
      </c>
      <c r="G84" t="inlineStr">
        <is>
          <t>DOROTEA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44956</v>
      </c>
      <c r="E85" s="1" t="n">
        <v>46267</v>
      </c>
      <c r="F85" t="inlineStr">
        <is>
          <t>VÄSTERBOTTENS LÄN</t>
        </is>
      </c>
      <c r="G85" t="inlineStr">
        <is>
          <t>DOROTEA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46267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57070-2023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45244</v>
      </c>
      <c r="E87" s="1" t="n">
        <v>46267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44582</v>
      </c>
      <c r="E88" s="1" t="n">
        <v>46267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46267</v>
      </c>
      <c r="F89" t="inlineStr">
        <is>
          <t>VÄSTERBOTTENS LÄN</t>
        </is>
      </c>
      <c r="G89" t="inlineStr">
        <is>
          <t>DOROTEA</t>
        </is>
      </c>
      <c r="H89" t="inlineStr">
        <is>
          <t>Sveaskog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46267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46267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59418-2023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45253</v>
      </c>
      <c r="E92" s="1" t="n">
        <v>46267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40435-2023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45169</v>
      </c>
      <c r="E93" s="1" t="n">
        <v>46267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46267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45483</v>
      </c>
      <c r="E95" s="1" t="n">
        <v>46267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44484</v>
      </c>
      <c r="E96" s="1" t="n">
        <v>46267</v>
      </c>
      <c r="F96" t="inlineStr">
        <is>
          <t>VÄSTERBOTTENS LÄN</t>
        </is>
      </c>
      <c r="G96" t="inlineStr">
        <is>
          <t>DOROTEA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46267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46267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46267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46267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46267</v>
      </c>
      <c r="F101" t="inlineStr">
        <is>
          <t>VÄSTERBOTTENS LÄN</t>
        </is>
      </c>
      <c r="G101" t="inlineStr">
        <is>
          <t>DOROTEA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44889</v>
      </c>
      <c r="E102" s="1" t="n">
        <v>46267</v>
      </c>
      <c r="F102" t="inlineStr">
        <is>
          <t>VÄSTERBOTTENS LÄN</t>
        </is>
      </c>
      <c r="G102" t="inlineStr">
        <is>
          <t>DOROTEA</t>
        </is>
      </c>
      <c r="I102" t="n">
        <v>15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46267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3559-2026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46267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46042</v>
      </c>
      <c r="E105" s="1" t="n">
        <v>46267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45742</v>
      </c>
      <c r="E106" s="1" t="n">
        <v>46267</v>
      </c>
      <c r="F106" t="inlineStr">
        <is>
          <t>VÄSTERBOTTENS LÄN</t>
        </is>
      </c>
      <c r="G106" t="inlineStr">
        <is>
          <t>DOROTEA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46267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46267</v>
      </c>
      <c r="F108" t="inlineStr">
        <is>
          <t>VÄSTERBOTTENS LÄN</t>
        </is>
      </c>
      <c r="G108" t="inlineStr">
        <is>
          <t>DOROTEA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46267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46267</v>
      </c>
      <c r="F110" t="inlineStr">
        <is>
          <t>VÄSTERBOTTENS LÄN</t>
        </is>
      </c>
      <c r="G110" t="inlineStr">
        <is>
          <t>DOROTEA</t>
        </is>
      </c>
      <c r="I110" t="n">
        <v>22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46267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46267</v>
      </c>
      <c r="F112" t="inlineStr">
        <is>
          <t>VÄSTERBOTTENS LÄN</t>
        </is>
      </c>
      <c r="G112" t="inlineStr">
        <is>
          <t>DOROTEA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45491</v>
      </c>
      <c r="E113" s="1" t="n">
        <v>46267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Sveaskog</t>
        </is>
      </c>
      <c r="I113" t="n">
        <v>13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46267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45883</v>
      </c>
      <c r="E115" s="1" t="n">
        <v>46267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46043</v>
      </c>
      <c r="E116" s="1" t="n">
        <v>46267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46267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46267</v>
      </c>
      <c r="F118" t="inlineStr">
        <is>
          <t>VÄSTERBOTTENS LÄN</t>
        </is>
      </c>
      <c r="G118" t="inlineStr">
        <is>
          <t>DOROTEA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29258-2025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46267</v>
      </c>
      <c r="F119" t="inlineStr">
        <is>
          <t>VÄSTERBOTTENS LÄN</t>
        </is>
      </c>
      <c r="G119" t="inlineStr">
        <is>
          <t>DOROTEA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45565</v>
      </c>
      <c r="E120" s="1" t="n">
        <v>46267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45552</v>
      </c>
      <c r="E121" s="1" t="n">
        <v>46267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7429-2023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44971</v>
      </c>
      <c r="E122" s="1" t="n">
        <v>46267</v>
      </c>
      <c r="F122" t="inlineStr">
        <is>
          <t>VÄSTERBOTTENS LÄN</t>
        </is>
      </c>
      <c r="G122" t="inlineStr">
        <is>
          <t>DOROTEA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46267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45893</v>
      </c>
      <c r="E124" s="1" t="n">
        <v>46267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46267</v>
      </c>
      <c r="F125" t="inlineStr">
        <is>
          <t>VÄSTERBOTTENS LÄN</t>
        </is>
      </c>
      <c r="G125" t="inlineStr">
        <is>
          <t>DOROTEA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46267</v>
      </c>
      <c r="F126" t="inlineStr">
        <is>
          <t>VÄSTERBOTTENS LÄN</t>
        </is>
      </c>
      <c r="G126" t="inlineStr">
        <is>
          <t>DOROTEA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46267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46267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23213-2022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44719</v>
      </c>
      <c r="E129" s="1" t="n">
        <v>46267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46267</v>
      </c>
      <c r="F130" t="inlineStr">
        <is>
          <t>VÄSTERBOTTENS LÄN</t>
        </is>
      </c>
      <c r="G130" t="inlineStr">
        <is>
          <t>DOROTEA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46267</v>
      </c>
      <c r="F131" t="inlineStr">
        <is>
          <t>VÄSTERBOTTENS LÄN</t>
        </is>
      </c>
      <c r="G131" t="inlineStr">
        <is>
          <t>DOROTEA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46267</v>
      </c>
      <c r="F132" t="inlineStr">
        <is>
          <t>VÄSTERBOTTENS LÄN</t>
        </is>
      </c>
      <c r="G132" t="inlineStr">
        <is>
          <t>DOROTEA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46267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46267</v>
      </c>
      <c r="F134" t="inlineStr">
        <is>
          <t>VÄSTERBOTTENS LÄN</t>
        </is>
      </c>
      <c r="G134" t="inlineStr">
        <is>
          <t>DOROTEA</t>
        </is>
      </c>
      <c r="H134" t="inlineStr">
        <is>
          <t>Övriga Aktiebolag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46267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34279-2025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46267</v>
      </c>
      <c r="F136" t="inlineStr">
        <is>
          <t>VÄSTERBOTTENS LÄN</t>
        </is>
      </c>
      <c r="G136" t="inlineStr">
        <is>
          <t>DOROTEA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46267</v>
      </c>
      <c r="F137" t="inlineStr">
        <is>
          <t>VÄSTERBOTTENS LÄN</t>
        </is>
      </c>
      <c r="G137" t="inlineStr">
        <is>
          <t>DOROTEA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46267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45848</v>
      </c>
      <c r="E139" s="1" t="n">
        <v>46267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46267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46267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46267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45852</v>
      </c>
      <c r="E143" s="1" t="n">
        <v>46267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46267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46267</v>
      </c>
      <c r="F145" t="inlineStr">
        <is>
          <t>VÄSTERBOTTENS LÄN</t>
        </is>
      </c>
      <c r="G145" t="inlineStr">
        <is>
          <t>DOROTEA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46267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45855</v>
      </c>
      <c r="E147" s="1" t="n">
        <v>46267</v>
      </c>
      <c r="F147" t="inlineStr">
        <is>
          <t>VÄSTERBOTTENS LÄN</t>
        </is>
      </c>
      <c r="G147" t="inlineStr">
        <is>
          <t>DOROTEA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46267</v>
      </c>
      <c r="F148" t="inlineStr">
        <is>
          <t>VÄSTERBOTTENS LÄN</t>
        </is>
      </c>
      <c r="G148" t="inlineStr">
        <is>
          <t>DOROTEA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25028-2024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45461</v>
      </c>
      <c r="E149" s="1" t="n">
        <v>46267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46267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46267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44282-2025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45916</v>
      </c>
      <c r="E152" s="1" t="n">
        <v>46267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45866</v>
      </c>
      <c r="E153" s="1" t="n">
        <v>46267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46267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46267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46267</v>
      </c>
      <c r="F156" t="inlineStr">
        <is>
          <t>VÄSTERBOTTENS LÄN</t>
        </is>
      </c>
      <c r="G156" t="inlineStr">
        <is>
          <t>DOROTEA</t>
        </is>
      </c>
      <c r="H156" t="inlineStr">
        <is>
          <t>Övriga statliga verk och myndigheter</t>
        </is>
      </c>
      <c r="I156" t="n">
        <v>15.2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45866</v>
      </c>
      <c r="E157" s="1" t="n">
        <v>46267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46267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46267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46267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46267</v>
      </c>
      <c r="F161" t="inlineStr">
        <is>
          <t>VÄSTERBOTTENS LÄN</t>
        </is>
      </c>
      <c r="G161" t="inlineStr">
        <is>
          <t>DOROTEA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44956</v>
      </c>
      <c r="E162" s="1" t="n">
        <v>46267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46267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46267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45874</v>
      </c>
      <c r="E165" s="1" t="n">
        <v>46267</v>
      </c>
      <c r="F165" t="inlineStr">
        <is>
          <t>VÄSTERBOTTENS LÄN</t>
        </is>
      </c>
      <c r="G165" t="inlineStr">
        <is>
          <t>DOROTEA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45845</v>
      </c>
      <c r="E166" s="1" t="n">
        <v>46267</v>
      </c>
      <c r="F166" t="inlineStr">
        <is>
          <t>VÄSTERBOTTENS LÄN</t>
        </is>
      </c>
      <c r="G166" t="inlineStr">
        <is>
          <t>DOROTEA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45876</v>
      </c>
      <c r="E167" s="1" t="n">
        <v>46267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46267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46267</v>
      </c>
      <c r="F169" t="inlineStr">
        <is>
          <t>VÄSTERBOTTENS LÄN</t>
        </is>
      </c>
      <c r="G169" t="inlineStr">
        <is>
          <t>DOROTEA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46267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45519</v>
      </c>
      <c r="E171" s="1" t="n">
        <v>46267</v>
      </c>
      <c r="F171" t="inlineStr">
        <is>
          <t>VÄSTERBOTTENS LÄN</t>
        </is>
      </c>
      <c r="G171" t="inlineStr">
        <is>
          <t>DOROTEA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46267</v>
      </c>
      <c r="F172" t="inlineStr">
        <is>
          <t>VÄSTERBOTTENS LÄN</t>
        </is>
      </c>
      <c r="G172" t="inlineStr">
        <is>
          <t>DOROTEA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45877</v>
      </c>
      <c r="E173" s="1" t="n">
        <v>46267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45712</v>
      </c>
      <c r="E174" s="1" t="n">
        <v>46267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46267</v>
      </c>
      <c r="F175" t="inlineStr">
        <is>
          <t>VÄSTERBOTTENS LÄN</t>
        </is>
      </c>
      <c r="G175" t="inlineStr">
        <is>
          <t>DOROTEA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46267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46267</v>
      </c>
      <c r="F177" t="inlineStr">
        <is>
          <t>VÄSTERBOTTENS LÄN</t>
        </is>
      </c>
      <c r="G177" t="inlineStr">
        <is>
          <t>DOROTEA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46267</v>
      </c>
      <c r="F178" t="inlineStr">
        <is>
          <t>VÄSTERBOTTENS LÄN</t>
        </is>
      </c>
      <c r="G178" t="inlineStr">
        <is>
          <t>DOROTEA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46267</v>
      </c>
      <c r="F179" t="inlineStr">
        <is>
          <t>VÄSTERBOTTENS LÄN</t>
        </is>
      </c>
      <c r="G179" t="inlineStr">
        <is>
          <t>DOROTEA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46267</v>
      </c>
      <c r="F180" t="inlineStr">
        <is>
          <t>VÄSTERBOTTENS LÄN</t>
        </is>
      </c>
      <c r="G180" t="inlineStr">
        <is>
          <t>DOROTEA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46054</v>
      </c>
      <c r="E181" s="1" t="n">
        <v>46267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46267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48531-2025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46267</v>
      </c>
      <c r="F183" t="inlineStr">
        <is>
          <t>VÄSTERBOTTENS LÄN</t>
        </is>
      </c>
      <c r="G183" t="inlineStr">
        <is>
          <t>DOROTEA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46267</v>
      </c>
      <c r="F184" t="inlineStr">
        <is>
          <t>VÄSTERBOTTENS LÄN</t>
        </is>
      </c>
      <c r="G184" t="inlineStr">
        <is>
          <t>DOROTEA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46267</v>
      </c>
      <c r="F185" t="inlineStr">
        <is>
          <t>VÄSTERBOTTENS LÄN</t>
        </is>
      </c>
      <c r="G185" t="inlineStr">
        <is>
          <t>DOROTEA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45125</v>
      </c>
      <c r="E186" s="1" t="n">
        <v>46267</v>
      </c>
      <c r="F186" t="inlineStr">
        <is>
          <t>VÄSTERBOTTENS LÄN</t>
        </is>
      </c>
      <c r="G186" t="inlineStr">
        <is>
          <t>DOROTEA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46267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46267</v>
      </c>
      <c r="F188" t="inlineStr">
        <is>
          <t>VÄSTERBOTTENS LÄN</t>
        </is>
      </c>
      <c r="G188" t="inlineStr">
        <is>
          <t>DOROTEA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46267</v>
      </c>
      <c r="F189" t="inlineStr">
        <is>
          <t>VÄSTERBOTTENS LÄN</t>
        </is>
      </c>
      <c r="G189" t="inlineStr">
        <is>
          <t>DOROTEA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46267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46063</v>
      </c>
      <c r="E191" s="1" t="n">
        <v>46267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45182</v>
      </c>
      <c r="E192" s="1" t="n">
        <v>46267</v>
      </c>
      <c r="F192" t="inlineStr">
        <is>
          <t>VÄSTERBOTTENS LÄN</t>
        </is>
      </c>
      <c r="G192" t="inlineStr">
        <is>
          <t>DOROTEA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46267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46267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45149</v>
      </c>
      <c r="E195" s="1" t="n">
        <v>46267</v>
      </c>
      <c r="F195" t="inlineStr">
        <is>
          <t>VÄSTERBOTTENS LÄN</t>
        </is>
      </c>
      <c r="G195" t="inlineStr">
        <is>
          <t>DOROTEA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46267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46267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40434-2023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45169</v>
      </c>
      <c r="E198" s="1" t="n">
        <v>46267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46267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46267</v>
      </c>
      <c r="F200" t="inlineStr">
        <is>
          <t>VÄSTERBOTTENS LÄN</t>
        </is>
      </c>
      <c r="G200" t="inlineStr">
        <is>
          <t>DOROTEA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60145-2021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44494</v>
      </c>
      <c r="E201" s="1" t="n">
        <v>46267</v>
      </c>
      <c r="F201" t="inlineStr">
        <is>
          <t>VÄSTERBOTTENS LÄN</t>
        </is>
      </c>
      <c r="G201" t="inlineStr">
        <is>
          <t>DOROTEA</t>
        </is>
      </c>
      <c r="I201" t="n">
        <v>13.3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46267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46267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46267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45475</v>
      </c>
      <c r="E205" s="1" t="n">
        <v>46267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46267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46072</v>
      </c>
      <c r="E207" s="1" t="n">
        <v>46267</v>
      </c>
      <c r="F207" t="inlineStr">
        <is>
          <t>VÄSTERBOTTENS LÄN</t>
        </is>
      </c>
      <c r="G207" t="inlineStr">
        <is>
          <t>DOROTEA</t>
        </is>
      </c>
      <c r="I207" t="n">
        <v>20.1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46267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45013</v>
      </c>
      <c r="E209" s="1" t="n">
        <v>46267</v>
      </c>
      <c r="F209" t="inlineStr">
        <is>
          <t>VÄSTERBOTTENS LÄN</t>
        </is>
      </c>
      <c r="G209" t="inlineStr">
        <is>
          <t>DOROTEA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46267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46267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46267</v>
      </c>
      <c r="F212" t="inlineStr">
        <is>
          <t>VÄSTERBOTTENS LÄN</t>
        </is>
      </c>
      <c r="G212" t="inlineStr">
        <is>
          <t>DOROTEA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46267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46267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46267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46267</v>
      </c>
      <c r="F216" t="inlineStr">
        <is>
          <t>VÄSTERBOTTENS LÄN</t>
        </is>
      </c>
      <c r="G216" t="inlineStr">
        <is>
          <t>DOROTEA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46267</v>
      </c>
      <c r="F217" t="inlineStr">
        <is>
          <t>VÄSTERBOTTENS LÄN</t>
        </is>
      </c>
      <c r="G217" t="inlineStr">
        <is>
          <t>DOROTEA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45977</v>
      </c>
      <c r="E218" s="1" t="n">
        <v>46267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46267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45980</v>
      </c>
      <c r="E220" s="1" t="n">
        <v>46267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45980</v>
      </c>
      <c r="E221" s="1" t="n">
        <v>46267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46267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46267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46267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18.2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46267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46267</v>
      </c>
      <c r="F226" t="inlineStr">
        <is>
          <t>VÄSTERBOTTENS LÄN</t>
        </is>
      </c>
      <c r="G226" t="inlineStr">
        <is>
          <t>DOROTEA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46267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46267</v>
      </c>
      <c r="F228" t="inlineStr">
        <is>
          <t>VÄSTERBOTTENS LÄN</t>
        </is>
      </c>
      <c r="G228" t="inlineStr">
        <is>
          <t>DOROTEA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46267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46267</v>
      </c>
      <c r="F230" t="inlineStr">
        <is>
          <t>VÄSTERBOTTENS LÄN</t>
        </is>
      </c>
      <c r="G230" t="inlineStr">
        <is>
          <t>DOROTEA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46267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46267</v>
      </c>
      <c r="F232" t="inlineStr">
        <is>
          <t>VÄSTERBOTTENS LÄN</t>
        </is>
      </c>
      <c r="G232" t="inlineStr">
        <is>
          <t>DOROTEA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46086</v>
      </c>
      <c r="E233" s="1" t="n">
        <v>46267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44568</v>
      </c>
      <c r="E234" s="1" t="n">
        <v>46267</v>
      </c>
      <c r="F234" t="inlineStr">
        <is>
          <t>VÄSTERBOTTENS LÄN</t>
        </is>
      </c>
      <c r="G234" t="inlineStr">
        <is>
          <t>DOROTEA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35937-2025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45862</v>
      </c>
      <c r="E235" s="1" t="n">
        <v>46267</v>
      </c>
      <c r="F235" t="inlineStr">
        <is>
          <t>VÄSTERBOTTENS LÄN</t>
        </is>
      </c>
      <c r="G235" t="inlineStr">
        <is>
          <t>DOROTEA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45996</v>
      </c>
      <c r="E236" s="1" t="n">
        <v>46267</v>
      </c>
      <c r="F236" t="inlineStr">
        <is>
          <t>VÄSTERBOTTENS LÄN</t>
        </is>
      </c>
      <c r="G236" t="inlineStr">
        <is>
          <t>DOROTEA</t>
        </is>
      </c>
      <c r="I236" t="n">
        <v>23.9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46267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45036</v>
      </c>
      <c r="E238" s="1" t="n">
        <v>46267</v>
      </c>
      <c r="F238" t="inlineStr">
        <is>
          <t>VÄSTERBOTTENS LÄN</t>
        </is>
      </c>
      <c r="G238" t="inlineStr">
        <is>
          <t>DOROTEA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46267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41771-2024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46267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55919-2023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45239</v>
      </c>
      <c r="E241" s="1" t="n">
        <v>46267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46267</v>
      </c>
      <c r="F242" t="inlineStr">
        <is>
          <t>VÄSTERBOTTENS LÄN</t>
        </is>
      </c>
      <c r="G242" t="inlineStr">
        <is>
          <t>DOROTEA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46267</v>
      </c>
      <c r="F243" t="inlineStr">
        <is>
          <t>VÄSTERBOTTENS LÄN</t>
        </is>
      </c>
      <c r="G243" t="inlineStr">
        <is>
          <t>DOROTEA</t>
        </is>
      </c>
      <c r="H243" t="inlineStr">
        <is>
          <t>Allmännings- och besparingsskogar</t>
        </is>
      </c>
      <c r="I243" t="n">
        <v>22.1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46267</v>
      </c>
      <c r="F244" t="inlineStr">
        <is>
          <t>VÄSTERBOTTENS LÄN</t>
        </is>
      </c>
      <c r="G244" t="inlineStr">
        <is>
          <t>DOROTEA</t>
        </is>
      </c>
      <c r="H244" t="inlineStr">
        <is>
          <t>Allmännings- och besparingsskogar</t>
        </is>
      </c>
      <c r="I244" t="n">
        <v>20.3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46267</v>
      </c>
      <c r="F245" t="inlineStr">
        <is>
          <t>VÄSTERBOTTENS LÄN</t>
        </is>
      </c>
      <c r="G245" t="inlineStr">
        <is>
          <t>DOROTEA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62193-2025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46003</v>
      </c>
      <c r="E246" s="1" t="n">
        <v>46267</v>
      </c>
      <c r="F246" t="inlineStr">
        <is>
          <t>VÄSTERBOTTENS LÄN</t>
        </is>
      </c>
      <c r="G246" t="inlineStr">
        <is>
          <t>DOROTEA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46267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46267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46267</v>
      </c>
      <c r="F249" t="inlineStr">
        <is>
          <t>VÄSTERBOTTENS LÄN</t>
        </is>
      </c>
      <c r="G249" t="inlineStr">
        <is>
          <t>DOROTEA</t>
        </is>
      </c>
      <c r="I249" t="n">
        <v>16.7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46267</v>
      </c>
      <c r="F250" t="inlineStr">
        <is>
          <t>VÄSTERBOTTENS LÄN</t>
        </is>
      </c>
      <c r="G250" t="inlineStr">
        <is>
          <t>DOROTEA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46267</v>
      </c>
      <c r="F251" t="inlineStr">
        <is>
          <t>VÄSTERBOTTENS LÄN</t>
        </is>
      </c>
      <c r="G251" t="inlineStr">
        <is>
          <t>DOROTEA</t>
        </is>
      </c>
      <c r="I251" t="n">
        <v>13.2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46267</v>
      </c>
      <c r="F252" t="inlineStr">
        <is>
          <t>VÄSTERBOTTENS LÄN</t>
        </is>
      </c>
      <c r="G252" t="inlineStr">
        <is>
          <t>DOROTEA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62424-2025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46267</v>
      </c>
      <c r="F253" t="inlineStr">
        <is>
          <t>VÄSTERBOTTENS LÄN</t>
        </is>
      </c>
      <c r="G253" t="inlineStr">
        <is>
          <t>DOROTEA</t>
        </is>
      </c>
      <c r="I253" t="n">
        <v>12.3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46267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9.4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46267</v>
      </c>
      <c r="F255" t="inlineStr">
        <is>
          <t>VÄSTERBOTTENS LÄN</t>
        </is>
      </c>
      <c r="G255" t="inlineStr">
        <is>
          <t>DOROTEA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46267</v>
      </c>
      <c r="F256" t="inlineStr">
        <is>
          <t>VÄSTERBOTTENS LÄN</t>
        </is>
      </c>
      <c r="G256" t="inlineStr">
        <is>
          <t>DOROTEA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9102-2023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44979</v>
      </c>
      <c r="E257" s="1" t="n">
        <v>46267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9.4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63745-2025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46017</v>
      </c>
      <c r="E258" s="1" t="n">
        <v>46267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45520</v>
      </c>
      <c r="E259" s="1" t="n">
        <v>46267</v>
      </c>
      <c r="F259" t="inlineStr">
        <is>
          <t>VÄSTERBOTTENS LÄN</t>
        </is>
      </c>
      <c r="G259" t="inlineStr">
        <is>
          <t>DOROTEA</t>
        </is>
      </c>
      <c r="I259" t="n">
        <v>11.1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46267</v>
      </c>
      <c r="F260" t="inlineStr">
        <is>
          <t>VÄSTERBOTTENS LÄN</t>
        </is>
      </c>
      <c r="G260" t="inlineStr">
        <is>
          <t>DOROTEA</t>
        </is>
      </c>
      <c r="I260" t="n">
        <v>18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46104</v>
      </c>
      <c r="E261" s="1" t="n">
        <v>46267</v>
      </c>
      <c r="F261" t="inlineStr">
        <is>
          <t>VÄSTERBOTTENS LÄN</t>
        </is>
      </c>
      <c r="G261" t="inlineStr">
        <is>
          <t>DOROTEA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46267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45036</v>
      </c>
      <c r="E263" s="1" t="n">
        <v>46267</v>
      </c>
      <c r="F263" t="inlineStr">
        <is>
          <t>VÄSTERBOTTENS LÄN</t>
        </is>
      </c>
      <c r="G263" t="inlineStr">
        <is>
          <t>DOROTEA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46267</v>
      </c>
      <c r="F264" t="inlineStr">
        <is>
          <t>VÄSTERBOTTENS LÄN</t>
        </is>
      </c>
      <c r="G264" t="inlineStr">
        <is>
          <t>DOROTEA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46267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45556</v>
      </c>
      <c r="E266" s="1" t="n">
        <v>46267</v>
      </c>
      <c r="F266" t="inlineStr">
        <is>
          <t>VÄSTERBOTTENS LÄN</t>
        </is>
      </c>
      <c r="G266" t="inlineStr">
        <is>
          <t>DOROTEA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46267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46267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46267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46966-2024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45586</v>
      </c>
      <c r="E270" s="1" t="n">
        <v>46267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Sveaskog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46267</v>
      </c>
      <c r="F271" t="inlineStr">
        <is>
          <t>VÄSTERBOTTENS LÄN</t>
        </is>
      </c>
      <c r="G271" t="inlineStr">
        <is>
          <t>DOROTEA</t>
        </is>
      </c>
      <c r="H271" t="inlineStr">
        <is>
          <t>Kommuner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46267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46267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27.7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46267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46267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45721</v>
      </c>
      <c r="E276" s="1" t="n">
        <v>46267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46267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46123</v>
      </c>
      <c r="E278" s="1" t="n">
        <v>46267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46267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18.3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46267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45331</v>
      </c>
      <c r="E281" s="1" t="n">
        <v>46267</v>
      </c>
      <c r="F281" t="inlineStr">
        <is>
          <t>VÄSTERBOTTENS LÄN</t>
        </is>
      </c>
      <c r="G281" t="inlineStr">
        <is>
          <t>DOROTEA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46267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18310-2026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46267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46267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46267</v>
      </c>
      <c r="F285" t="inlineStr">
        <is>
          <t>VÄSTERBOTTENS LÄN</t>
        </is>
      </c>
      <c r="G285" t="inlineStr">
        <is>
          <t>DOROTEA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45148</v>
      </c>
      <c r="E286" s="1" t="n">
        <v>46267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53357-2024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46267</v>
      </c>
      <c r="F287" t="inlineStr">
        <is>
          <t>VÄSTERBOTTENS LÄN</t>
        </is>
      </c>
      <c r="G287" t="inlineStr">
        <is>
          <t>DOROTEA</t>
        </is>
      </c>
      <c r="I287" t="n">
        <v>26.5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19445-2026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46267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46267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46267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46267</v>
      </c>
      <c r="F291" t="inlineStr">
        <is>
          <t>VÄSTERBOTTENS LÄN</t>
        </is>
      </c>
      <c r="G291" t="inlineStr">
        <is>
          <t>DOROTEA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45672</v>
      </c>
      <c r="E292" s="1" t="n">
        <v>46267</v>
      </c>
      <c r="F292" t="inlineStr">
        <is>
          <t>VÄSTERBOTTENS LÄN</t>
        </is>
      </c>
      <c r="G292" t="inlineStr">
        <is>
          <t>DOROTEA</t>
        </is>
      </c>
      <c r="H292" t="inlineStr">
        <is>
          <t>Kommuner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46267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13.5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46267</v>
      </c>
      <c r="F294" t="inlineStr">
        <is>
          <t>VÄSTERBOTTENS LÄN</t>
        </is>
      </c>
      <c r="G294" t="inlineStr">
        <is>
          <t>DOROTEA</t>
        </is>
      </c>
      <c r="I294" t="n">
        <v>14.7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46267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45855</v>
      </c>
      <c r="E296" s="1" t="n">
        <v>46267</v>
      </c>
      <c r="F296" t="inlineStr">
        <is>
          <t>VÄSTERBOTTENS LÄN</t>
        </is>
      </c>
      <c r="G296" t="inlineStr">
        <is>
          <t>DOROTEA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36096-2025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45866</v>
      </c>
      <c r="E297" s="1" t="n">
        <v>46267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45295</v>
      </c>
      <c r="E298" s="1" t="n">
        <v>46267</v>
      </c>
      <c r="F298" t="inlineStr">
        <is>
          <t>VÄSTERBOTTENS LÄN</t>
        </is>
      </c>
      <c r="G298" t="inlineStr">
        <is>
          <t>DOROTEA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63294-2025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46010</v>
      </c>
      <c r="E299" s="1" t="n">
        <v>46267</v>
      </c>
      <c r="F299" t="inlineStr">
        <is>
          <t>VÄSTERBOTTENS LÄN</t>
        </is>
      </c>
      <c r="G299" t="inlineStr">
        <is>
          <t>DOROTEA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46267</v>
      </c>
      <c r="F300" t="inlineStr">
        <is>
          <t>VÄSTERBOTTENS LÄN</t>
        </is>
      </c>
      <c r="G300" t="inlineStr">
        <is>
          <t>DOROTEA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46267</v>
      </c>
      <c r="F301" t="inlineStr">
        <is>
          <t>VÄSTERBOTTENS LÄN</t>
        </is>
      </c>
      <c r="G301" t="inlineStr">
        <is>
          <t>DOROTEA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46267</v>
      </c>
      <c r="F302" t="inlineStr">
        <is>
          <t>VÄSTERBOTTENS LÄN</t>
        </is>
      </c>
      <c r="G302" t="inlineStr">
        <is>
          <t>DOROTEA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63575-2025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46267</v>
      </c>
      <c r="F303" t="inlineStr">
        <is>
          <t>VÄSTERBOTTENS LÄN</t>
        </is>
      </c>
      <c r="G303" t="inlineStr">
        <is>
          <t>DOROTEA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53272-2024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46267</v>
      </c>
      <c r="F304" t="inlineStr">
        <is>
          <t>VÄSTERBOTTENS LÄN</t>
        </is>
      </c>
      <c r="G304" t="inlineStr">
        <is>
          <t>DOROTEA</t>
        </is>
      </c>
      <c r="I304" t="n">
        <v>31.7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55889-2022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46267</v>
      </c>
      <c r="F305" t="inlineStr">
        <is>
          <t>VÄSTERBOTTENS LÄN</t>
        </is>
      </c>
      <c r="G305" t="inlineStr">
        <is>
          <t>DOROTEA</t>
        </is>
      </c>
      <c r="I305" t="n">
        <v>15.8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46267</v>
      </c>
      <c r="F306" t="inlineStr">
        <is>
          <t>VÄSTERBOTTENS LÄN</t>
        </is>
      </c>
      <c r="G306" t="inlineStr">
        <is>
          <t>DOROTEA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46267</v>
      </c>
      <c r="F307" t="inlineStr">
        <is>
          <t>VÄSTERBOTTENS LÄN</t>
        </is>
      </c>
      <c r="G307" t="inlineStr">
        <is>
          <t>DOROTEA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46267</v>
      </c>
      <c r="F308" t="inlineStr">
        <is>
          <t>VÄSTERBOTTENS LÄN</t>
        </is>
      </c>
      <c r="G308" t="inlineStr">
        <is>
          <t>DOROTEA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46267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46267</v>
      </c>
      <c r="F310" t="inlineStr">
        <is>
          <t>VÄSTERBOTTENS LÄN</t>
        </is>
      </c>
      <c r="G310" t="inlineStr">
        <is>
          <t>DOROTEA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46267</v>
      </c>
      <c r="F311" t="inlineStr">
        <is>
          <t>VÄSTERBOTTENS LÄN</t>
        </is>
      </c>
      <c r="G311" t="inlineStr">
        <is>
          <t>DOROTEA</t>
        </is>
      </c>
      <c r="I311" t="n">
        <v>13.3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45876</v>
      </c>
      <c r="E312" s="1" t="n">
        <v>46267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45351</v>
      </c>
      <c r="E313" s="1" t="n">
        <v>46267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46267</v>
      </c>
      <c r="F314" t="inlineStr">
        <is>
          <t>VÄSTERBOTTENS LÄN</t>
        </is>
      </c>
      <c r="G314" t="inlineStr">
        <is>
          <t>DOROTEA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46267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46267</v>
      </c>
      <c r="F316" t="inlineStr">
        <is>
          <t>VÄSTERBOTTENS LÄN</t>
        </is>
      </c>
      <c r="G316" t="inlineStr">
        <is>
          <t>DOROTEA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46267</v>
      </c>
      <c r="F317" t="inlineStr">
        <is>
          <t>VÄSTERBOTTENS LÄN</t>
        </is>
      </c>
      <c r="G317" t="inlineStr">
        <is>
          <t>DOROTEA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46267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46267</v>
      </c>
      <c r="F319" t="inlineStr">
        <is>
          <t>VÄSTERBOTTENS LÄN</t>
        </is>
      </c>
      <c r="G319" t="inlineStr">
        <is>
          <t>DOROTEA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46267</v>
      </c>
      <c r="F320" t="inlineStr">
        <is>
          <t>VÄSTERBOTTENS LÄN</t>
        </is>
      </c>
      <c r="G320" t="inlineStr">
        <is>
          <t>DOROTEA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46136</v>
      </c>
      <c r="E321" s="1" t="n">
        <v>46267</v>
      </c>
      <c r="F321" t="inlineStr">
        <is>
          <t>VÄSTERBOTTENS LÄN</t>
        </is>
      </c>
      <c r="G321" t="inlineStr">
        <is>
          <t>DOROTEA</t>
        </is>
      </c>
      <c r="I321" t="n">
        <v>21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46267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46267</v>
      </c>
      <c r="F323" t="inlineStr">
        <is>
          <t>VÄSTERBOTTENS LÄN</t>
        </is>
      </c>
      <c r="G323" t="inlineStr">
        <is>
          <t>DOROTEA</t>
        </is>
      </c>
      <c r="I323" t="n">
        <v>17.8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45735</v>
      </c>
      <c r="E324" s="1" t="n">
        <v>46267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46267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46267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46267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46147</v>
      </c>
      <c r="E328" s="1" t="n">
        <v>46267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46147</v>
      </c>
      <c r="E329" s="1" t="n">
        <v>46267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46149</v>
      </c>
      <c r="E330" s="1" t="n">
        <v>46267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21812-2026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46267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46150</v>
      </c>
      <c r="E332" s="1" t="n">
        <v>46267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44748</v>
      </c>
      <c r="E333" s="1" t="n">
        <v>46267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46267</v>
      </c>
      <c r="F334" t="inlineStr">
        <is>
          <t>VÄSTERBOTTENS LÄN</t>
        </is>
      </c>
      <c r="G334" t="inlineStr">
        <is>
          <t>DOROTEA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46189</v>
      </c>
      <c r="E335" s="1" t="n">
        <v>46267</v>
      </c>
      <c r="F335" t="inlineStr">
        <is>
          <t>VÄSTERBOTTENS LÄN</t>
        </is>
      </c>
      <c r="G335" t="inlineStr">
        <is>
          <t>DOROTEA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46267</v>
      </c>
      <c r="F336" t="inlineStr">
        <is>
          <t>VÄSTERBOTTENS LÄN</t>
        </is>
      </c>
      <c r="G336" t="inlineStr">
        <is>
          <t>DOROTEA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47494-2023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45202</v>
      </c>
      <c r="E337" s="1" t="n">
        <v>46267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46267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55888-2022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44888</v>
      </c>
      <c r="E339" s="1" t="n">
        <v>46267</v>
      </c>
      <c r="F339" t="inlineStr">
        <is>
          <t>VÄSTERBOTTENS LÄN</t>
        </is>
      </c>
      <c r="G339" t="inlineStr">
        <is>
          <t>DOROTEA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44974</v>
      </c>
      <c r="E340" s="1" t="n">
        <v>46267</v>
      </c>
      <c r="F340" t="inlineStr">
        <is>
          <t>VÄSTERBOTTENS LÄN</t>
        </is>
      </c>
      <c r="G340" t="inlineStr">
        <is>
          <t>DOROTEA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46267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44960</v>
      </c>
      <c r="E342" s="1" t="n">
        <v>46267</v>
      </c>
      <c r="F342" t="inlineStr">
        <is>
          <t>VÄSTERBOTTENS LÄN</t>
        </is>
      </c>
      <c r="G342" t="inlineStr">
        <is>
          <t>DOROTEA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45747</v>
      </c>
      <c r="E343" s="1" t="n">
        <v>46267</v>
      </c>
      <c r="F343" t="inlineStr">
        <is>
          <t>VÄSTERBOTTENS LÄN</t>
        </is>
      </c>
      <c r="G343" t="inlineStr">
        <is>
          <t>DOROTEA</t>
        </is>
      </c>
      <c r="I343" t="n">
        <v>10.3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46155</v>
      </c>
      <c r="E344" s="1" t="n">
        <v>46267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46107</v>
      </c>
      <c r="E345" s="1" t="n">
        <v>46267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45246</v>
      </c>
      <c r="E346" s="1" t="n">
        <v>46267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46267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46267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45882</v>
      </c>
      <c r="E349" s="1" t="n">
        <v>46267</v>
      </c>
      <c r="F349" t="inlineStr">
        <is>
          <t>VÄSTERBOTTENS LÄN</t>
        </is>
      </c>
      <c r="G349" t="inlineStr">
        <is>
          <t>DOROTEA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45505</v>
      </c>
      <c r="E350" s="1" t="n">
        <v>46267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46267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46267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30461-2024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45491</v>
      </c>
      <c r="E353" s="1" t="n">
        <v>46267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45962</v>
      </c>
      <c r="E354" s="1" t="n">
        <v>46267</v>
      </c>
      <c r="F354" t="inlineStr">
        <is>
          <t>VÄSTERBOTTENS LÄN</t>
        </is>
      </c>
      <c r="G354" t="inlineStr">
        <is>
          <t>DOROTEA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56807-2021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44481</v>
      </c>
      <c r="E355" s="1" t="n">
        <v>46267</v>
      </c>
      <c r="F355" t="inlineStr">
        <is>
          <t>VÄSTERBOTTENS LÄN</t>
        </is>
      </c>
      <c r="G355" t="inlineStr">
        <is>
          <t>DOROTEA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46267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46267</v>
      </c>
      <c r="F357" t="inlineStr">
        <is>
          <t>VÄSTERBOTTENS LÄN</t>
        </is>
      </c>
      <c r="G357" t="inlineStr">
        <is>
          <t>DOROTEA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45642</v>
      </c>
      <c r="E358" s="1" t="n">
        <v>46267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14163-2024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45392</v>
      </c>
      <c r="E359" s="1" t="n">
        <v>46267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38700-2024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45547</v>
      </c>
      <c r="E360" s="1" t="n">
        <v>46267</v>
      </c>
      <c r="F360" t="inlineStr">
        <is>
          <t>VÄSTERBOTTENS LÄN</t>
        </is>
      </c>
      <c r="G360" t="inlineStr">
        <is>
          <t>DOROTEA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50582-2024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45600</v>
      </c>
      <c r="E361" s="1" t="n">
        <v>46267</v>
      </c>
      <c r="F361" t="inlineStr">
        <is>
          <t>VÄSTERBOTTENS LÄN</t>
        </is>
      </c>
      <c r="G361" t="inlineStr">
        <is>
          <t>DOROTEA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46817-2022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44848</v>
      </c>
      <c r="E362" s="1" t="n">
        <v>46267</v>
      </c>
      <c r="F362" t="inlineStr">
        <is>
          <t>VÄSTERBOTTENS LÄN</t>
        </is>
      </c>
      <c r="G362" t="inlineStr">
        <is>
          <t>DOROTEA</t>
        </is>
      </c>
      <c r="I362" t="n">
        <v>29.8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46267</v>
      </c>
      <c r="F363" t="inlineStr">
        <is>
          <t>VÄSTERBOTTENS LÄN</t>
        </is>
      </c>
      <c r="G363" t="inlineStr">
        <is>
          <t>DOROTEA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45565</v>
      </c>
      <c r="E364" s="1" t="n">
        <v>46267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46965-2024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45586</v>
      </c>
      <c r="E365" s="1" t="n">
        <v>46267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Sveaskog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44979</v>
      </c>
      <c r="E366" s="1" t="n">
        <v>46267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46267</v>
      </c>
      <c r="F367" t="inlineStr">
        <is>
          <t>VÄSTERBOTTENS LÄN</t>
        </is>
      </c>
      <c r="G367" t="inlineStr">
        <is>
          <t>DOROTEA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46267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46267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46267</v>
      </c>
      <c r="F370" t="inlineStr">
        <is>
          <t>VÄSTERBOTTENS LÄN</t>
        </is>
      </c>
      <c r="G370" t="inlineStr">
        <is>
          <t>DOROTEA</t>
        </is>
      </c>
      <c r="I370" t="n">
        <v>18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46267</v>
      </c>
      <c r="F371" t="inlineStr">
        <is>
          <t>VÄSTERBOTTENS LÄN</t>
        </is>
      </c>
      <c r="G371" t="inlineStr">
        <is>
          <t>DOROTEA</t>
        </is>
      </c>
      <c r="I371" t="n">
        <v>26.2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46267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46267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46267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27477-2023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45097</v>
      </c>
      <c r="E375" s="1" t="n">
        <v>46267</v>
      </c>
      <c r="F375" t="inlineStr">
        <is>
          <t>VÄSTERBOTTENS LÄN</t>
        </is>
      </c>
      <c r="G375" t="inlineStr">
        <is>
          <t>DOROTEA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46267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46267</v>
      </c>
      <c r="F377" t="inlineStr">
        <is>
          <t>VÄSTERBOTTENS LÄN</t>
        </is>
      </c>
      <c r="G377" t="inlineStr">
        <is>
          <t>DOROTEA</t>
        </is>
      </c>
      <c r="I377" t="n">
        <v>22.7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46267</v>
      </c>
      <c r="F378" t="inlineStr">
        <is>
          <t>VÄSTERBOTTENS LÄN</t>
        </is>
      </c>
      <c r="G378" t="inlineStr">
        <is>
          <t>DOROTEA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46267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26926-2026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46267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46267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17783-2023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46267</v>
      </c>
      <c r="F382" t="inlineStr">
        <is>
          <t>VÄSTERBOTTENS LÄN</t>
        </is>
      </c>
      <c r="G382" t="inlineStr">
        <is>
          <t>DOROTEA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45448</v>
      </c>
      <c r="E383" s="1" t="n">
        <v>46267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45356</v>
      </c>
      <c r="E384" s="1" t="n">
        <v>46267</v>
      </c>
      <c r="F384" t="inlineStr">
        <is>
          <t>VÄSTERBOTTENS LÄN</t>
        </is>
      </c>
      <c r="G384" t="inlineStr">
        <is>
          <t>DOROTEA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19657-2025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45770</v>
      </c>
      <c r="E385" s="1" t="n">
        <v>46267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45351</v>
      </c>
      <c r="E386" s="1" t="n">
        <v>46267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27738-2026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46191</v>
      </c>
      <c r="E387" s="1" t="n">
        <v>46267</v>
      </c>
      <c r="F387" t="inlineStr">
        <is>
          <t>VÄSTERBOTTENS LÄN</t>
        </is>
      </c>
      <c r="G387" t="inlineStr">
        <is>
          <t>DOROTEA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45253</v>
      </c>
      <c r="E388" s="1" t="n">
        <v>46267</v>
      </c>
      <c r="F388" t="inlineStr">
        <is>
          <t>VÄSTERBOTTENS LÄN</t>
        </is>
      </c>
      <c r="G388" t="inlineStr">
        <is>
          <t>DOROTEA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46267</v>
      </c>
      <c r="F389" t="inlineStr">
        <is>
          <t>VÄSTERBOTTENS LÄN</t>
        </is>
      </c>
      <c r="G389" t="inlineStr">
        <is>
          <t>DOROTEA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46267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45055</v>
      </c>
      <c r="E391" s="1" t="n">
        <v>46267</v>
      </c>
      <c r="F391" t="inlineStr">
        <is>
          <t>VÄSTERBOTTENS LÄN</t>
        </is>
      </c>
      <c r="G391" t="inlineStr">
        <is>
          <t>DOROTEA</t>
        </is>
      </c>
      <c r="H391" t="inlineStr">
        <is>
          <t>Övriga statliga verk och myndigheter</t>
        </is>
      </c>
      <c r="I391" t="n">
        <v>13.9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67686-2021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44524</v>
      </c>
      <c r="E392" s="1" t="n">
        <v>46267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46267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32821-2024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45516</v>
      </c>
      <c r="E394" s="1" t="n">
        <v>46267</v>
      </c>
      <c r="F394" t="inlineStr">
        <is>
          <t>VÄSTERBOTTENS LÄN</t>
        </is>
      </c>
      <c r="G394" t="inlineStr">
        <is>
          <t>DOROTEA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57376-2022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44889</v>
      </c>
      <c r="E395" s="1" t="n">
        <v>46267</v>
      </c>
      <c r="F395" t="inlineStr">
        <is>
          <t>VÄSTERBOTTENS LÄN</t>
        </is>
      </c>
      <c r="G395" t="inlineStr">
        <is>
          <t>DOROTEA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45125</v>
      </c>
      <c r="E396" s="1" t="n">
        <v>46267</v>
      </c>
      <c r="F396" t="inlineStr">
        <is>
          <t>VÄSTERBOTTENS LÄN</t>
        </is>
      </c>
      <c r="G396" t="inlineStr">
        <is>
          <t>DOROTEA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45142</v>
      </c>
      <c r="E397" s="1" t="n">
        <v>46267</v>
      </c>
      <c r="F397" t="inlineStr">
        <is>
          <t>VÄSTERBOTTENS LÄN</t>
        </is>
      </c>
      <c r="G397" t="inlineStr">
        <is>
          <t>DOROTEA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46267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49.5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46267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46267</v>
      </c>
      <c r="F400" t="inlineStr">
        <is>
          <t>VÄSTERBOTTENS LÄN</t>
        </is>
      </c>
      <c r="G400" t="inlineStr">
        <is>
          <t>DOROTEA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46267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28783-2026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46267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46267</v>
      </c>
      <c r="F403" t="inlineStr">
        <is>
          <t>VÄSTERBOTTENS LÄN</t>
        </is>
      </c>
      <c r="G403" t="inlineStr">
        <is>
          <t>DOROTEA</t>
        </is>
      </c>
      <c r="I403" t="n">
        <v>12.3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46267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45223</v>
      </c>
      <c r="E405" s="1" t="n">
        <v>46267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46267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46248</v>
      </c>
      <c r="E407" s="1" t="n">
        <v>46267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46267</v>
      </c>
      <c r="F408" t="inlineStr">
        <is>
          <t>VÄSTERBOTTENS LÄN</t>
        </is>
      </c>
      <c r="G408" t="inlineStr">
        <is>
          <t>DOROTEA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22450-2024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45446</v>
      </c>
      <c r="E409" s="1" t="n">
        <v>46267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45642</v>
      </c>
      <c r="E410" s="1" t="n">
        <v>46267</v>
      </c>
      <c r="F410" t="inlineStr">
        <is>
          <t>VÄSTERBOTTENS LÄN</t>
        </is>
      </c>
      <c r="G410" t="inlineStr">
        <is>
          <t>DOROTEA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46267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60015-2023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45257</v>
      </c>
      <c r="E412" s="1" t="n">
        <v>46267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46267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46267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46267</v>
      </c>
      <c r="F415" t="inlineStr">
        <is>
          <t>VÄSTERBOTTENS LÄN</t>
        </is>
      </c>
      <c r="G415" t="inlineStr">
        <is>
          <t>DOROTEA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46267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46267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59394-2023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45253</v>
      </c>
      <c r="E418" s="1" t="n">
        <v>46267</v>
      </c>
      <c r="F418" t="inlineStr">
        <is>
          <t>VÄSTERBOTTENS LÄN</t>
        </is>
      </c>
      <c r="G418" t="inlineStr">
        <is>
          <t>DOROTEA</t>
        </is>
      </c>
      <c r="I418" t="n">
        <v>28.8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27305-2024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45471</v>
      </c>
      <c r="E419" s="1" t="n">
        <v>46267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46267</v>
      </c>
      <c r="F420" t="inlineStr">
        <is>
          <t>VÄSTERBOTTENS LÄN</t>
        </is>
      </c>
      <c r="G420" t="inlineStr">
        <is>
          <t>DOROTEA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30740-2026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46211</v>
      </c>
      <c r="E421" s="1" t="n">
        <v>46267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46267</v>
      </c>
      <c r="F422" t="inlineStr">
        <is>
          <t>VÄSTERBOTTENS LÄN</t>
        </is>
      </c>
      <c r="G422" t="inlineStr">
        <is>
          <t>DOROTEA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46211</v>
      </c>
      <c r="E423" s="1" t="n">
        <v>46267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46267</v>
      </c>
      <c r="F424" t="inlineStr">
        <is>
          <t>VÄSTERBOTTENS LÄN</t>
        </is>
      </c>
      <c r="G424" t="inlineStr">
        <is>
          <t>DOROTEA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46267</v>
      </c>
      <c r="F425" t="inlineStr">
        <is>
          <t>VÄSTERBOTTENS LÄN</t>
        </is>
      </c>
      <c r="G425" t="inlineStr">
        <is>
          <t>DOROTEA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45572</v>
      </c>
      <c r="E426" s="1" t="n">
        <v>46267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45478</v>
      </c>
      <c r="E427" s="1" t="n">
        <v>46267</v>
      </c>
      <c r="F427" t="inlineStr">
        <is>
          <t>VÄSTERBOTTENS LÄN</t>
        </is>
      </c>
      <c r="G427" t="inlineStr">
        <is>
          <t>DOROTEA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53382-2024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45614</v>
      </c>
      <c r="E428" s="1" t="n">
        <v>46267</v>
      </c>
      <c r="F428" t="inlineStr">
        <is>
          <t>VÄSTERBOTTENS LÄN</t>
        </is>
      </c>
      <c r="G428" t="inlineStr">
        <is>
          <t>DOROTEA</t>
        </is>
      </c>
      <c r="I428" t="n">
        <v>11.2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46267</v>
      </c>
      <c r="F429" t="inlineStr">
        <is>
          <t>VÄSTERBOTTENS LÄN</t>
        </is>
      </c>
      <c r="G429" t="inlineStr">
        <is>
          <t>DOROTEA</t>
        </is>
      </c>
      <c r="I429" t="n">
        <v>11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46212</v>
      </c>
      <c r="E430" s="1" t="n">
        <v>46267</v>
      </c>
      <c r="F430" t="inlineStr">
        <is>
          <t>VÄSTERBOTTENS LÄN</t>
        </is>
      </c>
      <c r="G430" t="inlineStr">
        <is>
          <t>DOROTEA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46212</v>
      </c>
      <c r="E431" s="1" t="n">
        <v>46267</v>
      </c>
      <c r="F431" t="inlineStr">
        <is>
          <t>VÄSTERBOTTENS LÄN</t>
        </is>
      </c>
      <c r="G431" t="inlineStr">
        <is>
          <t>DOROTEA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46267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46213</v>
      </c>
      <c r="E433" s="1" t="n">
        <v>46267</v>
      </c>
      <c r="F433" t="inlineStr">
        <is>
          <t>VÄSTERBOTTENS LÄN</t>
        </is>
      </c>
      <c r="G433" t="inlineStr">
        <is>
          <t>DOROTEA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46267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46267</v>
      </c>
      <c r="F435" t="inlineStr">
        <is>
          <t>VÄSTERBOTTENS LÄN</t>
        </is>
      </c>
      <c r="G435" t="inlineStr">
        <is>
          <t>DOROTEA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42104-2024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45562</v>
      </c>
      <c r="E436" s="1" t="n">
        <v>46267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46217</v>
      </c>
      <c r="E437" s="1" t="n">
        <v>46267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45789</v>
      </c>
      <c r="E438" s="1" t="n">
        <v>46267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45771</v>
      </c>
      <c r="E439" s="1" t="n">
        <v>46267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45792</v>
      </c>
      <c r="E440" s="1" t="n">
        <v>46267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46267</v>
      </c>
      <c r="F441" t="inlineStr">
        <is>
          <t>VÄSTERBOTTENS LÄN</t>
        </is>
      </c>
      <c r="G441" t="inlineStr">
        <is>
          <t>DOROTEA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44645</v>
      </c>
      <c r="E442" s="1" t="n">
        <v>46267</v>
      </c>
      <c r="F442" t="inlineStr">
        <is>
          <t>VÄSTERBOTTENS LÄN</t>
        </is>
      </c>
      <c r="G442" t="inlineStr">
        <is>
          <t>DOROTEA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46217</v>
      </c>
      <c r="E443" s="1" t="n">
        <v>46267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45140</v>
      </c>
      <c r="E444" s="1" t="n">
        <v>46267</v>
      </c>
      <c r="F444" t="inlineStr">
        <is>
          <t>VÄSTERBOTTENS LÄN</t>
        </is>
      </c>
      <c r="G444" t="inlineStr">
        <is>
          <t>DOROTEA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31259-2026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46218</v>
      </c>
      <c r="E445" s="1" t="n">
        <v>46267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46218</v>
      </c>
      <c r="E446" s="1" t="n">
        <v>46267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46267</v>
      </c>
      <c r="F447" t="inlineStr">
        <is>
          <t>VÄSTERBOTTENS LÄN</t>
        </is>
      </c>
      <c r="G447" t="inlineStr">
        <is>
          <t>DOROTEA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46261</v>
      </c>
      <c r="E448" s="1" t="n">
        <v>46267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35337-2026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46261</v>
      </c>
      <c r="E449" s="1" t="n">
        <v>46267</v>
      </c>
      <c r="F449" t="inlineStr">
        <is>
          <t>VÄSTERBOTTENS LÄN</t>
        </is>
      </c>
      <c r="G449" t="inlineStr">
        <is>
          <t>DOROTEA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46267</v>
      </c>
      <c r="F450" t="inlineStr">
        <is>
          <t>VÄSTERBOTTENS LÄN</t>
        </is>
      </c>
      <c r="G450" t="inlineStr">
        <is>
          <t>DOROTEA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46267</v>
      </c>
      <c r="F451" t="inlineStr">
        <is>
          <t>VÄSTERBOTTENS LÄN</t>
        </is>
      </c>
      <c r="G451" t="inlineStr">
        <is>
          <t>DOROTEA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33113-2024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45517</v>
      </c>
      <c r="E452" s="1" t="n">
        <v>46267</v>
      </c>
      <c r="F452" t="inlineStr">
        <is>
          <t>VÄSTERBOTTENS LÄN</t>
        </is>
      </c>
      <c r="G452" t="inlineStr">
        <is>
          <t>DOROTEA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46267</v>
      </c>
      <c r="F453" t="inlineStr">
        <is>
          <t>VÄSTERBOTTENS LÄN</t>
        </is>
      </c>
      <c r="G453" t="inlineStr">
        <is>
          <t>DOROTEA</t>
        </is>
      </c>
      <c r="I453" t="n">
        <v>12.8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35296-2026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46267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46262</v>
      </c>
      <c r="E455" s="1" t="n">
        <v>46267</v>
      </c>
      <c r="F455" t="inlineStr">
        <is>
          <t>VÄSTERBOTTENS LÄN</t>
        </is>
      </c>
      <c r="G455" t="inlineStr">
        <is>
          <t>DOROTEA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46267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46267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46224</v>
      </c>
      <c r="E458" s="1" t="n">
        <v>46267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46224</v>
      </c>
      <c r="E459" s="1" t="n">
        <v>46267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45800</v>
      </c>
      <c r="E460" s="1" t="n">
        <v>46267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46224</v>
      </c>
      <c r="E461" s="1" t="n">
        <v>46267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45803</v>
      </c>
      <c r="E462" s="1" t="n">
        <v>46267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46267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46267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46267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46267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46267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46267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1763-2026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46189</v>
      </c>
      <c r="E469" s="1" t="n">
        <v>46267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2026-09-02T02:05:09Z</dcterms:created>
  <dcterms:modified xmlns:dcterms="http://purl.org/dc/terms/" xmlns:xsi="http://www.w3.org/2001/XMLSchema-instance" xsi:type="dcterms:W3CDTF">2026-09-02T02:05:09Z</dcterms:modified>
</cp:coreProperties>
</file>