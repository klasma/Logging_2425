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46322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46322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46322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46322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46322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46322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46322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46322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46322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46322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46322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33655-2023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46322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21.4</v>
      </c>
      <c r="J13" t="n">
        <v>0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12</v>
      </c>
      <c r="U13" t="n">
        <v>12</v>
      </c>
      <c r="V13" s="2" t="inlineStr">
        <is>
          <t>Garnlav
Fjällig taggsvamp s.str.
Harticka
Rosenticka
Ullticka
Trådticka</t>
        </is>
      </c>
      <c r="W13">
        <f>HYPERLINK("https://klasma.github.io/Logging_2425/artfynd/A 33655-2023 artfynd.xlsx", "A 33655-2023")</f>
        <v/>
      </c>
      <c r="X13">
        <f>HYPERLINK("https://klasma.github.io/Logging_2425/kartor/A 33655-2023 karta.png", "A 33655-2023")</f>
        <v/>
      </c>
      <c r="Y13">
        <f>HYPERLINK("https://klasma.github.io/Logging_2425/kartor_geotiff/A 33655-2023 georefererad karta.tif", "A 33655-2023")</f>
        <v/>
      </c>
      <c r="AA13">
        <f>HYPERLINK("https://klasma.github.io/Logging_2425/klagomål/A 33655-2023 FSC-klagomål.docx", "A 33655-2023")</f>
        <v/>
      </c>
      <c r="AB13">
        <f>HYPERLINK("https://klasma.github.io/Logging_2425/klagomålsmail/A 33655-2023 FSC-klagomål mail.docx", "A 33655-2023")</f>
        <v/>
      </c>
      <c r="AC13">
        <f>HYPERLINK("https://klasma.github.io/Logging_2425/tillsyn/A 33655-2023 tillsynsbegäran.docx", "A 33655-2023")</f>
        <v/>
      </c>
      <c r="AD13">
        <f>HYPERLINK("https://klasma.github.io/Logging_2425/tillsynsmail/A 33655-2023 tillsynsbegäran mail.docx", "A 33655-2023")</f>
        <v/>
      </c>
    </row>
    <row r="14" ht="15" customHeight="1">
      <c r="A14" t="inlineStr">
        <is>
          <t>A 8853-2024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45356</v>
      </c>
      <c r="E14" s="1" t="n">
        <v>46322</v>
      </c>
      <c r="F14" t="inlineStr">
        <is>
          <t>VÄSTERBOTTENS LÄN</t>
        </is>
      </c>
      <c r="G14" t="inlineStr">
        <is>
          <t>DOROTEA</t>
        </is>
      </c>
      <c r="I14" t="n">
        <v>1.9</v>
      </c>
      <c r="J14" t="n">
        <v>1</v>
      </c>
      <c r="K14" t="n">
        <v>3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6</v>
      </c>
      <c r="T14" t="n">
        <v>14</v>
      </c>
      <c r="U14" t="n">
        <v>14</v>
      </c>
      <c r="V14" s="2" t="inlineStr">
        <is>
          <t>Garnlav
Vitgrynig nållav
Luddlav
Stuplav
Ögonpyrola
Kungsfågel</t>
        </is>
      </c>
      <c r="W14">
        <f>HYPERLINK("https://klasma.github.io/Logging_2425/artfynd/A 8853-2024 artfynd.xlsx", "A 8853-2024")</f>
        <v/>
      </c>
      <c r="X14">
        <f>HYPERLINK("https://klasma.github.io/Logging_2425/kartor/A 8853-2024 karta.png", "A 8853-2024")</f>
        <v/>
      </c>
      <c r="Y14">
        <f>HYPERLINK("https://klasma.github.io/Logging_2425/kartor_geotiff/A 8853-2024 georefererad karta.tif", "A 8853-2024")</f>
        <v/>
      </c>
      <c r="AA14">
        <f>HYPERLINK("https://klasma.github.io/Logging_2425/klagomål/A 8853-2024 FSC-klagomål.docx", "A 8853-2024")</f>
        <v/>
      </c>
      <c r="AB14">
        <f>HYPERLINK("https://klasma.github.io/Logging_2425/klagomålsmail/A 8853-2024 FSC-klagomål mail.docx", "A 8853-2024")</f>
        <v/>
      </c>
      <c r="AC14">
        <f>HYPERLINK("https://klasma.github.io/Logging_2425/tillsyn/A 8853-2024 tillsynsbegäran.docx", "A 8853-2024")</f>
        <v/>
      </c>
      <c r="AD14">
        <f>HYPERLINK("https://klasma.github.io/Logging_2425/tillsynsmail/A 8853-2024 tillsynsbegäran mail.docx", "A 8853-2024")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46322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46322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46322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46322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46322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46322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46322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46322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46322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46322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46322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46322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46322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58736-2022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44902</v>
      </c>
      <c r="E28" s="1" t="n">
        <v>46322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58736-2022 artfynd.xlsx", "A 58736-2022")</f>
        <v/>
      </c>
      <c r="X28">
        <f>HYPERLINK("https://klasma.github.io/Logging_2425/kartor/A 58736-2022 karta.png", "A 58736-2022")</f>
        <v/>
      </c>
      <c r="Y28">
        <f>HYPERLINK("https://klasma.github.io/Logging_2425/kartor_geotiff/A 58736-2022 georefererad karta.tif", "A 58736-2022")</f>
        <v/>
      </c>
      <c r="AA28">
        <f>HYPERLINK("https://klasma.github.io/Logging_2425/klagomål/A 58736-2022 FSC-klagomål.docx", "A 58736-2022")</f>
        <v/>
      </c>
      <c r="AB28">
        <f>HYPERLINK("https://klasma.github.io/Logging_2425/klagomålsmail/A 58736-2022 FSC-klagomål mail.docx", "A 58736-2022")</f>
        <v/>
      </c>
      <c r="AC28">
        <f>HYPERLINK("https://klasma.github.io/Logging_2425/tillsyn/A 58736-2022 tillsynsbegäran.docx", "A 58736-2022")</f>
        <v/>
      </c>
      <c r="AD28">
        <f>HYPERLINK("https://klasma.github.io/Logging_2425/tillsynsmail/A 58736-2022 tillsynsbegäran mail.docx", "A 58736-2022")</f>
        <v/>
      </c>
    </row>
    <row r="29" ht="15" customHeight="1">
      <c r="A29" t="inlineStr">
        <is>
          <t>A 17825-2024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45418</v>
      </c>
      <c r="E29" s="1" t="n">
        <v>46322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24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17825-2024 artfynd.xlsx", "A 17825-2024")</f>
        <v/>
      </c>
      <c r="X29">
        <f>HYPERLINK("https://klasma.github.io/Logging_2425/kartor/A 17825-2024 karta.png", "A 17825-2024")</f>
        <v/>
      </c>
      <c r="Y29">
        <f>HYPERLINK("https://klasma.github.io/Logging_2425/kartor_geotiff/A 17825-2024 georefererad karta.tif", "A 17825-2024")</f>
        <v/>
      </c>
      <c r="AA29">
        <f>HYPERLINK("https://klasma.github.io/Logging_2425/klagomål/A 17825-2024 FSC-klagomål.docx", "A 17825-2024")</f>
        <v/>
      </c>
      <c r="AB29">
        <f>HYPERLINK("https://klasma.github.io/Logging_2425/klagomålsmail/A 17825-2024 FSC-klagomål mail.docx", "A 17825-2024")</f>
        <v/>
      </c>
      <c r="AC29">
        <f>HYPERLINK("https://klasma.github.io/Logging_2425/tillsyn/A 17825-2024 tillsynsbegäran.docx", "A 17825-2024")</f>
        <v/>
      </c>
      <c r="AD29">
        <f>HYPERLINK("https://klasma.github.io/Logging_2425/tillsynsmail/A 17825-2024 tillsynsbegäran mail.docx", "A 17825-2024")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46322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33263-2025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45840</v>
      </c>
      <c r="E31" s="1" t="n">
        <v>46322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Vedticka</t>
        </is>
      </c>
      <c r="W31">
        <f>HYPERLINK("https://klasma.github.io/Logging_2425/artfynd/A 33263-2025 artfynd.xlsx", "A 33263-2025")</f>
        <v/>
      </c>
      <c r="X31">
        <f>HYPERLINK("https://klasma.github.io/Logging_2425/kartor/A 33263-2025 karta.png", "A 33263-2025")</f>
        <v/>
      </c>
      <c r="Y31">
        <f>HYPERLINK("https://klasma.github.io/Logging_2425/kartor_geotiff/A 33263-2025 georefererad karta.tif", "A 33263-2025")</f>
        <v/>
      </c>
      <c r="AA31">
        <f>HYPERLINK("https://klasma.github.io/Logging_2425/klagomål/A 33263-2025 FSC-klagomål.docx", "A 33263-2025")</f>
        <v/>
      </c>
      <c r="AB31">
        <f>HYPERLINK("https://klasma.github.io/Logging_2425/klagomålsmail/A 33263-2025 FSC-klagomål mail.docx", "A 33263-2025")</f>
        <v/>
      </c>
      <c r="AC31">
        <f>HYPERLINK("https://klasma.github.io/Logging_2425/tillsyn/A 33263-2025 tillsynsbegäran.docx", "A 33263-2025")</f>
        <v/>
      </c>
      <c r="AD31">
        <f>HYPERLINK("https://klasma.github.io/Logging_2425/tillsynsmail/A 33263-2025 tillsynsbegäran mail.docx", "A 33263-2025")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46322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4554-2026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46047</v>
      </c>
      <c r="E33" s="1" t="n">
        <v>46322</v>
      </c>
      <c r="F33" t="inlineStr">
        <is>
          <t>VÄSTERBOTTENS LÄN</t>
        </is>
      </c>
      <c r="G33" t="inlineStr">
        <is>
          <t>DOROTEA</t>
        </is>
      </c>
      <c r="I33" t="n">
        <v>6.1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Violettkantad guldvinge
Kricka</t>
        </is>
      </c>
      <c r="W33">
        <f>HYPERLINK("https://klasma.github.io/Logging_2425/artfynd/A 4554-2026 artfynd.xlsx", "A 4554-2026")</f>
        <v/>
      </c>
      <c r="X33">
        <f>HYPERLINK("https://klasma.github.io/Logging_2425/kartor/A 4554-2026 karta.png", "A 4554-2026")</f>
        <v/>
      </c>
      <c r="Y33">
        <f>HYPERLINK("https://klasma.github.io/Logging_2425/kartor_geotiff/A 4554-2026 georefererad karta.tif", "A 4554-2026")</f>
        <v/>
      </c>
      <c r="AA33">
        <f>HYPERLINK("https://klasma.github.io/Logging_2425/klagomål/A 4554-2026 FSC-klagomål.docx", "A 4554-2026")</f>
        <v/>
      </c>
      <c r="AB33">
        <f>HYPERLINK("https://klasma.github.io/Logging_2425/klagomålsmail/A 4554-2026 FSC-klagomål mail.docx", "A 4554-2026")</f>
        <v/>
      </c>
      <c r="AC33">
        <f>HYPERLINK("https://klasma.github.io/Logging_2425/tillsyn/A 4554-2026 tillsynsbegäran.docx", "A 4554-2026")</f>
        <v/>
      </c>
      <c r="AD33">
        <f>HYPERLINK("https://klasma.github.io/Logging_2425/tillsynsmail/A 4554-2026 tillsynsbegäran mail.docx", "A 4554-2026")</f>
        <v/>
      </c>
      <c r="AE33">
        <f>HYPERLINK("https://klasma.github.io/Logging_2425/fåglar/A 4554-2026 prioriterade fågelarter.docx", "A 4554-2026")</f>
        <v/>
      </c>
    </row>
    <row r="34" ht="15" customHeight="1">
      <c r="A34" t="inlineStr">
        <is>
          <t>A 19589-2024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45429</v>
      </c>
      <c r="E34" s="1" t="n">
        <v>46322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Lunglav
Talltita</t>
        </is>
      </c>
      <c r="W34">
        <f>HYPERLINK("https://klasma.github.io/Logging_2425/artfynd/A 19589-2024 artfynd.xlsx", "A 19589-2024")</f>
        <v/>
      </c>
      <c r="X34">
        <f>HYPERLINK("https://klasma.github.io/Logging_2425/kartor/A 19589-2024 karta.png", "A 19589-2024")</f>
        <v/>
      </c>
      <c r="Y34">
        <f>HYPERLINK("https://klasma.github.io/Logging_2425/kartor_geotiff/A 19589-2024 georefererad karta.tif", "A 19589-2024")</f>
        <v/>
      </c>
      <c r="AA34">
        <f>HYPERLINK("https://klasma.github.io/Logging_2425/klagomål/A 19589-2024 FSC-klagomål.docx", "A 19589-2024")</f>
        <v/>
      </c>
      <c r="AB34">
        <f>HYPERLINK("https://klasma.github.io/Logging_2425/klagomålsmail/A 19589-2024 FSC-klagomål mail.docx", "A 19589-2024")</f>
        <v/>
      </c>
      <c r="AC34">
        <f>HYPERLINK("https://klasma.github.io/Logging_2425/tillsyn/A 19589-2024 tillsynsbegäran.docx", "A 19589-2024")</f>
        <v/>
      </c>
      <c r="AD34">
        <f>HYPERLINK("https://klasma.github.io/Logging_2425/tillsynsmail/A 19589-2024 tillsynsbegäran mail.docx", "A 19589-2024")</f>
        <v/>
      </c>
      <c r="AE34">
        <f>HYPERLINK("https://klasma.github.io/Logging_2425/fåglar/A 19589-2024 prioriterade fågelarter.docx", "A 19589-2024")</f>
        <v/>
      </c>
    </row>
    <row r="35" ht="15" customHeight="1">
      <c r="A35" t="inlineStr">
        <is>
          <t>A 40654-2026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46296</v>
      </c>
      <c r="E35" s="1" t="n">
        <v>46322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8.800000000000001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Plattlummer
Mattlummer</t>
        </is>
      </c>
      <c r="W35">
        <f>HYPERLINK("https://klasma.github.io/Logging_2425/artfynd/A 40654-2026 artfynd.xlsx", "A 40654-2026")</f>
        <v/>
      </c>
      <c r="X35">
        <f>HYPERLINK("https://klasma.github.io/Logging_2425/kartor/A 40654-2026 karta.png", "A 40654-2026")</f>
        <v/>
      </c>
      <c r="Y35">
        <f>HYPERLINK("https://klasma.github.io/Logging_2425/kartor_geotiff/A 40654-2026 georefererad karta.tif", "A 40654-2026")</f>
        <v/>
      </c>
      <c r="AA35">
        <f>HYPERLINK("https://klasma.github.io/Logging_2425/klagomål/A 40654-2026 FSC-klagomål.docx", "A 40654-2026")</f>
        <v/>
      </c>
      <c r="AB35">
        <f>HYPERLINK("https://klasma.github.io/Logging_2425/klagomålsmail/A 40654-2026 FSC-klagomål mail.docx", "A 40654-2026")</f>
        <v/>
      </c>
      <c r="AC35">
        <f>HYPERLINK("https://klasma.github.io/Logging_2425/tillsyn/A 40654-2026 tillsynsbegäran.docx", "A 40654-2026")</f>
        <v/>
      </c>
      <c r="AD35">
        <f>HYPERLINK("https://klasma.github.io/Logging_2425/tillsynsmail/A 40654-2026 tillsynsbegäran mail.docx", "A 40654-2026")</f>
        <v/>
      </c>
    </row>
    <row r="36" ht="15" customHeight="1">
      <c r="A36" t="inlineStr">
        <is>
          <t>A 35336-2026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46261</v>
      </c>
      <c r="E36" s="1" t="n">
        <v>46322</v>
      </c>
      <c r="F36" t="inlineStr">
        <is>
          <t>VÄSTERBOTTENS LÄN</t>
        </is>
      </c>
      <c r="G36" t="inlineStr">
        <is>
          <t>DOROTEA</t>
        </is>
      </c>
      <c r="I36" t="n">
        <v>4.2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Blodticka</t>
        </is>
      </c>
      <c r="W36">
        <f>HYPERLINK("https://klasma.github.io/Logging_2425/artfynd/A 35336-2026 artfynd.xlsx", "A 35336-2026")</f>
        <v/>
      </c>
      <c r="X36">
        <f>HYPERLINK("https://klasma.github.io/Logging_2425/kartor/A 35336-2026 karta.png", "A 35336-2026")</f>
        <v/>
      </c>
      <c r="Y36">
        <f>HYPERLINK("https://klasma.github.io/Logging_2425/kartor_geotiff/A 35336-2026 georefererad karta.tif", "A 35336-2026")</f>
        <v/>
      </c>
      <c r="AA36">
        <f>HYPERLINK("https://klasma.github.io/Logging_2425/klagomål/A 35336-2026 FSC-klagomål.docx", "A 35336-2026")</f>
        <v/>
      </c>
      <c r="AB36">
        <f>HYPERLINK("https://klasma.github.io/Logging_2425/klagomålsmail/A 35336-2026 FSC-klagomål mail.docx", "A 35336-2026")</f>
        <v/>
      </c>
      <c r="AC36">
        <f>HYPERLINK("https://klasma.github.io/Logging_2425/tillsyn/A 35336-2026 tillsynsbegäran.docx", "A 35336-2026")</f>
        <v/>
      </c>
      <c r="AD36">
        <f>HYPERLINK("https://klasma.github.io/Logging_2425/tillsynsmail/A 35336-2026 tillsynsbegäran mail.docx", "A 35336-2026")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46322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46322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46322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41079-2025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46322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3.3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HYPERLINK("https://klasma.github.io/Logging_2425/artfynd/A 41079-2025 artfynd.xlsx", "A 41079-2025")</f>
        <v/>
      </c>
      <c r="X40">
        <f>HYPERLINK("https://klasma.github.io/Logging_2425/kartor/A 41079-2025 karta.png", "A 41079-2025")</f>
        <v/>
      </c>
      <c r="Y40">
        <f>HYPERLINK("https://klasma.github.io/Logging_2425/kartor_geotiff/A 41079-2025 georefererad karta.tif", "A 41079-2025")</f>
        <v/>
      </c>
      <c r="AA40">
        <f>HYPERLINK("https://klasma.github.io/Logging_2425/klagomål/A 41079-2025 FSC-klagomål.docx", "A 41079-2025")</f>
        <v/>
      </c>
      <c r="AB40">
        <f>HYPERLINK("https://klasma.github.io/Logging_2425/klagomålsmail/A 41079-2025 FSC-klagomål mail.docx", "A 41079-2025")</f>
        <v/>
      </c>
      <c r="AC40">
        <f>HYPERLINK("https://klasma.github.io/Logging_2425/tillsyn/A 41079-2025 tillsynsbegäran.docx", "A 41079-2025")</f>
        <v/>
      </c>
      <c r="AD40">
        <f>HYPERLINK("https://klasma.github.io/Logging_2425/tillsynsmail/A 41079-2025 tillsynsbegäran mail.docx", "A 41079-2025")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46322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53309-2022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44878</v>
      </c>
      <c r="E42" s="1" t="n">
        <v>46322</v>
      </c>
      <c r="F42" t="inlineStr">
        <is>
          <t>VÄSTERBOTTENS LÄN</t>
        </is>
      </c>
      <c r="G42" t="inlineStr">
        <is>
          <t>DOROTEA</t>
        </is>
      </c>
      <c r="I42" t="n">
        <v>6.6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Göktyta</t>
        </is>
      </c>
      <c r="W42">
        <f>HYPERLINK("https://klasma.github.io/Logging_2425/artfynd/A 53309-2022 artfynd.xlsx", "A 53309-2022")</f>
        <v/>
      </c>
      <c r="X42">
        <f>HYPERLINK("https://klasma.github.io/Logging_2425/kartor/A 53309-2022 karta.png", "A 53309-2022")</f>
        <v/>
      </c>
      <c r="Y42">
        <f>HYPERLINK("https://klasma.github.io/Logging_2425/kartor_geotiff/A 53309-2022 georefererad karta.tif", "A 53309-2022")</f>
        <v/>
      </c>
      <c r="AA42">
        <f>HYPERLINK("https://klasma.github.io/Logging_2425/klagomål/A 53309-2022 FSC-klagomål.docx", "A 53309-2022")</f>
        <v/>
      </c>
      <c r="AB42">
        <f>HYPERLINK("https://klasma.github.io/Logging_2425/klagomålsmail/A 53309-2022 FSC-klagomål mail.docx", "A 53309-2022")</f>
        <v/>
      </c>
      <c r="AC42">
        <f>HYPERLINK("https://klasma.github.io/Logging_2425/tillsyn/A 53309-2022 tillsynsbegäran.docx", "A 53309-2022")</f>
        <v/>
      </c>
      <c r="AD42">
        <f>HYPERLINK("https://klasma.github.io/Logging_2425/tillsynsmail/A 53309-2022 tillsynsbegäran mail.docx", "A 53309-2022")</f>
        <v/>
      </c>
      <c r="AE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45198</v>
      </c>
      <c r="E43" s="1" t="n">
        <v>46322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3.7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Harticka</t>
        </is>
      </c>
      <c r="W43">
        <f>HYPERLINK("https://klasma.github.io/Logging_2425/artfynd/A 46815-2023 artfynd.xlsx", "A 46815-2023")</f>
        <v/>
      </c>
      <c r="X43">
        <f>HYPERLINK("https://klasma.github.io/Logging_2425/kartor/A 46815-2023 karta.png", "A 46815-2023")</f>
        <v/>
      </c>
      <c r="Y43">
        <f>HYPERLINK("https://klasma.github.io/Logging_2425/kartor_geotiff/A 46815-2023 georefererad karta.tif", "A 46815-2023")</f>
        <v/>
      </c>
      <c r="AA43">
        <f>HYPERLINK("https://klasma.github.io/Logging_2425/klagomål/A 46815-2023 FSC-klagomål.docx", "A 46815-2023")</f>
        <v/>
      </c>
      <c r="AB43">
        <f>HYPERLINK("https://klasma.github.io/Logging_2425/klagomålsmail/A 46815-2023 FSC-klagomål mail.docx", "A 46815-2023")</f>
        <v/>
      </c>
      <c r="AC43">
        <f>HYPERLINK("https://klasma.github.io/Logging_2425/tillsyn/A 46815-2023 tillsynsbegäran.docx", "A 46815-2023")</f>
        <v/>
      </c>
      <c r="AD43">
        <f>HYPERLINK("https://klasma.github.io/Logging_2425/tillsynsmail/A 46815-2023 tillsynsbegäran mail.docx", "A 46815-2023")</f>
        <v/>
      </c>
    </row>
    <row r="44" ht="15" customHeight="1">
      <c r="A44" t="inlineStr">
        <is>
          <t>A 26440-2025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45807</v>
      </c>
      <c r="E44" s="1" t="n">
        <v>46322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Lunglav</t>
        </is>
      </c>
      <c r="W44">
        <f>HYPERLINK("https://klasma.github.io/Logging_2425/artfynd/A 26440-2025 artfynd.xlsx", "A 26440-2025")</f>
        <v/>
      </c>
      <c r="X44">
        <f>HYPERLINK("https://klasma.github.io/Logging_2425/kartor/A 26440-2025 karta.png", "A 26440-2025")</f>
        <v/>
      </c>
      <c r="Y44">
        <f>HYPERLINK("https://klasma.github.io/Logging_2425/kartor_geotiff/A 26440-2025 georefererad karta.tif", "A 26440-2025")</f>
        <v/>
      </c>
      <c r="AA44">
        <f>HYPERLINK("https://klasma.github.io/Logging_2425/klagomål/A 26440-2025 FSC-klagomål.docx", "A 26440-2025")</f>
        <v/>
      </c>
      <c r="AB44">
        <f>HYPERLINK("https://klasma.github.io/Logging_2425/klagomålsmail/A 26440-2025 FSC-klagomål mail.docx", "A 26440-2025")</f>
        <v/>
      </c>
      <c r="AC44">
        <f>HYPERLINK("https://klasma.github.io/Logging_2425/tillsyn/A 26440-2025 tillsynsbegäran.docx", "A 26440-2025")</f>
        <v/>
      </c>
      <c r="AD44">
        <f>HYPERLINK("https://klasma.github.io/Logging_2425/tillsynsmail/A 26440-2025 tillsynsbegäran mail.docx", "A 26440-2025")</f>
        <v/>
      </c>
    </row>
    <row r="45" ht="15" customHeight="1">
      <c r="A45" t="inlineStr">
        <is>
          <t>A 48089-2022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44855</v>
      </c>
      <c r="E45" s="1" t="n">
        <v>46322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9.199999999999999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Gammelgransskål</t>
        </is>
      </c>
      <c r="W45">
        <f>HYPERLINK("https://klasma.github.io/Logging_2425/artfynd/A 48089-2022 artfynd.xlsx", "A 48089-2022")</f>
        <v/>
      </c>
      <c r="X45">
        <f>HYPERLINK("https://klasma.github.io/Logging_2425/kartor/A 48089-2022 karta.png", "A 48089-2022")</f>
        <v/>
      </c>
      <c r="Y45">
        <f>HYPERLINK("https://klasma.github.io/Logging_2425/kartor_geotiff/A 48089-2022 georefererad karta.tif", "A 48089-2022")</f>
        <v/>
      </c>
      <c r="AA45">
        <f>HYPERLINK("https://klasma.github.io/Logging_2425/klagomål/A 48089-2022 FSC-klagomål.docx", "A 48089-2022")</f>
        <v/>
      </c>
      <c r="AB45">
        <f>HYPERLINK("https://klasma.github.io/Logging_2425/klagomålsmail/A 48089-2022 FSC-klagomål mail.docx", "A 48089-2022")</f>
        <v/>
      </c>
      <c r="AC45">
        <f>HYPERLINK("https://klasma.github.io/Logging_2425/tillsyn/A 48089-2022 tillsynsbegäran.docx", "A 48089-2022")</f>
        <v/>
      </c>
      <c r="AD45">
        <f>HYPERLINK("https://klasma.github.io/Logging_2425/tillsynsmail/A 48089-2022 tillsynsbegäran mail.docx", "A 48089-2022")</f>
        <v/>
      </c>
    </row>
    <row r="46" ht="15" customHeight="1">
      <c r="A46" t="inlineStr">
        <is>
          <t>A 36318-2024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45534</v>
      </c>
      <c r="E46" s="1" t="n">
        <v>46322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8</v>
      </c>
      <c r="U46" t="n">
        <v>8</v>
      </c>
      <c r="V46" s="2" t="inlineStr">
        <is>
          <t>Garnlav</t>
        </is>
      </c>
      <c r="W46">
        <f>HYPERLINK("https://klasma.github.io/Logging_2425/artfynd/A 36318-2024 artfynd.xlsx", "A 36318-2024")</f>
        <v/>
      </c>
      <c r="X46">
        <f>HYPERLINK("https://klasma.github.io/Logging_2425/kartor/A 36318-2024 karta.png", "A 36318-2024")</f>
        <v/>
      </c>
      <c r="Y46">
        <f>HYPERLINK("https://klasma.github.io/Logging_2425/kartor_geotiff/A 36318-2024 georefererad karta.tif", "A 36318-2024")</f>
        <v/>
      </c>
      <c r="AA46">
        <f>HYPERLINK("https://klasma.github.io/Logging_2425/klagomål/A 36318-2024 FSC-klagomål.docx", "A 36318-2024")</f>
        <v/>
      </c>
      <c r="AB46">
        <f>HYPERLINK("https://klasma.github.io/Logging_2425/klagomålsmail/A 36318-2024 FSC-klagomål mail.docx", "A 36318-2024")</f>
        <v/>
      </c>
      <c r="AC46">
        <f>HYPERLINK("https://klasma.github.io/Logging_2425/tillsyn/A 36318-2024 tillsynsbegäran.docx", "A 36318-2024")</f>
        <v/>
      </c>
      <c r="AD46">
        <f>HYPERLINK("https://klasma.github.io/Logging_2425/tillsynsmail/A 36318-2024 tillsynsbegäran mail.docx", "A 36318-2024")</f>
        <v/>
      </c>
    </row>
    <row r="47" ht="15" customHeight="1">
      <c r="A47" t="inlineStr">
        <is>
          <t>A 30357-2026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46209</v>
      </c>
      <c r="E47" s="1" t="n">
        <v>46322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Tajgahumla</t>
        </is>
      </c>
      <c r="W47">
        <f>HYPERLINK("https://klasma.github.io/Logging_2425/artfynd/A 30357-2026 artfynd.xlsx", "A 30357-2026")</f>
        <v/>
      </c>
      <c r="X47">
        <f>HYPERLINK("https://klasma.github.io/Logging_2425/kartor/A 30357-2026 karta.png", "A 30357-2026")</f>
        <v/>
      </c>
      <c r="Y47">
        <f>HYPERLINK("https://klasma.github.io/Logging_2425/kartor_geotiff/A 30357-2026 georefererad karta.tif", "A 30357-2026")</f>
        <v/>
      </c>
      <c r="AA47">
        <f>HYPERLINK("https://klasma.github.io/Logging_2425/klagomål/A 30357-2026 FSC-klagomål.docx", "A 30357-2026")</f>
        <v/>
      </c>
      <c r="AB47">
        <f>HYPERLINK("https://klasma.github.io/Logging_2425/klagomålsmail/A 30357-2026 FSC-klagomål mail.docx", "A 30357-2026")</f>
        <v/>
      </c>
      <c r="AC47">
        <f>HYPERLINK("https://klasma.github.io/Logging_2425/tillsyn/A 30357-2026 tillsynsbegäran.docx", "A 30357-2026")</f>
        <v/>
      </c>
      <c r="AD47">
        <f>HYPERLINK("https://klasma.github.io/Logging_2425/tillsynsmail/A 30357-2026 tillsynsbegäran mail.docx", "A 30357-2026")</f>
        <v/>
      </c>
    </row>
    <row r="48" ht="15" customHeight="1">
      <c r="A48" t="inlineStr">
        <is>
          <t>A 30286-2023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46322</v>
      </c>
      <c r="F48" t="inlineStr">
        <is>
          <t>VÄSTERBOTTENS LÄN</t>
        </is>
      </c>
      <c r="G48" t="inlineStr">
        <is>
          <t>DOROTEA</t>
        </is>
      </c>
      <c r="I48" t="n">
        <v>21.2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Skogsrör</t>
        </is>
      </c>
      <c r="W48">
        <f>HYPERLINK("https://klasma.github.io/Logging_2425/artfynd/A 30286-2023 artfynd.xlsx", "A 30286-2023")</f>
        <v/>
      </c>
      <c r="X48">
        <f>HYPERLINK("https://klasma.github.io/Logging_2425/kartor/A 30286-2023 karta.png", "A 30286-2023")</f>
        <v/>
      </c>
      <c r="Y48">
        <f>HYPERLINK("https://klasma.github.io/Logging_2425/kartor_geotiff/A 30286-2023 georefererad karta.tif", "A 30286-2023")</f>
        <v/>
      </c>
      <c r="AA48">
        <f>HYPERLINK("https://klasma.github.io/Logging_2425/klagomål/A 30286-2023 FSC-klagomål.docx", "A 30286-2023")</f>
        <v/>
      </c>
      <c r="AB48">
        <f>HYPERLINK("https://klasma.github.io/Logging_2425/klagomålsmail/A 30286-2023 FSC-klagomål mail.docx", "A 30286-2023")</f>
        <v/>
      </c>
      <c r="AC48">
        <f>HYPERLINK("https://klasma.github.io/Logging_2425/tillsyn/A 30286-2023 tillsynsbegäran.docx", "A 30286-2023")</f>
        <v/>
      </c>
      <c r="AD48">
        <f>HYPERLINK("https://klasma.github.io/Logging_2425/tillsynsmail/A 30286-2023 tillsynsbegäran mail.docx", "A 30286-2023")</f>
        <v/>
      </c>
    </row>
    <row r="49" ht="15" customHeight="1">
      <c r="A49" t="inlineStr">
        <is>
          <t>A 1278-2024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45302</v>
      </c>
      <c r="E49" s="1" t="n">
        <v>46322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1.3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Gräddticka</t>
        </is>
      </c>
      <c r="W49">
        <f>HYPERLINK("https://klasma.github.io/Logging_2425/artfynd/A 1278-2024 artfynd.xlsx", "A 1278-2024")</f>
        <v/>
      </c>
      <c r="X49">
        <f>HYPERLINK("https://klasma.github.io/Logging_2425/kartor/A 1278-2024 karta.png", "A 1278-2024")</f>
        <v/>
      </c>
      <c r="Y49">
        <f>HYPERLINK("https://klasma.github.io/Logging_2425/kartor_geotiff/A 1278-2024 georefererad karta.tif", "A 1278-2024")</f>
        <v/>
      </c>
      <c r="AA49">
        <f>HYPERLINK("https://klasma.github.io/Logging_2425/klagomål/A 1278-2024 FSC-klagomål.docx", "A 1278-2024")</f>
        <v/>
      </c>
      <c r="AB49">
        <f>HYPERLINK("https://klasma.github.io/Logging_2425/klagomålsmail/A 1278-2024 FSC-klagomål mail.docx", "A 1278-2024")</f>
        <v/>
      </c>
      <c r="AC49">
        <f>HYPERLINK("https://klasma.github.io/Logging_2425/tillsyn/A 1278-2024 tillsynsbegäran.docx", "A 1278-2024")</f>
        <v/>
      </c>
      <c r="AD49">
        <f>HYPERLINK("https://klasma.github.io/Logging_2425/tillsynsmail/A 1278-2024 tillsynsbegäran mail.docx", "A 1278-2024")</f>
        <v/>
      </c>
    </row>
    <row r="50" ht="15" customHeight="1">
      <c r="A50" t="inlineStr">
        <is>
          <t>A 32331-2026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46238</v>
      </c>
      <c r="E50" s="1" t="n">
        <v>46322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Skrovellav</t>
        </is>
      </c>
      <c r="W50">
        <f>HYPERLINK("https://klasma.github.io/Logging_2425/artfynd/A 32331-2026 artfynd.xlsx", "A 32331-2026")</f>
        <v/>
      </c>
      <c r="X50">
        <f>HYPERLINK("https://klasma.github.io/Logging_2425/kartor/A 32331-2026 karta.png", "A 32331-2026")</f>
        <v/>
      </c>
      <c r="Y50">
        <f>HYPERLINK("https://klasma.github.io/Logging_2425/kartor_geotiff/A 32331-2026 georefererad karta.tif", "A 32331-2026")</f>
        <v/>
      </c>
      <c r="AA50">
        <f>HYPERLINK("https://klasma.github.io/Logging_2425/klagomål/A 32331-2026 FSC-klagomål.docx", "A 32331-2026")</f>
        <v/>
      </c>
      <c r="AB50">
        <f>HYPERLINK("https://klasma.github.io/Logging_2425/klagomålsmail/A 32331-2026 FSC-klagomål mail.docx", "A 32331-2026")</f>
        <v/>
      </c>
      <c r="AC50">
        <f>HYPERLINK("https://klasma.github.io/Logging_2425/tillsyn/A 32331-2026 tillsynsbegäran.docx", "A 32331-2026")</f>
        <v/>
      </c>
      <c r="AD50">
        <f>HYPERLINK("https://klasma.github.io/Logging_2425/tillsynsmail/A 32331-2026 tillsynsbegäran mail.docx", "A 32331-2026")</f>
        <v/>
      </c>
    </row>
    <row r="51" ht="15" customHeight="1">
      <c r="A51" t="inlineStr">
        <is>
          <t>A 12005-2023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46322</v>
      </c>
      <c r="F51" t="inlineStr">
        <is>
          <t>VÄSTERBOTTENS LÄN</t>
        </is>
      </c>
      <c r="G51" t="inlineStr">
        <is>
          <t>DOROTEA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Utter</t>
        </is>
      </c>
      <c r="W51">
        <f>HYPERLINK("https://klasma.github.io/Logging_2425/artfynd/A 12005-2023 artfynd.xlsx", "A 12005-2023")</f>
        <v/>
      </c>
      <c r="X51">
        <f>HYPERLINK("https://klasma.github.io/Logging_2425/kartor/A 12005-2023 karta.png", "A 12005-2023")</f>
        <v/>
      </c>
      <c r="Y51">
        <f>HYPERLINK("https://klasma.github.io/Logging_2425/kartor_geotiff/A 12005-2023 georefererad karta.tif", "A 12005-2023")</f>
        <v/>
      </c>
      <c r="AA51">
        <f>HYPERLINK("https://klasma.github.io/Logging_2425/klagomål/A 12005-2023 FSC-klagomål.docx", "A 12005-2023")</f>
        <v/>
      </c>
      <c r="AB51">
        <f>HYPERLINK("https://klasma.github.io/Logging_2425/klagomålsmail/A 12005-2023 FSC-klagomål mail.docx", "A 12005-2023")</f>
        <v/>
      </c>
      <c r="AC51">
        <f>HYPERLINK("https://klasma.github.io/Logging_2425/tillsyn/A 12005-2023 tillsynsbegäran.docx", "A 12005-2023")</f>
        <v/>
      </c>
      <c r="AD51">
        <f>HYPERLINK("https://klasma.github.io/Logging_2425/tillsynsmail/A 12005-2023 tillsynsbegäran mail.docx", "A 12005-2023")</f>
        <v/>
      </c>
    </row>
    <row r="52" ht="15" customHeight="1">
      <c r="A52" t="inlineStr">
        <is>
          <t>A 21926-2026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46322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2.7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Stuplav</t>
        </is>
      </c>
      <c r="W52">
        <f>HYPERLINK("https://klasma.github.io/Logging_2425/artfynd/A 21926-2026 artfynd.xlsx", "A 21926-2026")</f>
        <v/>
      </c>
      <c r="X52">
        <f>HYPERLINK("https://klasma.github.io/Logging_2425/kartor/A 21926-2026 karta.png", "A 21926-2026")</f>
        <v/>
      </c>
      <c r="Y52">
        <f>HYPERLINK("https://klasma.github.io/Logging_2425/kartor_geotiff/A 21926-2026 georefererad karta.tif", "A 21926-2026")</f>
        <v/>
      </c>
      <c r="AA52">
        <f>HYPERLINK("https://klasma.github.io/Logging_2425/klagomål/A 21926-2026 FSC-klagomål.docx", "A 21926-2026")</f>
        <v/>
      </c>
      <c r="AB52">
        <f>HYPERLINK("https://klasma.github.io/Logging_2425/klagomålsmail/A 21926-2026 FSC-klagomål mail.docx", "A 21926-2026")</f>
        <v/>
      </c>
      <c r="AC52">
        <f>HYPERLINK("https://klasma.github.io/Logging_2425/tillsyn/A 21926-2026 tillsynsbegäran.docx", "A 21926-2026")</f>
        <v/>
      </c>
      <c r="AD52">
        <f>HYPERLINK("https://klasma.github.io/Logging_2425/tillsynsmail/A 21926-2026 tillsynsbegäran mail.docx", "A 21926-2026")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46322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25980-2026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46322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40.2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HYPERLINK("https://klasma.github.io/Logging_2425/artfynd/A 25980-2026 artfynd.xlsx", "A 25980-2026")</f>
        <v/>
      </c>
      <c r="X54">
        <f>HYPERLINK("https://klasma.github.io/Logging_2425/kartor/A 25980-2026 karta.png", "A 25980-2026")</f>
        <v/>
      </c>
      <c r="Y54">
        <f>HYPERLINK("https://klasma.github.io/Logging_2425/kartor_geotiff/A 25980-2026 georefererad karta.tif", "A 25980-2026")</f>
        <v/>
      </c>
      <c r="AA54">
        <f>HYPERLINK("https://klasma.github.io/Logging_2425/klagomål/A 25980-2026 FSC-klagomål.docx", "A 25980-2026")</f>
        <v/>
      </c>
      <c r="AB54">
        <f>HYPERLINK("https://klasma.github.io/Logging_2425/klagomålsmail/A 25980-2026 FSC-klagomål mail.docx", "A 25980-2026")</f>
        <v/>
      </c>
      <c r="AC54">
        <f>HYPERLINK("https://klasma.github.io/Logging_2425/tillsyn/A 25980-2026 tillsynsbegäran.docx", "A 25980-2026")</f>
        <v/>
      </c>
      <c r="AD54">
        <f>HYPERLINK("https://klasma.github.io/Logging_2425/tillsynsmail/A 25980-2026 tillsynsbegäran mail.docx", "A 25980-2026")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46322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46322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A 42536-2026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46308</v>
      </c>
      <c r="E57" s="1" t="n">
        <v>46322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8.6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Lappranunkel</t>
        </is>
      </c>
      <c r="W57">
        <f>HYPERLINK("https://klasma.github.io/Logging_2425/artfynd/A 42536-2026 artfynd.xlsx", "A 42536-2026")</f>
        <v/>
      </c>
      <c r="X57">
        <f>HYPERLINK("https://klasma.github.io/Logging_2425/kartor/A 42536-2026 karta.png", "A 42536-2026")</f>
        <v/>
      </c>
      <c r="Y57">
        <f>HYPERLINK("https://klasma.github.io/Logging_2425/kartor_geotiff/A 42536-2026 georefererad karta.tif", "A 42536-2026")</f>
        <v/>
      </c>
      <c r="AA57">
        <f>HYPERLINK("https://klasma.github.io/Logging_2425/klagomål/A 42536-2026 FSC-klagomål.docx", "A 42536-2026")</f>
        <v/>
      </c>
      <c r="AB57">
        <f>HYPERLINK("https://klasma.github.io/Logging_2425/klagomålsmail/A 42536-2026 FSC-klagomål mail.docx", "A 42536-2026")</f>
        <v/>
      </c>
      <c r="AC57">
        <f>HYPERLINK("https://klasma.github.io/Logging_2425/tillsyn/A 42536-2026 tillsynsbegäran.docx", "A 42536-2026")</f>
        <v/>
      </c>
      <c r="AD57">
        <f>HYPERLINK("https://klasma.github.io/Logging_2425/tillsynsmail/A 42536-2026 tillsynsbegäran mail.docx", "A 42536-2026")</f>
        <v/>
      </c>
    </row>
    <row r="58" ht="15" customHeight="1">
      <c r="A58" t="inlineStr">
        <is>
          <t>A 57058-2024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46322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2.4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Garnlav</t>
        </is>
      </c>
      <c r="W58">
        <f>HYPERLINK("https://klasma.github.io/Logging_2425/artfynd/A 57058-2024 artfynd.xlsx", "A 57058-2024")</f>
        <v/>
      </c>
      <c r="X58">
        <f>HYPERLINK("https://klasma.github.io/Logging_2425/kartor/A 57058-2024 karta.png", "A 57058-2024")</f>
        <v/>
      </c>
      <c r="Y58">
        <f>HYPERLINK("https://klasma.github.io/Logging_2425/kartor_geotiff/A 57058-2024 georefererad karta.tif", "A 57058-2024")</f>
        <v/>
      </c>
      <c r="AA58">
        <f>HYPERLINK("https://klasma.github.io/Logging_2425/klagomål/A 57058-2024 FSC-klagomål.docx", "A 57058-2024")</f>
        <v/>
      </c>
      <c r="AB58">
        <f>HYPERLINK("https://klasma.github.io/Logging_2425/klagomålsmail/A 57058-2024 FSC-klagomål mail.docx", "A 57058-2024")</f>
        <v/>
      </c>
      <c r="AC58">
        <f>HYPERLINK("https://klasma.github.io/Logging_2425/tillsyn/A 57058-2024 tillsynsbegäran.docx", "A 57058-2024")</f>
        <v/>
      </c>
      <c r="AD58">
        <f>HYPERLINK("https://klasma.github.io/Logging_2425/tillsynsmail/A 57058-2024 tillsynsbegäran mail.docx", "A 57058-2024")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46322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46322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46322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46322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46322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46322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46322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46322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46322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46322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46322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46322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46322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45891</v>
      </c>
      <c r="E72" s="1" t="n">
        <v>46322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59395-2023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45253</v>
      </c>
      <c r="E73" s="1" t="n">
        <v>46322</v>
      </c>
      <c r="F73" t="inlineStr">
        <is>
          <t>VÄSTERBOTTENS LÄN</t>
        </is>
      </c>
      <c r="G73" t="inlineStr">
        <is>
          <t>DOROTEA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45253</v>
      </c>
      <c r="E74" s="1" t="n">
        <v>46322</v>
      </c>
      <c r="F74" t="inlineStr">
        <is>
          <t>VÄSTERBOTTENS LÄN</t>
        </is>
      </c>
      <c r="G74" t="inlineStr">
        <is>
          <t>DOROTEA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39977-2025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45893</v>
      </c>
      <c r="E75" s="1" t="n">
        <v>46322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10.3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35990-2023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45148</v>
      </c>
      <c r="E76" s="1" t="n">
        <v>46322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46322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41055-2025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46322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41871-2025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45903</v>
      </c>
      <c r="E79" s="1" t="n">
        <v>46322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46322</v>
      </c>
      <c r="F80" t="inlineStr">
        <is>
          <t>VÄSTERBOTTENS LÄN</t>
        </is>
      </c>
      <c r="G80" t="inlineStr">
        <is>
          <t>DOROTEA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46322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42125-2025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46322</v>
      </c>
      <c r="F82" t="inlineStr">
        <is>
          <t>VÄSTERBOTTENS LÄN</t>
        </is>
      </c>
      <c r="G82" t="inlineStr">
        <is>
          <t>DOROTEA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41104-2023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45170</v>
      </c>
      <c r="E83" s="1" t="n">
        <v>46322</v>
      </c>
      <c r="F83" t="inlineStr">
        <is>
          <t>VÄSTERBOTTENS LÄN</t>
        </is>
      </c>
      <c r="G83" t="inlineStr">
        <is>
          <t>DOROTEA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40599-2024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45556</v>
      </c>
      <c r="E84" s="1" t="n">
        <v>46322</v>
      </c>
      <c r="F84" t="inlineStr">
        <is>
          <t>VÄSTERBOTTENS LÄN</t>
        </is>
      </c>
      <c r="G84" t="inlineStr">
        <is>
          <t>DOROTEA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55549-2024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46322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57071-2023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45244</v>
      </c>
      <c r="E86" s="1" t="n">
        <v>46322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43866-2025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45912</v>
      </c>
      <c r="E87" s="1" t="n">
        <v>46322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44190-2025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46322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44194-2025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46322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8.4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43876-2025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46322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43720-2025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46322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44593-2025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45917</v>
      </c>
      <c r="E92" s="1" t="n">
        <v>46322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44282-2025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45916</v>
      </c>
      <c r="E93" s="1" t="n">
        <v>46322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44395-2025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45916</v>
      </c>
      <c r="E94" s="1" t="n">
        <v>46322</v>
      </c>
      <c r="F94" t="inlineStr">
        <is>
          <t>VÄSTERBOTTENS LÄN</t>
        </is>
      </c>
      <c r="G94" t="inlineStr">
        <is>
          <t>DOROTEA</t>
        </is>
      </c>
      <c r="H94" t="inlineStr">
        <is>
          <t>Övriga statliga verk och myndigheter</t>
        </is>
      </c>
      <c r="I94" t="n">
        <v>15.2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46322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46322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28549-2023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46322</v>
      </c>
      <c r="F97" t="inlineStr">
        <is>
          <t>VÄSTERBOTTENS LÄN</t>
        </is>
      </c>
      <c r="G97" t="inlineStr">
        <is>
          <t>DOROTEA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46322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34406-2025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46322</v>
      </c>
      <c r="F99" t="inlineStr">
        <is>
          <t>VÄSTERBOTTENS LÄN</t>
        </is>
      </c>
      <c r="G99" t="inlineStr">
        <is>
          <t>DOROTEA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45330</v>
      </c>
      <c r="E100" s="1" t="n">
        <v>46322</v>
      </c>
      <c r="F100" t="inlineStr">
        <is>
          <t>VÄSTERBOTTENS LÄN</t>
        </is>
      </c>
      <c r="G100" t="inlineStr">
        <is>
          <t>DOROTEA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46322</v>
      </c>
      <c r="F101" t="inlineStr">
        <is>
          <t>VÄSTERBOTTENS LÄN</t>
        </is>
      </c>
      <c r="G101" t="inlineStr">
        <is>
          <t>DOROTEA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60015-2023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45257</v>
      </c>
      <c r="E102" s="1" t="n">
        <v>46322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46322</v>
      </c>
      <c r="F103" t="inlineStr">
        <is>
          <t>VÄSTERBOTTENS LÄN</t>
        </is>
      </c>
      <c r="G103" t="inlineStr">
        <is>
          <t>DOROTEA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53795-2022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46322</v>
      </c>
      <c r="F104" t="inlineStr">
        <is>
          <t>VÄSTERBOTTENS LÄN</t>
        </is>
      </c>
      <c r="G104" t="inlineStr">
        <is>
          <t>DOROTEA</t>
        </is>
      </c>
      <c r="I104" t="n">
        <v>12.3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46817-2022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44848</v>
      </c>
      <c r="E105" s="1" t="n">
        <v>46322</v>
      </c>
      <c r="F105" t="inlineStr">
        <is>
          <t>VÄSTERBOTTENS LÄN</t>
        </is>
      </c>
      <c r="G105" t="inlineStr">
        <is>
          <t>DOROTEA</t>
        </is>
      </c>
      <c r="I105" t="n">
        <v>29.8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45936</v>
      </c>
      <c r="E106" s="1" t="n">
        <v>46322</v>
      </c>
      <c r="F106" t="inlineStr">
        <is>
          <t>VÄSTERBOTTENS LÄN</t>
        </is>
      </c>
      <c r="G106" t="inlineStr">
        <is>
          <t>DOROTEA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46322</v>
      </c>
      <c r="F107" t="inlineStr">
        <is>
          <t>VÄSTERBOTTENS LÄN</t>
        </is>
      </c>
      <c r="G107" t="inlineStr">
        <is>
          <t>DOROTEA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46322</v>
      </c>
      <c r="F108" t="inlineStr">
        <is>
          <t>VÄSTERBOTTENS LÄN</t>
        </is>
      </c>
      <c r="G108" t="inlineStr">
        <is>
          <t>DOROTEA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27477-2023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45097</v>
      </c>
      <c r="E109" s="1" t="n">
        <v>46322</v>
      </c>
      <c r="F109" t="inlineStr">
        <is>
          <t>VÄSTERBOTTENS LÄN</t>
        </is>
      </c>
      <c r="G109" t="inlineStr">
        <is>
          <t>DOROTEA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45936</v>
      </c>
      <c r="E110" s="1" t="n">
        <v>46322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26926-2026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46322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7.4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46966-2024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45586</v>
      </c>
      <c r="E112" s="1" t="n">
        <v>46322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Sveaskog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46322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49054-2025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46322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9.800000000000001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23300-2023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45075</v>
      </c>
      <c r="E115" s="1" t="n">
        <v>46322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28717-2022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46322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30059-2024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45488</v>
      </c>
      <c r="E117" s="1" t="n">
        <v>46322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43092-2023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45182</v>
      </c>
      <c r="E118" s="1" t="n">
        <v>46322</v>
      </c>
      <c r="F118" t="inlineStr">
        <is>
          <t>VÄSTERBOTTENS LÄN</t>
        </is>
      </c>
      <c r="G118" t="inlineStr">
        <is>
          <t>DOROTEA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22450-2024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45446</v>
      </c>
      <c r="E119" s="1" t="n">
        <v>46322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34101-2023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45125</v>
      </c>
      <c r="E120" s="1" t="n">
        <v>46322</v>
      </c>
      <c r="F120" t="inlineStr">
        <is>
          <t>VÄSTERBOTTENS LÄN</t>
        </is>
      </c>
      <c r="G120" t="inlineStr">
        <is>
          <t>DOROTEA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37105-2024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45539</v>
      </c>
      <c r="E121" s="1" t="n">
        <v>46322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44820-2024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45574</v>
      </c>
      <c r="E122" s="1" t="n">
        <v>46322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46322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16.2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45734</v>
      </c>
      <c r="E124" s="1" t="n">
        <v>46322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30373-2024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45491</v>
      </c>
      <c r="E125" s="1" t="n">
        <v>46322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Sveaskog</t>
        </is>
      </c>
      <c r="I125" t="n">
        <v>13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27738-2026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46191</v>
      </c>
      <c r="E126" s="1" t="n">
        <v>46322</v>
      </c>
      <c r="F126" t="inlineStr">
        <is>
          <t>VÄSTERBOTTENS LÄN</t>
        </is>
      </c>
      <c r="G126" t="inlineStr">
        <is>
          <t>DOROTEA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52412-2025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46322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53409-2025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45959</v>
      </c>
      <c r="E128" s="1" t="n">
        <v>46322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43944-2024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46322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45478</v>
      </c>
      <c r="E130" s="1" t="n">
        <v>46322</v>
      </c>
      <c r="F130" t="inlineStr">
        <is>
          <t>VÄSTERBOTTENS LÄN</t>
        </is>
      </c>
      <c r="G130" t="inlineStr">
        <is>
          <t>DOROTEA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53382-2024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45614</v>
      </c>
      <c r="E131" s="1" t="n">
        <v>46322</v>
      </c>
      <c r="F131" t="inlineStr">
        <is>
          <t>VÄSTERBOTTENS LÄN</t>
        </is>
      </c>
      <c r="G131" t="inlineStr">
        <is>
          <t>DOROTEA</t>
        </is>
      </c>
      <c r="I131" t="n">
        <v>11.2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45125</v>
      </c>
      <c r="E132" s="1" t="n">
        <v>46322</v>
      </c>
      <c r="F132" t="inlineStr">
        <is>
          <t>VÄSTERBOTTENS LÄN</t>
        </is>
      </c>
      <c r="G132" t="inlineStr">
        <is>
          <t>DOROTEA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44889</v>
      </c>
      <c r="E133" s="1" t="n">
        <v>46322</v>
      </c>
      <c r="F133" t="inlineStr">
        <is>
          <t>VÄSTERBOTTENS LÄN</t>
        </is>
      </c>
      <c r="G133" t="inlineStr">
        <is>
          <t>DOROTEA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46322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42104-2024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45562</v>
      </c>
      <c r="E135" s="1" t="n">
        <v>46322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54623-2025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46322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54624-2025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46322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34702-2023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46322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46322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46322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45789</v>
      </c>
      <c r="E141" s="1" t="n">
        <v>46322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56707-2025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45977</v>
      </c>
      <c r="E142" s="1" t="n">
        <v>46322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57245-2025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46322</v>
      </c>
      <c r="F143" t="inlineStr">
        <is>
          <t>VÄSTERBOTTENS LÄN</t>
        </is>
      </c>
      <c r="G143" t="inlineStr">
        <is>
          <t>DOROTEA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46322</v>
      </c>
      <c r="F144" t="inlineStr">
        <is>
          <t>VÄSTERBOTTENS LÄN</t>
        </is>
      </c>
      <c r="G144" t="inlineStr">
        <is>
          <t>DOROTEA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46322</v>
      </c>
      <c r="F145" t="inlineStr">
        <is>
          <t>VÄSTERBOTTENS LÄN</t>
        </is>
      </c>
      <c r="G145" t="inlineStr">
        <is>
          <t>DOROTEA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46322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57380-2025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46322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10.2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57480-2025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45980</v>
      </c>
      <c r="E148" s="1" t="n">
        <v>46322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46322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45981</v>
      </c>
      <c r="E150" s="1" t="n">
        <v>46322</v>
      </c>
      <c r="F150" t="inlineStr">
        <is>
          <t>VÄSTERBOTTENS LÄN</t>
        </is>
      </c>
      <c r="G150" t="inlineStr">
        <is>
          <t>DOROTEA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57722-2025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46322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28180-2026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46322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34820-2023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45140</v>
      </c>
      <c r="E153" s="1" t="n">
        <v>46322</v>
      </c>
      <c r="F153" t="inlineStr">
        <is>
          <t>VÄSTERBOTTENS LÄN</t>
        </is>
      </c>
      <c r="G153" t="inlineStr">
        <is>
          <t>DOROTEA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29737-2024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45485</v>
      </c>
      <c r="E154" s="1" t="n">
        <v>46322</v>
      </c>
      <c r="F154" t="inlineStr">
        <is>
          <t>VÄSTERBOTTENS LÄN</t>
        </is>
      </c>
      <c r="G154" t="inlineStr">
        <is>
          <t>DOROTEA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45982</v>
      </c>
      <c r="E155" s="1" t="n">
        <v>46322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23457-2025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46322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46322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45551</v>
      </c>
      <c r="E158" s="1" t="n">
        <v>46322</v>
      </c>
      <c r="F158" t="inlineStr">
        <is>
          <t>VÄSTERBOTTENS LÄN</t>
        </is>
      </c>
      <c r="G158" t="inlineStr">
        <is>
          <t>DOROTEA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28360-2026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46196</v>
      </c>
      <c r="E159" s="1" t="n">
        <v>46322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49.5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58014-2025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45982</v>
      </c>
      <c r="E160" s="1" t="n">
        <v>46322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18.2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33113-2024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45517</v>
      </c>
      <c r="E161" s="1" t="n">
        <v>46322</v>
      </c>
      <c r="F161" t="inlineStr">
        <is>
          <t>VÄSTERBOTTENS LÄN</t>
        </is>
      </c>
      <c r="G161" t="inlineStr">
        <is>
          <t>DOROTEA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58600-2025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45986</v>
      </c>
      <c r="E162" s="1" t="n">
        <v>46322</v>
      </c>
      <c r="F162" t="inlineStr">
        <is>
          <t>VÄSTERBOTTENS LÄN</t>
        </is>
      </c>
      <c r="G162" t="inlineStr">
        <is>
          <t>DOROTEA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45988</v>
      </c>
      <c r="E163" s="1" t="n">
        <v>46322</v>
      </c>
      <c r="F163" t="inlineStr">
        <is>
          <t>VÄSTERBOTTENS LÄN</t>
        </is>
      </c>
      <c r="G163" t="inlineStr">
        <is>
          <t>DOROTEA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45614</v>
      </c>
      <c r="E164" s="1" t="n">
        <v>46322</v>
      </c>
      <c r="F164" t="inlineStr">
        <is>
          <t>VÄSTERBOTTENS LÄN</t>
        </is>
      </c>
      <c r="G164" t="inlineStr">
        <is>
          <t>DOROTEA</t>
        </is>
      </c>
      <c r="I164" t="n">
        <v>12.8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45988</v>
      </c>
      <c r="E165" s="1" t="n">
        <v>46322</v>
      </c>
      <c r="F165" t="inlineStr">
        <is>
          <t>VÄSTERBOTTENS LÄN</t>
        </is>
      </c>
      <c r="G165" t="inlineStr">
        <is>
          <t>DOROTEA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46322</v>
      </c>
      <c r="F166" t="inlineStr">
        <is>
          <t>VÄSTERBOTTENS LÄN</t>
        </is>
      </c>
      <c r="G166" t="inlineStr">
        <is>
          <t>DOROTEA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28782-2026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46322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7.3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46322</v>
      </c>
      <c r="F168" t="inlineStr">
        <is>
          <t>VÄSTERBOTTENS LÄN</t>
        </is>
      </c>
      <c r="G168" t="inlineStr">
        <is>
          <t>DOROTEA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46322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7.3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35937-2025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45862</v>
      </c>
      <c r="E170" s="1" t="n">
        <v>46322</v>
      </c>
      <c r="F170" t="inlineStr">
        <is>
          <t>VÄSTERBOTTENS LÄN</t>
        </is>
      </c>
      <c r="G170" t="inlineStr">
        <is>
          <t>DOROTEA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49077-2022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46322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25028-2024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45461</v>
      </c>
      <c r="E172" s="1" t="n">
        <v>46322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17787-2023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46322</v>
      </c>
      <c r="F173" t="inlineStr">
        <is>
          <t>VÄSTERBOTTENS LÄN</t>
        </is>
      </c>
      <c r="G173" t="inlineStr">
        <is>
          <t>DOROTEA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45803</v>
      </c>
      <c r="E174" s="1" t="n">
        <v>46322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46322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45996</v>
      </c>
      <c r="E176" s="1" t="n">
        <v>46322</v>
      </c>
      <c r="F176" t="inlineStr">
        <is>
          <t>VÄSTERBOTTENS LÄN</t>
        </is>
      </c>
      <c r="G176" t="inlineStr">
        <is>
          <t>DOROTEA</t>
        </is>
      </c>
      <c r="I176" t="n">
        <v>23.9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45800</v>
      </c>
      <c r="E177" s="1" t="n">
        <v>46322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46322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26481-2025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45807</v>
      </c>
      <c r="E179" s="1" t="n">
        <v>46322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45807</v>
      </c>
      <c r="E180" s="1" t="n">
        <v>46322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28783-2026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46198</v>
      </c>
      <c r="E181" s="1" t="n">
        <v>46322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45664</v>
      </c>
      <c r="E182" s="1" t="n">
        <v>46322</v>
      </c>
      <c r="F182" t="inlineStr">
        <is>
          <t>VÄSTERBOTTENS LÄN</t>
        </is>
      </c>
      <c r="G182" t="inlineStr">
        <is>
          <t>DOROTEA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14759-2025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45742</v>
      </c>
      <c r="E183" s="1" t="n">
        <v>46322</v>
      </c>
      <c r="F183" t="inlineStr">
        <is>
          <t>VÄSTERBOTTENS LÄN</t>
        </is>
      </c>
      <c r="G183" t="inlineStr">
        <is>
          <t>DOROTEA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48006-2023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45198</v>
      </c>
      <c r="E184" s="1" t="n">
        <v>46322</v>
      </c>
      <c r="F184" t="inlineStr">
        <is>
          <t>VÄSTERBOTTENS LÄN</t>
        </is>
      </c>
      <c r="G184" t="inlineStr">
        <is>
          <t>DOROTEA</t>
        </is>
      </c>
      <c r="H184" t="inlineStr">
        <is>
          <t>Övriga statliga verk och myndigheter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46322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61831-2025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46322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62193-2025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46003</v>
      </c>
      <c r="E187" s="1" t="n">
        <v>46322</v>
      </c>
      <c r="F187" t="inlineStr">
        <is>
          <t>VÄSTERBOTTENS LÄN</t>
        </is>
      </c>
      <c r="G187" t="inlineStr">
        <is>
          <t>DOROTEA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46322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62422-2025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46322</v>
      </c>
      <c r="F189" t="inlineStr">
        <is>
          <t>VÄSTERBOTTENS LÄN</t>
        </is>
      </c>
      <c r="G189" t="inlineStr">
        <is>
          <t>DOROTEA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46322</v>
      </c>
      <c r="F190" t="inlineStr">
        <is>
          <t>VÄSTERBOTTENS LÄN</t>
        </is>
      </c>
      <c r="G190" t="inlineStr">
        <is>
          <t>DOROTEA</t>
        </is>
      </c>
      <c r="I190" t="n">
        <v>16.7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53117-2023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45228</v>
      </c>
      <c r="E191" s="1" t="n">
        <v>46322</v>
      </c>
      <c r="F191" t="inlineStr">
        <is>
          <t>VÄSTERBOTTENS LÄN</t>
        </is>
      </c>
      <c r="G191" t="inlineStr">
        <is>
          <t>DOROTEA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53118-2023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45228</v>
      </c>
      <c r="E192" s="1" t="n">
        <v>46322</v>
      </c>
      <c r="F192" t="inlineStr">
        <is>
          <t>VÄSTERBOTTENS LÄN</t>
        </is>
      </c>
      <c r="G192" t="inlineStr">
        <is>
          <t>DOROTEA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46322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46322</v>
      </c>
      <c r="F194" t="inlineStr">
        <is>
          <t>VÄSTERBOTTENS LÄN</t>
        </is>
      </c>
      <c r="G194" t="inlineStr">
        <is>
          <t>DOROTEA</t>
        </is>
      </c>
      <c r="I194" t="n">
        <v>13.2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17132-2025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46322</v>
      </c>
      <c r="F195" t="inlineStr">
        <is>
          <t>VÄSTERBOTTENS LÄN</t>
        </is>
      </c>
      <c r="G195" t="inlineStr">
        <is>
          <t>DOROTEA</t>
        </is>
      </c>
      <c r="I195" t="n">
        <v>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46322</v>
      </c>
      <c r="F196" t="inlineStr">
        <is>
          <t>VÄSTERBOTTENS LÄN</t>
        </is>
      </c>
      <c r="G196" t="inlineStr">
        <is>
          <t>DOROTEA</t>
        </is>
      </c>
      <c r="I196" t="n">
        <v>12.3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62974-2025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46322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37072-2024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45539</v>
      </c>
      <c r="E198" s="1" t="n">
        <v>46322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46322</v>
      </c>
      <c r="F199" t="inlineStr">
        <is>
          <t>VÄSTERBOTTENS LÄN</t>
        </is>
      </c>
      <c r="G199" t="inlineStr">
        <is>
          <t>DOROTEA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44582</v>
      </c>
      <c r="E200" s="1" t="n">
        <v>46322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63939-2025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46010</v>
      </c>
      <c r="E201" s="1" t="n">
        <v>46322</v>
      </c>
      <c r="F201" t="inlineStr">
        <is>
          <t>VÄSTERBOTTENS LÄN</t>
        </is>
      </c>
      <c r="G201" t="inlineStr">
        <is>
          <t>DOROTEA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46322</v>
      </c>
      <c r="F202" t="inlineStr">
        <is>
          <t>VÄSTERBOTTENS LÄN</t>
        </is>
      </c>
      <c r="G202" t="inlineStr">
        <is>
          <t>DOROTEA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31510-2025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45833</v>
      </c>
      <c r="E203" s="1" t="n">
        <v>46322</v>
      </c>
      <c r="F203" t="inlineStr">
        <is>
          <t>VÄSTERBOTTENS LÄN</t>
        </is>
      </c>
      <c r="G203" t="inlineStr">
        <is>
          <t>DOROTEA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46017</v>
      </c>
      <c r="E204" s="1" t="n">
        <v>46322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46965-2024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45586</v>
      </c>
      <c r="E205" s="1" t="n">
        <v>46322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Sveaskog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46322</v>
      </c>
      <c r="F206" t="inlineStr">
        <is>
          <t>VÄSTERBOTTENS LÄN</t>
        </is>
      </c>
      <c r="G206" t="inlineStr">
        <is>
          <t>DOROTEA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46322</v>
      </c>
      <c r="F207" t="inlineStr">
        <is>
          <t>VÄSTERBOTTENS LÄN</t>
        </is>
      </c>
      <c r="G207" t="inlineStr">
        <is>
          <t>DOROTEA</t>
        </is>
      </c>
      <c r="I207" t="n">
        <v>7.4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46322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46030</v>
      </c>
      <c r="E209" s="1" t="n">
        <v>46322</v>
      </c>
      <c r="F209" t="inlineStr">
        <is>
          <t>VÄSTERBOTTENS LÄN</t>
        </is>
      </c>
      <c r="G209" t="inlineStr">
        <is>
          <t>DOROTEA</t>
        </is>
      </c>
      <c r="I209" t="n">
        <v>18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34488-2025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45847</v>
      </c>
      <c r="E210" s="1" t="n">
        <v>46322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46322</v>
      </c>
      <c r="F211" t="inlineStr">
        <is>
          <t>VÄSTERBOTTENS LÄN</t>
        </is>
      </c>
      <c r="G211" t="inlineStr">
        <is>
          <t>DOROTEA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34681-2025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45848</v>
      </c>
      <c r="E212" s="1" t="n">
        <v>46322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45849</v>
      </c>
      <c r="E213" s="1" t="n">
        <v>46322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45852</v>
      </c>
      <c r="E214" s="1" t="n">
        <v>46322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8852-2024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45356</v>
      </c>
      <c r="E215" s="1" t="n">
        <v>46322</v>
      </c>
      <c r="F215" t="inlineStr">
        <is>
          <t>VÄSTERBOTTENS LÄN</t>
        </is>
      </c>
      <c r="G215" t="inlineStr">
        <is>
          <t>DOROTEA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46204</v>
      </c>
      <c r="E216" s="1" t="n">
        <v>46322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9.300000000000001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46322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45855</v>
      </c>
      <c r="E218" s="1" t="n">
        <v>46322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35456-2025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45855</v>
      </c>
      <c r="E219" s="1" t="n">
        <v>46322</v>
      </c>
      <c r="F219" t="inlineStr">
        <is>
          <t>VÄSTERBOTTENS LÄN</t>
        </is>
      </c>
      <c r="G219" t="inlineStr">
        <is>
          <t>DOROTEA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45855</v>
      </c>
      <c r="E220" s="1" t="n">
        <v>46322</v>
      </c>
      <c r="F220" t="inlineStr">
        <is>
          <t>VÄSTERBOTTENS LÄN</t>
        </is>
      </c>
      <c r="G220" t="inlineStr">
        <is>
          <t>DOROTEA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46322</v>
      </c>
      <c r="F221" t="inlineStr">
        <is>
          <t>VÄSTERBOTTENS LÄN</t>
        </is>
      </c>
      <c r="G221" t="inlineStr">
        <is>
          <t>DOROTEA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27305-2024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45471</v>
      </c>
      <c r="E222" s="1" t="n">
        <v>46322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46029</v>
      </c>
      <c r="E223" s="1" t="n">
        <v>46322</v>
      </c>
      <c r="F223" t="inlineStr">
        <is>
          <t>VÄSTERBOTTENS LÄN</t>
        </is>
      </c>
      <c r="G223" t="inlineStr">
        <is>
          <t>DOROTEA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46322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36111-2025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45866</v>
      </c>
      <c r="E225" s="1" t="n">
        <v>46322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36125-2025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45866</v>
      </c>
      <c r="E226" s="1" t="n">
        <v>46322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46043</v>
      </c>
      <c r="E227" s="1" t="n">
        <v>46322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46042</v>
      </c>
      <c r="E228" s="1" t="n">
        <v>46322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12.9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3434-2026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46042</v>
      </c>
      <c r="E229" s="1" t="n">
        <v>46322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46042</v>
      </c>
      <c r="E230" s="1" t="n">
        <v>46322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11.9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31093-2026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46209</v>
      </c>
      <c r="E231" s="1" t="n">
        <v>46322</v>
      </c>
      <c r="F231" t="inlineStr">
        <is>
          <t>VÄSTERBOTTENS LÄN</t>
        </is>
      </c>
      <c r="G231" t="inlineStr">
        <is>
          <t>DOROTEA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63885-2025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46322</v>
      </c>
      <c r="F232" t="inlineStr">
        <is>
          <t>VÄSTERBOTTENS LÄN</t>
        </is>
      </c>
      <c r="G232" t="inlineStr">
        <is>
          <t>DOROTEA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45331</v>
      </c>
      <c r="E233" s="1" t="n">
        <v>46322</v>
      </c>
      <c r="F233" t="inlineStr">
        <is>
          <t>VÄSTERBOTTENS LÄN</t>
        </is>
      </c>
      <c r="G233" t="inlineStr">
        <is>
          <t>DOROTEA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44889</v>
      </c>
      <c r="E234" s="1" t="n">
        <v>46322</v>
      </c>
      <c r="F234" t="inlineStr">
        <is>
          <t>VÄSTERBOTTENS LÄN</t>
        </is>
      </c>
      <c r="G234" t="inlineStr">
        <is>
          <t>DOROTEA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45874</v>
      </c>
      <c r="E235" s="1" t="n">
        <v>46322</v>
      </c>
      <c r="F235" t="inlineStr">
        <is>
          <t>VÄSTERBOTTENS LÄN</t>
        </is>
      </c>
      <c r="G235" t="inlineStr">
        <is>
          <t>DOROTEA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12773-2026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46091</v>
      </c>
      <c r="E236" s="1" t="n">
        <v>46322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4.4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30078-2026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46322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36844-2025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46322</v>
      </c>
      <c r="F238" t="inlineStr">
        <is>
          <t>VÄSTERBOTTENS LÄN</t>
        </is>
      </c>
      <c r="G238" t="inlineStr">
        <is>
          <t>DOROTEA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46036</v>
      </c>
      <c r="E239" s="1" t="n">
        <v>46322</v>
      </c>
      <c r="F239" t="inlineStr">
        <is>
          <t>VÄSTERBOTTENS LÄN</t>
        </is>
      </c>
      <c r="G239" t="inlineStr">
        <is>
          <t>DOROTEA</t>
        </is>
      </c>
      <c r="I239" t="n">
        <v>11.8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45875</v>
      </c>
      <c r="E240" s="1" t="n">
        <v>46322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46322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45876</v>
      </c>
      <c r="E242" s="1" t="n">
        <v>46322</v>
      </c>
      <c r="F242" t="inlineStr">
        <is>
          <t>VÄSTERBOTTENS LÄN</t>
        </is>
      </c>
      <c r="G242" t="inlineStr">
        <is>
          <t>DOROTEA</t>
        </is>
      </c>
      <c r="H242" t="inlineStr">
        <is>
          <t>SCA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46322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37476-2025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45877</v>
      </c>
      <c r="E244" s="1" t="n">
        <v>46322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45876</v>
      </c>
      <c r="E245" s="1" t="n">
        <v>46322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46322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38099-2025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46322</v>
      </c>
      <c r="F247" t="inlineStr">
        <is>
          <t>VÄSTERBOTTENS LÄN</t>
        </is>
      </c>
      <c r="G247" t="inlineStr">
        <is>
          <t>DOROTEA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46054</v>
      </c>
      <c r="E248" s="1" t="n">
        <v>46322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46322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34700-2023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45140</v>
      </c>
      <c r="E250" s="1" t="n">
        <v>46322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46322</v>
      </c>
      <c r="F251" t="inlineStr">
        <is>
          <t>VÄSTERBOTTENS LÄN</t>
        </is>
      </c>
      <c r="G251" t="inlineStr">
        <is>
          <t>DOROTEA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46322</v>
      </c>
      <c r="F252" t="inlineStr">
        <is>
          <t>VÄSTERBOTTENS LÄN</t>
        </is>
      </c>
      <c r="G252" t="inlineStr">
        <is>
          <t>DOROTEA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46322</v>
      </c>
      <c r="F253" t="inlineStr">
        <is>
          <t>VÄSTERBOTTENS LÄN</t>
        </is>
      </c>
      <c r="G253" t="inlineStr">
        <is>
          <t>DOROTEA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38239-2025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46322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45882</v>
      </c>
      <c r="E255" s="1" t="n">
        <v>46322</v>
      </c>
      <c r="F255" t="inlineStr">
        <is>
          <t>VÄSTERBOTTENS LÄN</t>
        </is>
      </c>
      <c r="G255" t="inlineStr">
        <is>
          <t>DOROTEA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45712</v>
      </c>
      <c r="E256" s="1" t="n">
        <v>46322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7716-2026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46059</v>
      </c>
      <c r="E257" s="1" t="n">
        <v>46322</v>
      </c>
      <c r="F257" t="inlineStr">
        <is>
          <t>VÄSTERBOTTENS LÄN</t>
        </is>
      </c>
      <c r="G257" t="inlineStr">
        <is>
          <t>DOROTEA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7713-2026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46322</v>
      </c>
      <c r="F258" t="inlineStr">
        <is>
          <t>VÄSTERBOTTENS LÄN</t>
        </is>
      </c>
      <c r="G258" t="inlineStr">
        <is>
          <t>DOROTEA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7963-2026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46063</v>
      </c>
      <c r="E259" s="1" t="n">
        <v>46322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46211</v>
      </c>
      <c r="E260" s="1" t="n">
        <v>46322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46212</v>
      </c>
      <c r="E261" s="1" t="n">
        <v>46322</v>
      </c>
      <c r="F261" t="inlineStr">
        <is>
          <t>VÄSTERBOTTENS LÄN</t>
        </is>
      </c>
      <c r="G261" t="inlineStr">
        <is>
          <t>DOROTEA</t>
        </is>
      </c>
      <c r="I261" t="n">
        <v>8.4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46212</v>
      </c>
      <c r="E262" s="1" t="n">
        <v>46322</v>
      </c>
      <c r="F262" t="inlineStr">
        <is>
          <t>VÄSTERBOTTENS LÄN</t>
        </is>
      </c>
      <c r="G262" t="inlineStr">
        <is>
          <t>DOROTEA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30823-2026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46212</v>
      </c>
      <c r="E263" s="1" t="n">
        <v>46322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46211</v>
      </c>
      <c r="E264" s="1" t="n">
        <v>46322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35000-2023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45142</v>
      </c>
      <c r="E265" s="1" t="n">
        <v>46322</v>
      </c>
      <c r="F265" t="inlineStr">
        <is>
          <t>VÄSTERBOTTENS LÄN</t>
        </is>
      </c>
      <c r="G265" t="inlineStr">
        <is>
          <t>DOROTEA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31016-2026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46213</v>
      </c>
      <c r="E266" s="1" t="n">
        <v>46322</v>
      </c>
      <c r="F266" t="inlineStr">
        <is>
          <t>VÄSTERBOTTENS LÄN</t>
        </is>
      </c>
      <c r="G266" t="inlineStr">
        <is>
          <t>DOROTEA</t>
        </is>
      </c>
      <c r="I266" t="n">
        <v>7.8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46213</v>
      </c>
      <c r="E267" s="1" t="n">
        <v>46322</v>
      </c>
      <c r="F267" t="inlineStr">
        <is>
          <t>VÄSTERBOTTENS LÄN</t>
        </is>
      </c>
      <c r="G267" t="inlineStr">
        <is>
          <t>DOROTEA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31260-2026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46218</v>
      </c>
      <c r="E268" s="1" t="n">
        <v>46322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46322</v>
      </c>
      <c r="F269" t="inlineStr">
        <is>
          <t>VÄSTERBOTTENS LÄN</t>
        </is>
      </c>
      <c r="G269" t="inlineStr">
        <is>
          <t>DOROTEA</t>
        </is>
      </c>
      <c r="I269" t="n">
        <v>20.1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31302-2026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46218</v>
      </c>
      <c r="E270" s="1" t="n">
        <v>46322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46217</v>
      </c>
      <c r="E271" s="1" t="n">
        <v>46322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15.6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29454-2024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45483</v>
      </c>
      <c r="E272" s="1" t="n">
        <v>46322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31179-2026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46217</v>
      </c>
      <c r="E273" s="1" t="n">
        <v>46322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17591-2025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45757</v>
      </c>
      <c r="E274" s="1" t="n">
        <v>46322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31259-2026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46218</v>
      </c>
      <c r="E275" s="1" t="n">
        <v>46322</v>
      </c>
      <c r="F275" t="inlineStr">
        <is>
          <t>VÄSTERBOTTENS LÄN</t>
        </is>
      </c>
      <c r="G275" t="inlineStr">
        <is>
          <t>DOROTEA</t>
        </is>
      </c>
      <c r="H275" t="inlineStr">
        <is>
          <t>SCA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29645-2023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45098</v>
      </c>
      <c r="E276" s="1" t="n">
        <v>46322</v>
      </c>
      <c r="F276" t="inlineStr">
        <is>
          <t>VÄSTERBOTTENS LÄN</t>
        </is>
      </c>
      <c r="G276" t="inlineStr">
        <is>
          <t>DOROTEA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46220</v>
      </c>
      <c r="E277" s="1" t="n">
        <v>46322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46224</v>
      </c>
      <c r="E278" s="1" t="n">
        <v>46322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46322</v>
      </c>
      <c r="F279" t="inlineStr">
        <is>
          <t>VÄSTERBOTTENS LÄN</t>
        </is>
      </c>
      <c r="G279" t="inlineStr">
        <is>
          <t>DOROTEA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31573-2026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46224</v>
      </c>
      <c r="E280" s="1" t="n">
        <v>46322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31575-2026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46224</v>
      </c>
      <c r="E281" s="1" t="n">
        <v>46322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19657-2025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45770</v>
      </c>
      <c r="E282" s="1" t="n">
        <v>46322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46086</v>
      </c>
      <c r="E283" s="1" t="n">
        <v>46322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46322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59653-2024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46322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45672</v>
      </c>
      <c r="E286" s="1" t="n">
        <v>46322</v>
      </c>
      <c r="F286" t="inlineStr">
        <is>
          <t>VÄSTERBOTTENS LÄN</t>
        </is>
      </c>
      <c r="G286" t="inlineStr">
        <is>
          <t>DOROTEA</t>
        </is>
      </c>
      <c r="H286" t="inlineStr">
        <is>
          <t>Kommuner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59394-2023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45253</v>
      </c>
      <c r="E287" s="1" t="n">
        <v>46322</v>
      </c>
      <c r="F287" t="inlineStr">
        <is>
          <t>VÄSTERBOTTENS LÄN</t>
        </is>
      </c>
      <c r="G287" t="inlineStr">
        <is>
          <t>DOROTEA</t>
        </is>
      </c>
      <c r="I287" t="n">
        <v>28.8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60162-2024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45642</v>
      </c>
      <c r="E288" s="1" t="n">
        <v>46322</v>
      </c>
      <c r="F288" t="inlineStr">
        <is>
          <t>VÄSTERBOTTENS LÄN</t>
        </is>
      </c>
      <c r="G288" t="inlineStr">
        <is>
          <t>DOROTEA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45755</v>
      </c>
      <c r="E289" s="1" t="n">
        <v>46322</v>
      </c>
      <c r="F289" t="inlineStr">
        <is>
          <t>VÄSTERBOTTENS LÄN</t>
        </is>
      </c>
      <c r="G289" t="inlineStr">
        <is>
          <t>DOROTEA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44971</v>
      </c>
      <c r="E290" s="1" t="n">
        <v>46322</v>
      </c>
      <c r="F290" t="inlineStr">
        <is>
          <t>VÄSTERBOTTENS LÄN</t>
        </is>
      </c>
      <c r="G290" t="inlineStr">
        <is>
          <t>DOROTEA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45796</v>
      </c>
      <c r="E291" s="1" t="n">
        <v>46322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14249-2026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46099</v>
      </c>
      <c r="E292" s="1" t="n">
        <v>46322</v>
      </c>
      <c r="F292" t="inlineStr">
        <is>
          <t>VÄSTERBOTTENS LÄN</t>
        </is>
      </c>
      <c r="G292" t="inlineStr">
        <is>
          <t>DOROTEA</t>
        </is>
      </c>
      <c r="I292" t="n">
        <v>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46322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46104</v>
      </c>
      <c r="E294" s="1" t="n">
        <v>46322</v>
      </c>
      <c r="F294" t="inlineStr">
        <is>
          <t>VÄSTERBOTTENS LÄN</t>
        </is>
      </c>
      <c r="G294" t="inlineStr">
        <is>
          <t>DOROTEA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38087-2026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46281</v>
      </c>
      <c r="E295" s="1" t="n">
        <v>46322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62657-2022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44925</v>
      </c>
      <c r="E296" s="1" t="n">
        <v>46322</v>
      </c>
      <c r="F296" t="inlineStr">
        <is>
          <t>VÄSTERBOTTENS LÄN</t>
        </is>
      </c>
      <c r="G296" t="inlineStr">
        <is>
          <t>DOROTEA</t>
        </is>
      </c>
      <c r="I296" t="n">
        <v>22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15901-2026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46107</v>
      </c>
      <c r="E297" s="1" t="n">
        <v>46322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46322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46111</v>
      </c>
      <c r="E299" s="1" t="n">
        <v>46322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16352-2026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46111</v>
      </c>
      <c r="E300" s="1" t="n">
        <v>46322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33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16985-2026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46322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22580-2023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46322</v>
      </c>
      <c r="F302" t="inlineStr">
        <is>
          <t>VÄSTERBOTTENS LÄN</t>
        </is>
      </c>
      <c r="G302" t="inlineStr">
        <is>
          <t>DOROTEA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53357-2024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45614</v>
      </c>
      <c r="E303" s="1" t="n">
        <v>46322</v>
      </c>
      <c r="F303" t="inlineStr">
        <is>
          <t>VÄSTERBOTTENS LÄN</t>
        </is>
      </c>
      <c r="G303" t="inlineStr">
        <is>
          <t>DOROTEA</t>
        </is>
      </c>
      <c r="I303" t="n">
        <v>26.5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60163-2024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45642</v>
      </c>
      <c r="E304" s="1" t="n">
        <v>46322</v>
      </c>
      <c r="F304" t="inlineStr">
        <is>
          <t>VÄSTERBOTTENS LÄN</t>
        </is>
      </c>
      <c r="G304" t="inlineStr">
        <is>
          <t>DOROTEA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16896-2026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46113</v>
      </c>
      <c r="E305" s="1" t="n">
        <v>46322</v>
      </c>
      <c r="F305" t="inlineStr">
        <is>
          <t>VÄSTERBOTTENS LÄN</t>
        </is>
      </c>
      <c r="G305" t="inlineStr">
        <is>
          <t>DOROTEA</t>
        </is>
      </c>
      <c r="H305" t="inlineStr">
        <is>
          <t>Kommuner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46322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9030-2025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45713</v>
      </c>
      <c r="E307" s="1" t="n">
        <v>46322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17537-2026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46120</v>
      </c>
      <c r="E308" s="1" t="n">
        <v>46322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8.6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17623-2026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46121</v>
      </c>
      <c r="E309" s="1" t="n">
        <v>46322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20.3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45217</v>
      </c>
      <c r="E310" s="1" t="n">
        <v>46322</v>
      </c>
      <c r="F310" t="inlineStr">
        <is>
          <t>VÄSTERBOTTENS LÄN</t>
        </is>
      </c>
      <c r="G310" t="inlineStr">
        <is>
          <t>DOROTEA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46322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46322</v>
      </c>
      <c r="F312" t="inlineStr">
        <is>
          <t>VÄSTERBOTTENS LÄN</t>
        </is>
      </c>
      <c r="G312" t="inlineStr">
        <is>
          <t>DOROTEA</t>
        </is>
      </c>
      <c r="I312" t="n">
        <v>14.8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17971-2026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46123</v>
      </c>
      <c r="E313" s="1" t="n">
        <v>46322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18130-2026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46322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18.3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18254-2026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46126</v>
      </c>
      <c r="E315" s="1" t="n">
        <v>46322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44956</v>
      </c>
      <c r="E316" s="1" t="n">
        <v>46322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18157-2026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46125</v>
      </c>
      <c r="E317" s="1" t="n">
        <v>46322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18143-2026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46125</v>
      </c>
      <c r="E318" s="1" t="n">
        <v>46322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46133</v>
      </c>
      <c r="E319" s="1" t="n">
        <v>46322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19445-2026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46133</v>
      </c>
      <c r="E320" s="1" t="n">
        <v>46322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19446-2026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46133</v>
      </c>
      <c r="E321" s="1" t="n">
        <v>46322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46322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45846</v>
      </c>
      <c r="E323" s="1" t="n">
        <v>46322</v>
      </c>
      <c r="F323" t="inlineStr">
        <is>
          <t>VÄSTERBOTTENS LÄN</t>
        </is>
      </c>
      <c r="G323" t="inlineStr">
        <is>
          <t>DOROTEA</t>
        </is>
      </c>
      <c r="I323" t="n">
        <v>14.7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46322</v>
      </c>
      <c r="F324" t="inlineStr">
        <is>
          <t>VÄSTERBOTTENS LÄN</t>
        </is>
      </c>
      <c r="G324" t="inlineStr">
        <is>
          <t>DOROTEA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60169-2024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46322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20316-2026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46136</v>
      </c>
      <c r="E326" s="1" t="n">
        <v>46322</v>
      </c>
      <c r="F326" t="inlineStr">
        <is>
          <t>VÄSTERBOTTENS LÄN</t>
        </is>
      </c>
      <c r="G326" t="inlineStr">
        <is>
          <t>DOROTEA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20333-2026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46136</v>
      </c>
      <c r="E327" s="1" t="n">
        <v>46322</v>
      </c>
      <c r="F327" t="inlineStr">
        <is>
          <t>VÄSTERBOTTENS LÄN</t>
        </is>
      </c>
      <c r="G327" t="inlineStr">
        <is>
          <t>DOROTEA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55889-2022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44888</v>
      </c>
      <c r="E328" s="1" t="n">
        <v>46322</v>
      </c>
      <c r="F328" t="inlineStr">
        <is>
          <t>VÄSTERBOTTENS LÄN</t>
        </is>
      </c>
      <c r="G328" t="inlineStr">
        <is>
          <t>DOROTEA</t>
        </is>
      </c>
      <c r="I328" t="n">
        <v>15.8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7397-2025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45705</v>
      </c>
      <c r="E329" s="1" t="n">
        <v>46322</v>
      </c>
      <c r="F329" t="inlineStr">
        <is>
          <t>VÄSTERBOTTENS LÄN</t>
        </is>
      </c>
      <c r="G329" t="inlineStr">
        <is>
          <t>DOROTEA</t>
        </is>
      </c>
      <c r="I329" t="n">
        <v>13.3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20390-2026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46139</v>
      </c>
      <c r="E330" s="1" t="n">
        <v>46322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4.4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45351</v>
      </c>
      <c r="E331" s="1" t="n">
        <v>46322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44568</v>
      </c>
      <c r="E332" s="1" t="n">
        <v>46322</v>
      </c>
      <c r="F332" t="inlineStr">
        <is>
          <t>VÄSTERBOTTENS LÄN</t>
        </is>
      </c>
      <c r="G332" t="inlineStr">
        <is>
          <t>DOROTEA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20332-2026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46136</v>
      </c>
      <c r="E333" s="1" t="n">
        <v>46322</v>
      </c>
      <c r="F333" t="inlineStr">
        <is>
          <t>VÄSTERBOTTENS LÄN</t>
        </is>
      </c>
      <c r="G333" t="inlineStr">
        <is>
          <t>DOROTEA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20327-2026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46322</v>
      </c>
      <c r="F334" t="inlineStr">
        <is>
          <t>VÄSTERBOTTENS LÄN</t>
        </is>
      </c>
      <c r="G334" t="inlineStr">
        <is>
          <t>DOROTEA</t>
        </is>
      </c>
      <c r="I334" t="n">
        <v>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39088-2026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46287</v>
      </c>
      <c r="E335" s="1" t="n">
        <v>46322</v>
      </c>
      <c r="F335" t="inlineStr">
        <is>
          <t>VÄSTERBOTTENS LÄN</t>
        </is>
      </c>
      <c r="G335" t="inlineStr">
        <is>
          <t>DOROTEA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46010</v>
      </c>
      <c r="E336" s="1" t="n">
        <v>46322</v>
      </c>
      <c r="F336" t="inlineStr">
        <is>
          <t>VÄSTERBOTTENS LÄN</t>
        </is>
      </c>
      <c r="G336" t="inlineStr">
        <is>
          <t>DOROTEA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57170-2025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46322</v>
      </c>
      <c r="F337" t="inlineStr">
        <is>
          <t>VÄSTERBOTTENS LÄN</t>
        </is>
      </c>
      <c r="G337" t="inlineStr">
        <is>
          <t>DOROTEA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45988</v>
      </c>
      <c r="E338" s="1" t="n">
        <v>46322</v>
      </c>
      <c r="F338" t="inlineStr">
        <is>
          <t>VÄSTERBOTTENS LÄN</t>
        </is>
      </c>
      <c r="G338" t="inlineStr">
        <is>
          <t>DOROTEA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35457-2025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45855</v>
      </c>
      <c r="E339" s="1" t="n">
        <v>46322</v>
      </c>
      <c r="F339" t="inlineStr">
        <is>
          <t>VÄSTERBOTTENS LÄN</t>
        </is>
      </c>
      <c r="G339" t="inlineStr">
        <is>
          <t>DOROTEA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32821-2024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45516</v>
      </c>
      <c r="E340" s="1" t="n">
        <v>46322</v>
      </c>
      <c r="F340" t="inlineStr">
        <is>
          <t>VÄSTERBOTTENS LÄN</t>
        </is>
      </c>
      <c r="G340" t="inlineStr">
        <is>
          <t>DOROTEA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46322</v>
      </c>
      <c r="F341" t="inlineStr">
        <is>
          <t>VÄSTERBOTTENS LÄN</t>
        </is>
      </c>
      <c r="G341" t="inlineStr">
        <is>
          <t>DOROTEA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45475</v>
      </c>
      <c r="E342" s="1" t="n">
        <v>46322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46322</v>
      </c>
      <c r="F343" t="inlineStr">
        <is>
          <t>VÄSTERBOTTENS LÄN</t>
        </is>
      </c>
      <c r="G343" t="inlineStr">
        <is>
          <t>DOROTEA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46322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46322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53092-2024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46322</v>
      </c>
      <c r="F346" t="inlineStr">
        <is>
          <t>VÄSTERBOTTENS LÄN</t>
        </is>
      </c>
      <c r="G346" t="inlineStr">
        <is>
          <t>DOROTEA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15057-2024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45399</v>
      </c>
      <c r="E347" s="1" t="n">
        <v>46322</v>
      </c>
      <c r="F347" t="inlineStr">
        <is>
          <t>VÄSTERBOTTENS LÄN</t>
        </is>
      </c>
      <c r="G347" t="inlineStr">
        <is>
          <t>DOROTEA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57236-2022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44889</v>
      </c>
      <c r="E348" s="1" t="n">
        <v>46322</v>
      </c>
      <c r="F348" t="inlineStr">
        <is>
          <t>VÄSTERBOTTENS LÄN</t>
        </is>
      </c>
      <c r="G348" t="inlineStr">
        <is>
          <t>DOROTEA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20286-2026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46136</v>
      </c>
      <c r="E349" s="1" t="n">
        <v>46322</v>
      </c>
      <c r="F349" t="inlineStr">
        <is>
          <t>VÄSTERBOTTENS LÄN</t>
        </is>
      </c>
      <c r="G349" t="inlineStr">
        <is>
          <t>DOROTEA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45295</v>
      </c>
      <c r="E350" s="1" t="n">
        <v>46322</v>
      </c>
      <c r="F350" t="inlineStr">
        <is>
          <t>VÄSTERBOTTENS LÄN</t>
        </is>
      </c>
      <c r="G350" t="inlineStr">
        <is>
          <t>DOROTEA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20680-2026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46141</v>
      </c>
      <c r="E351" s="1" t="n">
        <v>46322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37282-2025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45876</v>
      </c>
      <c r="E352" s="1" t="n">
        <v>46322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35925-2026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46265</v>
      </c>
      <c r="E353" s="1" t="n">
        <v>46322</v>
      </c>
      <c r="F353" t="inlineStr">
        <is>
          <t>VÄSTERBOTTENS LÄN</t>
        </is>
      </c>
      <c r="G353" t="inlineStr">
        <is>
          <t>DOROTEA</t>
        </is>
      </c>
      <c r="H353" t="inlineStr">
        <is>
          <t>Allmännings- och besparingsskogar</t>
        </is>
      </c>
      <c r="I353" t="n">
        <v>16.4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35934-2026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46265</v>
      </c>
      <c r="E354" s="1" t="n">
        <v>46322</v>
      </c>
      <c r="F354" t="inlineStr">
        <is>
          <t>VÄSTERBOTTENS LÄN</t>
        </is>
      </c>
      <c r="G354" t="inlineStr">
        <is>
          <t>DOROTEA</t>
        </is>
      </c>
      <c r="H354" t="inlineStr">
        <is>
          <t>Allmännings- och besparingsskogar</t>
        </is>
      </c>
      <c r="I354" t="n">
        <v>12.6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67686-2021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44524</v>
      </c>
      <c r="E355" s="1" t="n">
        <v>46322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46248</v>
      </c>
      <c r="E356" s="1" t="n">
        <v>46322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20290-2026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46322</v>
      </c>
      <c r="F357" t="inlineStr">
        <is>
          <t>VÄSTERBOTTENS LÄN</t>
        </is>
      </c>
      <c r="G357" t="inlineStr">
        <is>
          <t>DOROTEA</t>
        </is>
      </c>
      <c r="I357" t="n">
        <v>17.8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20754-2026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46141</v>
      </c>
      <c r="E358" s="1" t="n">
        <v>46322</v>
      </c>
      <c r="F358" t="inlineStr">
        <is>
          <t>VÄSTERBOTTENS LÄN</t>
        </is>
      </c>
      <c r="G358" t="inlineStr">
        <is>
          <t>DOROTEA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40178-2026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46293</v>
      </c>
      <c r="E359" s="1" t="n">
        <v>46322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5.8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33364-2026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46247</v>
      </c>
      <c r="E360" s="1" t="n">
        <v>46322</v>
      </c>
      <c r="F360" t="inlineStr">
        <is>
          <t>VÄSTERBOTTENS LÄN</t>
        </is>
      </c>
      <c r="G360" t="inlineStr">
        <is>
          <t>DOROTEA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20522-2026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46322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46141</v>
      </c>
      <c r="E362" s="1" t="n">
        <v>46322</v>
      </c>
      <c r="F362" t="inlineStr">
        <is>
          <t>VÄSTERBOTTENS LÄN</t>
        </is>
      </c>
      <c r="G362" t="inlineStr">
        <is>
          <t>DOROTEA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53272-2024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45614</v>
      </c>
      <c r="E363" s="1" t="n">
        <v>46322</v>
      </c>
      <c r="F363" t="inlineStr">
        <is>
          <t>VÄSTERBOTTENS LÄN</t>
        </is>
      </c>
      <c r="G363" t="inlineStr">
        <is>
          <t>DOROTEA</t>
        </is>
      </c>
      <c r="I363" t="n">
        <v>31.7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63575-2025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46013</v>
      </c>
      <c r="E364" s="1" t="n">
        <v>46322</v>
      </c>
      <c r="F364" t="inlineStr">
        <is>
          <t>VÄSTERBOTTENS LÄN</t>
        </is>
      </c>
      <c r="G364" t="inlineStr">
        <is>
          <t>DOROTEA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46136</v>
      </c>
      <c r="E365" s="1" t="n">
        <v>46322</v>
      </c>
      <c r="F365" t="inlineStr">
        <is>
          <t>VÄSTERBOTTENS LÄN</t>
        </is>
      </c>
      <c r="G365" t="inlineStr">
        <is>
          <t>DOROTEA</t>
        </is>
      </c>
      <c r="I365" t="n">
        <v>21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45678</v>
      </c>
      <c r="E366" s="1" t="n">
        <v>46322</v>
      </c>
      <c r="F366" t="inlineStr">
        <is>
          <t>VÄSTERBOTTENS LÄN</t>
        </is>
      </c>
      <c r="G366" t="inlineStr">
        <is>
          <t>DOROTEA</t>
        </is>
      </c>
      <c r="I366" t="n">
        <v>5.7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36096-2025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45866</v>
      </c>
      <c r="E367" s="1" t="n">
        <v>46322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39721-2024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45552</v>
      </c>
      <c r="E368" s="1" t="n">
        <v>46322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21152-2026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46322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4.5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21338-2026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46147</v>
      </c>
      <c r="E370" s="1" t="n">
        <v>46322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45149</v>
      </c>
      <c r="E371" s="1" t="n">
        <v>46322</v>
      </c>
      <c r="F371" t="inlineStr">
        <is>
          <t>VÄSTERBOTTENS LÄN</t>
        </is>
      </c>
      <c r="G371" t="inlineStr">
        <is>
          <t>DOROTEA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46146</v>
      </c>
      <c r="E372" s="1" t="n">
        <v>46322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21332-2026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46147</v>
      </c>
      <c r="E373" s="1" t="n">
        <v>46322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4.8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9102-2023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44979</v>
      </c>
      <c r="E374" s="1" t="n">
        <v>46322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9.4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27777-2026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46189</v>
      </c>
      <c r="E375" s="1" t="n">
        <v>46322</v>
      </c>
      <c r="F375" t="inlineStr">
        <is>
          <t>VÄSTERBOTTENS LÄN</t>
        </is>
      </c>
      <c r="G375" t="inlineStr">
        <is>
          <t>DOROTEA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27780-2026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46189</v>
      </c>
      <c r="E376" s="1" t="n">
        <v>46322</v>
      </c>
      <c r="F376" t="inlineStr">
        <is>
          <t>VÄSTERBOTTENS LÄN</t>
        </is>
      </c>
      <c r="G376" t="inlineStr">
        <is>
          <t>DOROTEA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27762-2026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46189</v>
      </c>
      <c r="E377" s="1" t="n">
        <v>46322</v>
      </c>
      <c r="F377" t="inlineStr">
        <is>
          <t>VÄSTERBOTTENS LÄN</t>
        </is>
      </c>
      <c r="G377" t="inlineStr">
        <is>
          <t>DOROTEA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21749-2026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46149</v>
      </c>
      <c r="E378" s="1" t="n">
        <v>46322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30456-2022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44761</v>
      </c>
      <c r="E379" s="1" t="n">
        <v>46322</v>
      </c>
      <c r="F379" t="inlineStr">
        <is>
          <t>VÄSTERBOTTENS LÄN</t>
        </is>
      </c>
      <c r="G379" t="inlineStr">
        <is>
          <t>DOROTEA</t>
        </is>
      </c>
      <c r="I379" t="n">
        <v>10.6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45747</v>
      </c>
      <c r="E380" s="1" t="n">
        <v>46322</v>
      </c>
      <c r="F380" t="inlineStr">
        <is>
          <t>VÄSTERBOTTENS LÄN</t>
        </is>
      </c>
      <c r="G380" t="inlineStr">
        <is>
          <t>DOROTEA</t>
        </is>
      </c>
      <c r="I380" t="n">
        <v>10.3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21902-2026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46150</v>
      </c>
      <c r="E381" s="1" t="n">
        <v>46322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22128-2026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46322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46322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17776-2023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45036</v>
      </c>
      <c r="E384" s="1" t="n">
        <v>46322</v>
      </c>
      <c r="F384" t="inlineStr">
        <is>
          <t>VÄSTERBOTTENS LÄN</t>
        </is>
      </c>
      <c r="G384" t="inlineStr">
        <is>
          <t>DOROTEA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46322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16.4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22650-2026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46155</v>
      </c>
      <c r="E386" s="1" t="n">
        <v>46322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45520</v>
      </c>
      <c r="E387" s="1" t="n">
        <v>46322</v>
      </c>
      <c r="F387" t="inlineStr">
        <is>
          <t>VÄSTERBOTTENS LÄN</t>
        </is>
      </c>
      <c r="G387" t="inlineStr">
        <is>
          <t>DOROTEA</t>
        </is>
      </c>
      <c r="I387" t="n">
        <v>11.1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55888-2022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44888</v>
      </c>
      <c r="E388" s="1" t="n">
        <v>46322</v>
      </c>
      <c r="F388" t="inlineStr">
        <is>
          <t>VÄSTERBOTTENS LÄN</t>
        </is>
      </c>
      <c r="G388" t="inlineStr">
        <is>
          <t>DOROTEA</t>
        </is>
      </c>
      <c r="I388" t="n">
        <v>7.6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6621-2023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46322</v>
      </c>
      <c r="F389" t="inlineStr">
        <is>
          <t>VÄSTERBOTTENS LÄN</t>
        </is>
      </c>
      <c r="G389" t="inlineStr">
        <is>
          <t>DOROTEA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14163-2024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45392</v>
      </c>
      <c r="E390" s="1" t="n">
        <v>46322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46322</v>
      </c>
      <c r="F391" t="inlineStr">
        <is>
          <t>VÄSTERBOTTENS LÄN</t>
        </is>
      </c>
      <c r="G391" t="inlineStr">
        <is>
          <t>DOROTEA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15735-2026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46107</v>
      </c>
      <c r="E392" s="1" t="n">
        <v>46322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23213-2022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44719</v>
      </c>
      <c r="E393" s="1" t="n">
        <v>46322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38377-2023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45161</v>
      </c>
      <c r="E394" s="1" t="n">
        <v>46322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40435-2023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45169</v>
      </c>
      <c r="E395" s="1" t="n">
        <v>46322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31497-2024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45505</v>
      </c>
      <c r="E396" s="1" t="n">
        <v>46322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30461-2024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45491</v>
      </c>
      <c r="E397" s="1" t="n">
        <v>46322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7.1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54031-2025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45962</v>
      </c>
      <c r="E398" s="1" t="n">
        <v>46322</v>
      </c>
      <c r="F398" t="inlineStr">
        <is>
          <t>VÄSTERBOTTENS LÄN</t>
        </is>
      </c>
      <c r="G398" t="inlineStr">
        <is>
          <t>DOROTEA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23214-2026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46322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46162</v>
      </c>
      <c r="E400" s="1" t="n">
        <v>46322</v>
      </c>
      <c r="F400" t="inlineStr">
        <is>
          <t>VÄSTERBOTTENS LÄN</t>
        </is>
      </c>
      <c r="G400" t="inlineStr">
        <is>
          <t>DOROTEA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46295</v>
      </c>
      <c r="E401" s="1" t="n">
        <v>46322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13.2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40434-2023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45169</v>
      </c>
      <c r="E402" s="1" t="n">
        <v>46322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4958-2023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44956</v>
      </c>
      <c r="E403" s="1" t="n">
        <v>46322</v>
      </c>
      <c r="F403" t="inlineStr">
        <is>
          <t>VÄSTERBOTTENS LÄN</t>
        </is>
      </c>
      <c r="G403" t="inlineStr">
        <is>
          <t>DOROTEA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44824</v>
      </c>
      <c r="E404" s="1" t="n">
        <v>46322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46322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46322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60304-2022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44910</v>
      </c>
      <c r="E407" s="1" t="n">
        <v>46322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50582-2024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45600</v>
      </c>
      <c r="E408" s="1" t="n">
        <v>46322</v>
      </c>
      <c r="F408" t="inlineStr">
        <is>
          <t>VÄSTERBOTTENS LÄN</t>
        </is>
      </c>
      <c r="G408" t="inlineStr">
        <is>
          <t>DOROTEA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27199-2024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45471</v>
      </c>
      <c r="E409" s="1" t="n">
        <v>46322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39471-2024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45551</v>
      </c>
      <c r="E410" s="1" t="n">
        <v>46322</v>
      </c>
      <c r="F410" t="inlineStr">
        <is>
          <t>VÄSTERBOTTENS LÄN</t>
        </is>
      </c>
      <c r="G410" t="inlineStr">
        <is>
          <t>DOROTEA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20759-2023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46322</v>
      </c>
      <c r="F411" t="inlineStr">
        <is>
          <t>VÄSTERBOTTENS LÄN</t>
        </is>
      </c>
      <c r="G411" t="inlineStr">
        <is>
          <t>DOROTEA</t>
        </is>
      </c>
      <c r="H411" t="inlineStr">
        <is>
          <t>Övriga statliga verk och myndigheter</t>
        </is>
      </c>
      <c r="I411" t="n">
        <v>13.9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40438-2023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45169</v>
      </c>
      <c r="E412" s="1" t="n">
        <v>46322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46322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46322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9103-2023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44979</v>
      </c>
      <c r="E415" s="1" t="n">
        <v>46322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46322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24839-2026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46174</v>
      </c>
      <c r="E417" s="1" t="n">
        <v>46322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11.8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44958</v>
      </c>
      <c r="E418" s="1" t="n">
        <v>46322</v>
      </c>
      <c r="F418" t="inlineStr">
        <is>
          <t>VÄSTERBOTTENS LÄN</t>
        </is>
      </c>
      <c r="G418" t="inlineStr">
        <is>
          <t>DOROTEA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46253</v>
      </c>
      <c r="E419" s="1" t="n">
        <v>46322</v>
      </c>
      <c r="F419" t="inlineStr">
        <is>
          <t>VÄSTERBOTTENS LÄN</t>
        </is>
      </c>
      <c r="G419" t="inlineStr">
        <is>
          <t>DOROTEA</t>
        </is>
      </c>
      <c r="I419" t="n">
        <v>11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34186-2026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46253</v>
      </c>
      <c r="E420" s="1" t="n">
        <v>46322</v>
      </c>
      <c r="F420" t="inlineStr">
        <is>
          <t>VÄSTERBOTTENS LÄN</t>
        </is>
      </c>
      <c r="G420" t="inlineStr">
        <is>
          <t>DOROTEA</t>
        </is>
      </c>
      <c r="I420" t="n">
        <v>13.6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46254</v>
      </c>
      <c r="E421" s="1" t="n">
        <v>46322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74013-2021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44557</v>
      </c>
      <c r="E422" s="1" t="n">
        <v>46322</v>
      </c>
      <c r="F422" t="inlineStr">
        <is>
          <t>VÄSTERBOTTENS LÄN</t>
        </is>
      </c>
      <c r="G422" t="inlineStr">
        <is>
          <t>DOROTEA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57794-2023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45246</v>
      </c>
      <c r="E423" s="1" t="n">
        <v>46322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46322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42484-2024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45565</v>
      </c>
      <c r="E425" s="1" t="n">
        <v>46322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46099</v>
      </c>
      <c r="E426" s="1" t="n">
        <v>46322</v>
      </c>
      <c r="F426" t="inlineStr">
        <is>
          <t>VÄSTERBOTTENS LÄN</t>
        </is>
      </c>
      <c r="G426" t="inlineStr">
        <is>
          <t>DOROTEA</t>
        </is>
      </c>
      <c r="I426" t="n">
        <v>26.2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55919-2023</t>
        </is>
      </c>
      <c r="B427" t="inlineStr">
        <is>
          <t>avverkningsanmälan</t>
        </is>
      </c>
      <c r="C427" t="inlineStr">
        <is>
          <t>Avverkning för att bevara och utveckla /försöksver</t>
        </is>
      </c>
      <c r="D427" s="1" t="n">
        <v>45239</v>
      </c>
      <c r="E427" s="1" t="n">
        <v>46322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7.2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34187-2026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46253</v>
      </c>
      <c r="E428" s="1" t="n">
        <v>46322</v>
      </c>
      <c r="F428" t="inlineStr">
        <is>
          <t>VÄSTERBOTTENS LÄN</t>
        </is>
      </c>
      <c r="G428" t="inlineStr">
        <is>
          <t>DOROTEA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34189-2026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46253</v>
      </c>
      <c r="E429" s="1" t="n">
        <v>46322</v>
      </c>
      <c r="F429" t="inlineStr">
        <is>
          <t>VÄSTERBOTTENS LÄN</t>
        </is>
      </c>
      <c r="G429" t="inlineStr">
        <is>
          <t>DOROTEA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26124-2026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46322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46322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26255-2026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46182</v>
      </c>
      <c r="E432" s="1" t="n">
        <v>46322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42228-2024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45562</v>
      </c>
      <c r="E433" s="1" t="n">
        <v>46322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52144-2023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45223</v>
      </c>
      <c r="E434" s="1" t="n">
        <v>46322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41261-2026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46300</v>
      </c>
      <c r="E435" s="1" t="n">
        <v>46322</v>
      </c>
      <c r="F435" t="inlineStr">
        <is>
          <t>VÄSTERBOTTENS LÄN</t>
        </is>
      </c>
      <c r="G435" t="inlineStr">
        <is>
          <t>DOROTEA</t>
        </is>
      </c>
      <c r="I435" t="n">
        <v>13.1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47494-2023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45202</v>
      </c>
      <c r="E436" s="1" t="n">
        <v>46322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22942-2024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45448</v>
      </c>
      <c r="E437" s="1" t="n">
        <v>46322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45036</v>
      </c>
      <c r="E438" s="1" t="n">
        <v>46322</v>
      </c>
      <c r="F438" t="inlineStr">
        <is>
          <t>VÄSTERBOTTENS LÄN</t>
        </is>
      </c>
      <c r="G438" t="inlineStr">
        <is>
          <t>DOROTEA</t>
        </is>
      </c>
      <c r="I438" t="n">
        <v>4.8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41157-2026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46300</v>
      </c>
      <c r="E439" s="1" t="n">
        <v>46322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42473-2024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45565</v>
      </c>
      <c r="E440" s="1" t="n">
        <v>46322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57070-2023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45244</v>
      </c>
      <c r="E441" s="1" t="n">
        <v>46322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59007-2024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45636</v>
      </c>
      <c r="E442" s="1" t="n">
        <v>46322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22944-2024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45448</v>
      </c>
      <c r="E443" s="1" t="n">
        <v>46322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35500-2026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46262</v>
      </c>
      <c r="E444" s="1" t="n">
        <v>46322</v>
      </c>
      <c r="F444" t="inlineStr">
        <is>
          <t>VÄSTERBOTTENS LÄN</t>
        </is>
      </c>
      <c r="G444" t="inlineStr">
        <is>
          <t>DOROTEA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35335-2026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46261</v>
      </c>
      <c r="E445" s="1" t="n">
        <v>46322</v>
      </c>
      <c r="F445" t="inlineStr">
        <is>
          <t>VÄSTERBOTTENS LÄN</t>
        </is>
      </c>
      <c r="G445" t="inlineStr">
        <is>
          <t>DOROTEA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13170-2025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45735</v>
      </c>
      <c r="E446" s="1" t="n">
        <v>46322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35296-2026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46322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35352-2026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46261</v>
      </c>
      <c r="E448" s="1" t="n">
        <v>46322</v>
      </c>
      <c r="F448" t="inlineStr">
        <is>
          <t>VÄSTERBOTTENS LÄN</t>
        </is>
      </c>
      <c r="G448" t="inlineStr">
        <is>
          <t>DOROTEA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46322</v>
      </c>
      <c r="F449" t="inlineStr">
        <is>
          <t>VÄSTERBOTTENS LÄN</t>
        </is>
      </c>
      <c r="G449" t="inlineStr">
        <is>
          <t>DOROTEA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44942</v>
      </c>
      <c r="E450" s="1" t="n">
        <v>46322</v>
      </c>
      <c r="F450" t="inlineStr">
        <is>
          <t>VÄSTERBOTTENS LÄN</t>
        </is>
      </c>
      <c r="G450" t="inlineStr">
        <is>
          <t>DOROTEA</t>
        </is>
      </c>
      <c r="I450" t="n">
        <v>22.7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35337-2026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46261</v>
      </c>
      <c r="E451" s="1" t="n">
        <v>46322</v>
      </c>
      <c r="F451" t="inlineStr">
        <is>
          <t>VÄSTERBOTTENS LÄN</t>
        </is>
      </c>
      <c r="G451" t="inlineStr">
        <is>
          <t>DOROTEA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46304</v>
      </c>
      <c r="E452" s="1" t="n">
        <v>46322</v>
      </c>
      <c r="F452" t="inlineStr">
        <is>
          <t>VÄSTERBOTTENS LÄN</t>
        </is>
      </c>
      <c r="G452" t="inlineStr">
        <is>
          <t>DOROTEA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58313-2024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45632</v>
      </c>
      <c r="E453" s="1" t="n">
        <v>46322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35353-2026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46322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42036-2026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46304</v>
      </c>
      <c r="E455" s="1" t="n">
        <v>46322</v>
      </c>
      <c r="F455" t="inlineStr">
        <is>
          <t>VÄSTERBOTTENS LÄN</t>
        </is>
      </c>
      <c r="G455" t="inlineStr">
        <is>
          <t>DOROTEA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42037-2026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46304</v>
      </c>
      <c r="E456" s="1" t="n">
        <v>46322</v>
      </c>
      <c r="F456" t="inlineStr">
        <is>
          <t>VÄSTERBOTTENS LÄN</t>
        </is>
      </c>
      <c r="G456" t="inlineStr">
        <is>
          <t>DOROTEA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42681-2026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46309</v>
      </c>
      <c r="E457" s="1" t="n">
        <v>46322</v>
      </c>
      <c r="F457" t="inlineStr">
        <is>
          <t>VÄSTERBOTTENS LÄN</t>
        </is>
      </c>
      <c r="G457" t="inlineStr">
        <is>
          <t>DOROTEA</t>
        </is>
      </c>
      <c r="I457" t="n">
        <v>9.199999999999999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33372-2024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45519</v>
      </c>
      <c r="E458" s="1" t="n">
        <v>46322</v>
      </c>
      <c r="F458" t="inlineStr">
        <is>
          <t>VÄSTERBOTTENS LÄN</t>
        </is>
      </c>
      <c r="G458" t="inlineStr">
        <is>
          <t>DOROTEA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42809-2026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46309</v>
      </c>
      <c r="E459" s="1" t="n">
        <v>46322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42811-2026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46309</v>
      </c>
      <c r="E460" s="1" t="n">
        <v>46322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45393</v>
      </c>
      <c r="E461" s="1" t="n">
        <v>46322</v>
      </c>
      <c r="F461" t="inlineStr">
        <is>
          <t>VÄSTERBOTTENS LÄN</t>
        </is>
      </c>
      <c r="G461" t="inlineStr">
        <is>
          <t>DOROTEA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59418-2023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45253</v>
      </c>
      <c r="E462" s="1" t="n">
        <v>46322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30570-2023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45111</v>
      </c>
      <c r="E463" s="1" t="n">
        <v>46322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36255-2026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46268</v>
      </c>
      <c r="E464" s="1" t="n">
        <v>46322</v>
      </c>
      <c r="F464" t="inlineStr">
        <is>
          <t>VÄSTERBOTTENS LÄN</t>
        </is>
      </c>
      <c r="G464" t="inlineStr">
        <is>
          <t>DOROTEA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42515-2023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45180</v>
      </c>
      <c r="E465" s="1" t="n">
        <v>46322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27.7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43587-2026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46315</v>
      </c>
      <c r="E466" s="1" t="n">
        <v>46322</v>
      </c>
      <c r="F466" t="inlineStr">
        <is>
          <t>VÄSTERBOTTENS LÄN</t>
        </is>
      </c>
      <c r="G466" t="inlineStr">
        <is>
          <t>DOROTEA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46322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4617-2023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44956</v>
      </c>
      <c r="E468" s="1" t="n">
        <v>46322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43946-2026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46317</v>
      </c>
      <c r="E469" s="1" t="n">
        <v>46322</v>
      </c>
      <c r="F469" t="inlineStr">
        <is>
          <t>VÄSTERBOTTENS LÄN</t>
        </is>
      </c>
      <c r="G469" t="inlineStr">
        <is>
          <t>DOROTEA</t>
        </is>
      </c>
      <c r="I469" t="n">
        <v>6.5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46301</v>
      </c>
      <c r="E470" s="1" t="n">
        <v>46322</v>
      </c>
      <c r="F470" t="inlineStr">
        <is>
          <t>VÄSTERBOTTENS LÄN</t>
        </is>
      </c>
      <c r="G470" t="inlineStr">
        <is>
          <t>DOROTEA</t>
        </is>
      </c>
      <c r="I470" t="n">
        <v>10.5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44535-2026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46321</v>
      </c>
      <c r="E471" s="1" t="n">
        <v>46322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28.4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46279</v>
      </c>
      <c r="E472" s="1" t="n">
        <v>46322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2945-2024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45506</v>
      </c>
      <c r="E473" s="1" t="n">
        <v>46322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1058-2025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45749</v>
      </c>
      <c r="E474" s="1" t="n">
        <v>46322</v>
      </c>
      <c r="F474" t="inlineStr">
        <is>
          <t>VÄSTERBOTTENS LÄN</t>
        </is>
      </c>
      <c r="G474" t="inlineStr">
        <is>
          <t>DOROTEA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844-2025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45733</v>
      </c>
      <c r="E475" s="1" t="n">
        <v>46322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1293.5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2195-2025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45858</v>
      </c>
      <c r="E476" s="1" t="n">
        <v>46322</v>
      </c>
      <c r="F476" t="inlineStr">
        <is>
          <t>VÄSTERBOTTENS LÄN</t>
        </is>
      </c>
      <c r="G476" t="inlineStr">
        <is>
          <t>DOROTEA</t>
        </is>
      </c>
      <c r="I476" t="n">
        <v>27.4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2283-2025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45876</v>
      </c>
      <c r="E477" s="1" t="n">
        <v>46322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2360-2025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45889</v>
      </c>
      <c r="E478" s="1" t="n">
        <v>46322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1763-2026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46189</v>
      </c>
      <c r="E479" s="1" t="n">
        <v>46322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2407-2026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46279</v>
      </c>
      <c r="E480" s="1" t="n">
        <v>46322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2026-10-27T03:13:38Z</dcterms:created>
  <dcterms:modified xmlns:dcterms="http://purl.org/dc/terms/" xmlns:xsi="http://www.w3.org/2001/XMLSchema-instance" xsi:type="dcterms:W3CDTF">2026-10-27T03:13:38Z</dcterms:modified>
</cp:coreProperties>
</file>