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46321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46321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46321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46321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46321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46321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46321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46321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46321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21.1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36</v>
      </c>
      <c r="U11" t="n">
        <v>36</v>
      </c>
      <c r="V11" s="2" t="inlineStr">
        <is>
          <t>Garnlav
Harticka
Lavskrika
Stjärntagging
Tretåig hackspett
Trådticka</t>
        </is>
      </c>
      <c r="W11">
        <f>HYPERLINK("https://klasma.github.io/Logging_2425/artfynd/A 33659-2023 artfynd.xlsx", "A 33659-2023")</f>
        <v/>
      </c>
      <c r="X11">
        <f>HYPERLINK("https://klasma.github.io/Logging_2425/kartor/A 33659-2023 karta.png", "A 33659-2023")</f>
        <v/>
      </c>
      <c r="Y11">
        <f>HYPERLINK("https://klasma.github.io/Logging_2425/kartor_geotiff/A 33659-2023 georefererad karta.tif", "A 33659-2023")</f>
        <v/>
      </c>
      <c r="AA11">
        <f>HYPERLINK("https://klasma.github.io/Logging_2425/klagomål/A 33659-2023 FSC-klagomål.docx", "A 33659-2023")</f>
        <v/>
      </c>
      <c r="AB11">
        <f>HYPERLINK("https://klasma.github.io/Logging_2425/klagomålsmail/A 33659-2023 FSC-klagomål mail.docx", "A 33659-2023")</f>
        <v/>
      </c>
      <c r="AC11">
        <f>HYPERLINK("https://klasma.github.io/Logging_2425/tillsyn/A 33659-2023 tillsynsbegäran.docx", "A 33659-2023")</f>
        <v/>
      </c>
      <c r="AD11">
        <f>HYPERLINK("https://klasma.github.io/Logging_2425/tillsynsmail/A 33659-2023 tillsynsbegäran mail.docx", "A 33659-2023")</f>
        <v/>
      </c>
      <c r="AE11">
        <f>HYPERLINK("https://klasma.github.io/Logging_2425/fåglar/A 33659-2023 prioriterade fågelarter.docx", "A 33659-2023")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46321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46321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46321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46321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46321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46321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46321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46321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46321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46321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46321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46321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46321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46321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46321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46321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46321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17825-2024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45418</v>
      </c>
      <c r="E30" s="1" t="n">
        <v>46321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17825-2024 artfynd.xlsx", "A 17825-2024")</f>
        <v/>
      </c>
      <c r="X30">
        <f>HYPERLINK("https://klasma.github.io/Logging_2425/kartor/A 17825-2024 karta.png", "A 17825-2024")</f>
        <v/>
      </c>
      <c r="Y30">
        <f>HYPERLINK("https://klasma.github.io/Logging_2425/kartor_geotiff/A 17825-2024 georefererad karta.tif", "A 17825-2024")</f>
        <v/>
      </c>
      <c r="AA30">
        <f>HYPERLINK("https://klasma.github.io/Logging_2425/klagomål/A 17825-2024 FSC-klagomål.docx", "A 17825-2024")</f>
        <v/>
      </c>
      <c r="AB30">
        <f>HYPERLINK("https://klasma.github.io/Logging_2425/klagomålsmail/A 17825-2024 FSC-klagomål mail.docx", "A 17825-2024")</f>
        <v/>
      </c>
      <c r="AC30">
        <f>HYPERLINK("https://klasma.github.io/Logging_2425/tillsyn/A 17825-2024 tillsynsbegäran.docx", "A 17825-2024")</f>
        <v/>
      </c>
      <c r="AD30">
        <f>HYPERLINK("https://klasma.github.io/Logging_2425/tillsynsmail/A 17825-2024 tillsynsbegäran mail.docx", "A 17825-2024")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46321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33263-2025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46321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Vedticka</t>
        </is>
      </c>
      <c r="W32">
        <f>HYPERLINK("https://klasma.github.io/Logging_2425/artfynd/A 33263-2025 artfynd.xlsx", "A 33263-2025")</f>
        <v/>
      </c>
      <c r="X32">
        <f>HYPERLINK("https://klasma.github.io/Logging_2425/kartor/A 33263-2025 karta.png", "A 33263-2025")</f>
        <v/>
      </c>
      <c r="Y32">
        <f>HYPERLINK("https://klasma.github.io/Logging_2425/kartor_geotiff/A 33263-2025 georefererad karta.tif", "A 33263-2025")</f>
        <v/>
      </c>
      <c r="AA32">
        <f>HYPERLINK("https://klasma.github.io/Logging_2425/klagomål/A 33263-2025 FSC-klagomål.docx", "A 33263-2025")</f>
        <v/>
      </c>
      <c r="AB32">
        <f>HYPERLINK("https://klasma.github.io/Logging_2425/klagomålsmail/A 33263-2025 FSC-klagomål mail.docx", "A 33263-2025")</f>
        <v/>
      </c>
      <c r="AC32">
        <f>HYPERLINK("https://klasma.github.io/Logging_2425/tillsyn/A 33263-2025 tillsynsbegäran.docx", "A 33263-2025")</f>
        <v/>
      </c>
      <c r="AD32">
        <f>HYPERLINK("https://klasma.github.io/Logging_2425/tillsynsmail/A 33263-2025 tillsynsbegäran mail.docx", "A 33263-2025")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46321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40013-2024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45553</v>
      </c>
      <c r="E34" s="1" t="n">
        <v>46321</v>
      </c>
      <c r="F34" t="inlineStr">
        <is>
          <t>VÄSTERBOTTENS LÄN</t>
        </is>
      </c>
      <c r="G34" t="inlineStr">
        <is>
          <t>DOROTEA</t>
        </is>
      </c>
      <c r="H34" t="inlineStr">
        <is>
          <t>Övriga statliga verk och myndigheter</t>
        </is>
      </c>
      <c r="I34" t="n">
        <v>1.5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Tretåig hackspett
Tjäder</t>
        </is>
      </c>
      <c r="W34">
        <f>HYPERLINK("https://klasma.github.io/Logging_2425/artfynd/A 40013-2024 artfynd.xlsx", "A 40013-2024")</f>
        <v/>
      </c>
      <c r="X34">
        <f>HYPERLINK("https://klasma.github.io/Logging_2425/kartor/A 40013-2024 karta.png", "A 40013-2024")</f>
        <v/>
      </c>
      <c r="Y34">
        <f>HYPERLINK("https://klasma.github.io/Logging_2425/kartor_geotiff/A 40013-2024 georefererad karta.tif", "A 40013-2024")</f>
        <v/>
      </c>
      <c r="AA34">
        <f>HYPERLINK("https://klasma.github.io/Logging_2425/klagomål/A 40013-2024 FSC-klagomål.docx", "A 40013-2024")</f>
        <v/>
      </c>
      <c r="AB34">
        <f>HYPERLINK("https://klasma.github.io/Logging_2425/klagomålsmail/A 40013-2024 FSC-klagomål mail.docx", "A 40013-2024")</f>
        <v/>
      </c>
      <c r="AC34">
        <f>HYPERLINK("https://klasma.github.io/Logging_2425/tillsyn/A 40013-2024 tillsynsbegäran.docx", "A 40013-2024")</f>
        <v/>
      </c>
      <c r="AD34">
        <f>HYPERLINK("https://klasma.github.io/Logging_2425/tillsynsmail/A 40013-2024 tillsynsbegäran mail.docx", "A 40013-2024")</f>
        <v/>
      </c>
      <c r="AE34">
        <f>HYPERLINK("https://klasma.github.io/Logging_2425/fåglar/A 40013-2024 prioriterade fågelarter.docx", "A 40013-2024")</f>
        <v/>
      </c>
    </row>
    <row r="35" ht="15" customHeight="1">
      <c r="A35" t="inlineStr">
        <is>
          <t>A 58736-2022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44902</v>
      </c>
      <c r="E35" s="1" t="n">
        <v>46321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Skrovellav</t>
        </is>
      </c>
      <c r="W35">
        <f>HYPERLINK("https://klasma.github.io/Logging_2425/artfynd/A 58736-2022 artfynd.xlsx", "A 58736-2022")</f>
        <v/>
      </c>
      <c r="X35">
        <f>HYPERLINK("https://klasma.github.io/Logging_2425/kartor/A 58736-2022 karta.png", "A 58736-2022")</f>
        <v/>
      </c>
      <c r="Y35">
        <f>HYPERLINK("https://klasma.github.io/Logging_2425/kartor_geotiff/A 58736-2022 georefererad karta.tif", "A 58736-2022")</f>
        <v/>
      </c>
      <c r="AA35">
        <f>HYPERLINK("https://klasma.github.io/Logging_2425/klagomål/A 58736-2022 FSC-klagomål.docx", "A 58736-2022")</f>
        <v/>
      </c>
      <c r="AB35">
        <f>HYPERLINK("https://klasma.github.io/Logging_2425/klagomålsmail/A 58736-2022 FSC-klagomål mail.docx", "A 58736-2022")</f>
        <v/>
      </c>
      <c r="AC35">
        <f>HYPERLINK("https://klasma.github.io/Logging_2425/tillsyn/A 58736-2022 tillsynsbegäran.docx", "A 58736-2022")</f>
        <v/>
      </c>
      <c r="AD35">
        <f>HYPERLINK("https://klasma.github.io/Logging_2425/tillsynsmail/A 58736-2022 tillsynsbegäran mail.docx", "A 58736-2022")</f>
        <v/>
      </c>
    </row>
    <row r="36" ht="15" customHeight="1">
      <c r="A36" t="inlineStr">
        <is>
          <t>A 19589-2024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45429</v>
      </c>
      <c r="E36" s="1" t="n">
        <v>46321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Lunglav
Talltita</t>
        </is>
      </c>
      <c r="W36">
        <f>HYPERLINK("https://klasma.github.io/Logging_2425/artfynd/A 19589-2024 artfynd.xlsx", "A 19589-2024")</f>
        <v/>
      </c>
      <c r="X36">
        <f>HYPERLINK("https://klasma.github.io/Logging_2425/kartor/A 19589-2024 karta.png", "A 19589-2024")</f>
        <v/>
      </c>
      <c r="Y36">
        <f>HYPERLINK("https://klasma.github.io/Logging_2425/kartor_geotiff/A 19589-2024 georefererad karta.tif", "A 19589-2024")</f>
        <v/>
      </c>
      <c r="AA36">
        <f>HYPERLINK("https://klasma.github.io/Logging_2425/klagomål/A 19589-2024 FSC-klagomål.docx", "A 19589-2024")</f>
        <v/>
      </c>
      <c r="AB36">
        <f>HYPERLINK("https://klasma.github.io/Logging_2425/klagomålsmail/A 19589-2024 FSC-klagomål mail.docx", "A 19589-2024")</f>
        <v/>
      </c>
      <c r="AC36">
        <f>HYPERLINK("https://klasma.github.io/Logging_2425/tillsyn/A 19589-2024 tillsynsbegäran.docx", "A 19589-2024")</f>
        <v/>
      </c>
      <c r="AD36">
        <f>HYPERLINK("https://klasma.github.io/Logging_2425/tillsynsmail/A 19589-2024 tillsynsbegäran mail.docx", "A 19589-2024")</f>
        <v/>
      </c>
      <c r="AE36">
        <f>HYPERLINK("https://klasma.github.io/Logging_2425/fåglar/A 19589-2024 prioriterade fågelarter.docx", "A 19589-2024")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46321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46321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46321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46321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57060-2024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46321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8.9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57060-2024 artfynd.xlsx", "A 57060-2024")</f>
        <v/>
      </c>
      <c r="X41">
        <f>HYPERLINK("https://klasma.github.io/Logging_2425/kartor/A 57060-2024 karta.png", "A 57060-2024")</f>
        <v/>
      </c>
      <c r="Y41">
        <f>HYPERLINK("https://klasma.github.io/Logging_2425/kartor_geotiff/A 57060-2024 georefererad karta.tif", "A 57060-2024")</f>
        <v/>
      </c>
      <c r="AA41">
        <f>HYPERLINK("https://klasma.github.io/Logging_2425/klagomål/A 57060-2024 FSC-klagomål.docx", "A 57060-2024")</f>
        <v/>
      </c>
      <c r="AB41">
        <f>HYPERLINK("https://klasma.github.io/Logging_2425/klagomålsmail/A 57060-2024 FSC-klagomål mail.docx", "A 57060-2024")</f>
        <v/>
      </c>
      <c r="AC41">
        <f>HYPERLINK("https://klasma.github.io/Logging_2425/tillsyn/A 57060-2024 tillsynsbegäran.docx", "A 57060-2024")</f>
        <v/>
      </c>
      <c r="AD41">
        <f>HYPERLINK("https://klasma.github.io/Logging_2425/tillsynsmail/A 57060-2024 tillsynsbegäran mail.docx", "A 57060-2024")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46321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25980-2026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46321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40.2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25980-2026 artfynd.xlsx", "A 25980-2026")</f>
        <v/>
      </c>
      <c r="X43">
        <f>HYPERLINK("https://klasma.github.io/Logging_2425/kartor/A 25980-2026 karta.png", "A 25980-2026")</f>
        <v/>
      </c>
      <c r="Y43">
        <f>HYPERLINK("https://klasma.github.io/Logging_2425/kartor_geotiff/A 25980-2026 georefererad karta.tif", "A 25980-2026")</f>
        <v/>
      </c>
      <c r="AA43">
        <f>HYPERLINK("https://klasma.github.io/Logging_2425/klagomål/A 25980-2026 FSC-klagomål.docx", "A 25980-2026")</f>
        <v/>
      </c>
      <c r="AB43">
        <f>HYPERLINK("https://klasma.github.io/Logging_2425/klagomålsmail/A 25980-2026 FSC-klagomål mail.docx", "A 25980-2026")</f>
        <v/>
      </c>
      <c r="AC43">
        <f>HYPERLINK("https://klasma.github.io/Logging_2425/tillsyn/A 25980-2026 tillsynsbegäran.docx", "A 25980-2026")</f>
        <v/>
      </c>
      <c r="AD43">
        <f>HYPERLINK("https://klasma.github.io/Logging_2425/tillsynsmail/A 25980-2026 tillsynsbegäran mail.docx", "A 25980-2026")</f>
        <v/>
      </c>
    </row>
    <row r="44" ht="15" customHeight="1">
      <c r="A44" t="inlineStr">
        <is>
          <t>A 30357-2026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46209</v>
      </c>
      <c r="E44" s="1" t="n">
        <v>46321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Tajgahumla</t>
        </is>
      </c>
      <c r="W44">
        <f>HYPERLINK("https://klasma.github.io/Logging_2425/artfynd/A 30357-2026 artfynd.xlsx", "A 30357-2026")</f>
        <v/>
      </c>
      <c r="X44">
        <f>HYPERLINK("https://klasma.github.io/Logging_2425/kartor/A 30357-2026 karta.png", "A 30357-2026")</f>
        <v/>
      </c>
      <c r="Y44">
        <f>HYPERLINK("https://klasma.github.io/Logging_2425/kartor_geotiff/A 30357-2026 georefererad karta.tif", "A 30357-2026")</f>
        <v/>
      </c>
      <c r="AA44">
        <f>HYPERLINK("https://klasma.github.io/Logging_2425/klagomål/A 30357-2026 FSC-klagomål.docx", "A 30357-2026")</f>
        <v/>
      </c>
      <c r="AB44">
        <f>HYPERLINK("https://klasma.github.io/Logging_2425/klagomålsmail/A 30357-2026 FSC-klagomål mail.docx", "A 30357-2026")</f>
        <v/>
      </c>
      <c r="AC44">
        <f>HYPERLINK("https://klasma.github.io/Logging_2425/tillsyn/A 30357-2026 tillsynsbegäran.docx", "A 30357-2026")</f>
        <v/>
      </c>
      <c r="AD44">
        <f>HYPERLINK("https://klasma.github.io/Logging_2425/tillsynsmail/A 30357-2026 tillsynsbegäran mail.docx", "A 30357-2026")</f>
        <v/>
      </c>
    </row>
    <row r="45" ht="15" customHeight="1">
      <c r="A45" t="inlineStr">
        <is>
          <t>A 48089-2022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44855</v>
      </c>
      <c r="E45" s="1" t="n">
        <v>46321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9.199999999999999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Gammelgransskål</t>
        </is>
      </c>
      <c r="W45">
        <f>HYPERLINK("https://klasma.github.io/Logging_2425/artfynd/A 48089-2022 artfynd.xlsx", "A 48089-2022")</f>
        <v/>
      </c>
      <c r="X45">
        <f>HYPERLINK("https://klasma.github.io/Logging_2425/kartor/A 48089-2022 karta.png", "A 48089-2022")</f>
        <v/>
      </c>
      <c r="Y45">
        <f>HYPERLINK("https://klasma.github.io/Logging_2425/kartor_geotiff/A 48089-2022 georefererad karta.tif", "A 48089-2022")</f>
        <v/>
      </c>
      <c r="AA45">
        <f>HYPERLINK("https://klasma.github.io/Logging_2425/klagomål/A 48089-2022 FSC-klagomål.docx", "A 48089-2022")</f>
        <v/>
      </c>
      <c r="AB45">
        <f>HYPERLINK("https://klasma.github.io/Logging_2425/klagomålsmail/A 48089-2022 FSC-klagomål mail.docx", "A 48089-2022")</f>
        <v/>
      </c>
      <c r="AC45">
        <f>HYPERLINK("https://klasma.github.io/Logging_2425/tillsyn/A 48089-2022 tillsynsbegäran.docx", "A 48089-2022")</f>
        <v/>
      </c>
      <c r="AD45">
        <f>HYPERLINK("https://klasma.github.io/Logging_2425/tillsynsmail/A 48089-2022 tillsynsbegäran mail.docx", "A 48089-2022")</f>
        <v/>
      </c>
    </row>
    <row r="46" ht="15" customHeight="1">
      <c r="A46" t="inlineStr">
        <is>
          <t>A 32331-2026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46238</v>
      </c>
      <c r="E46" s="1" t="n">
        <v>46321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Skrovellav</t>
        </is>
      </c>
      <c r="W46">
        <f>HYPERLINK("https://klasma.github.io/Logging_2425/artfynd/A 32331-2026 artfynd.xlsx", "A 32331-2026")</f>
        <v/>
      </c>
      <c r="X46">
        <f>HYPERLINK("https://klasma.github.io/Logging_2425/kartor/A 32331-2026 karta.png", "A 32331-2026")</f>
        <v/>
      </c>
      <c r="Y46">
        <f>HYPERLINK("https://klasma.github.io/Logging_2425/kartor_geotiff/A 32331-2026 georefererad karta.tif", "A 32331-2026")</f>
        <v/>
      </c>
      <c r="AA46">
        <f>HYPERLINK("https://klasma.github.io/Logging_2425/klagomål/A 32331-2026 FSC-klagomål.docx", "A 32331-2026")</f>
        <v/>
      </c>
      <c r="AB46">
        <f>HYPERLINK("https://klasma.github.io/Logging_2425/klagomålsmail/A 32331-2026 FSC-klagomål mail.docx", "A 32331-2026")</f>
        <v/>
      </c>
      <c r="AC46">
        <f>HYPERLINK("https://klasma.github.io/Logging_2425/tillsyn/A 32331-2026 tillsynsbegäran.docx", "A 32331-2026")</f>
        <v/>
      </c>
      <c r="AD46">
        <f>HYPERLINK("https://klasma.github.io/Logging_2425/tillsynsmail/A 32331-2026 tillsynsbegäran mail.docx", "A 32331-2026")</f>
        <v/>
      </c>
    </row>
    <row r="47" ht="15" customHeight="1">
      <c r="A47" t="inlineStr">
        <is>
          <t>A 26440-2025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45807</v>
      </c>
      <c r="E47" s="1" t="n">
        <v>46321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26440-2025 artfynd.xlsx", "A 26440-2025")</f>
        <v/>
      </c>
      <c r="X47">
        <f>HYPERLINK("https://klasma.github.io/Logging_2425/kartor/A 26440-2025 karta.png", "A 26440-2025")</f>
        <v/>
      </c>
      <c r="Y47">
        <f>HYPERLINK("https://klasma.github.io/Logging_2425/kartor_geotiff/A 26440-2025 georefererad karta.tif", "A 26440-2025")</f>
        <v/>
      </c>
      <c r="AA47">
        <f>HYPERLINK("https://klasma.github.io/Logging_2425/klagomål/A 26440-2025 FSC-klagomål.docx", "A 26440-2025")</f>
        <v/>
      </c>
      <c r="AB47">
        <f>HYPERLINK("https://klasma.github.io/Logging_2425/klagomålsmail/A 26440-2025 FSC-klagomål mail.docx", "A 26440-2025")</f>
        <v/>
      </c>
      <c r="AC47">
        <f>HYPERLINK("https://klasma.github.io/Logging_2425/tillsyn/A 26440-2025 tillsynsbegäran.docx", "A 26440-2025")</f>
        <v/>
      </c>
      <c r="AD47">
        <f>HYPERLINK("https://klasma.github.io/Logging_2425/tillsynsmail/A 26440-2025 tillsynsbegäran mail.docx", "A 26440-2025")</f>
        <v/>
      </c>
    </row>
    <row r="48" ht="15" customHeight="1">
      <c r="A48" t="inlineStr">
        <is>
          <t>A 35297-2026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46321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5.5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35297-2026 artfynd.xlsx", "A 35297-2026")</f>
        <v/>
      </c>
      <c r="X48">
        <f>HYPERLINK("https://klasma.github.io/Logging_2425/kartor/A 35297-2026 karta.png", "A 35297-2026")</f>
        <v/>
      </c>
      <c r="Y48">
        <f>HYPERLINK("https://klasma.github.io/Logging_2425/kartor_geotiff/A 35297-2026 georefererad karta.tif", "A 35297-2026")</f>
        <v/>
      </c>
      <c r="AA48">
        <f>HYPERLINK("https://klasma.github.io/Logging_2425/klagomål/A 35297-2026 FSC-klagomål.docx", "A 35297-2026")</f>
        <v/>
      </c>
      <c r="AB48">
        <f>HYPERLINK("https://klasma.github.io/Logging_2425/klagomålsmail/A 35297-2026 FSC-klagomål mail.docx", "A 35297-2026")</f>
        <v/>
      </c>
      <c r="AC48">
        <f>HYPERLINK("https://klasma.github.io/Logging_2425/tillsyn/A 35297-2026 tillsynsbegäran.docx", "A 35297-2026")</f>
        <v/>
      </c>
      <c r="AD48">
        <f>HYPERLINK("https://klasma.github.io/Logging_2425/tillsynsmail/A 35297-2026 tillsynsbegäran mail.docx", "A 35297-2026")</f>
        <v/>
      </c>
    </row>
    <row r="49" ht="15" customHeight="1">
      <c r="A49" t="inlineStr">
        <is>
          <t>A 42536-2026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46308</v>
      </c>
      <c r="E49" s="1" t="n">
        <v>46321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Lappranunkel</t>
        </is>
      </c>
      <c r="W49">
        <f>HYPERLINK("https://klasma.github.io/Logging_2425/artfynd/A 42536-2026 artfynd.xlsx", "A 42536-2026")</f>
        <v/>
      </c>
      <c r="X49">
        <f>HYPERLINK("https://klasma.github.io/Logging_2425/kartor/A 42536-2026 karta.png", "A 42536-2026")</f>
        <v/>
      </c>
      <c r="Y49">
        <f>HYPERLINK("https://klasma.github.io/Logging_2425/kartor_geotiff/A 42536-2026 georefererad karta.tif", "A 42536-2026")</f>
        <v/>
      </c>
      <c r="AA49">
        <f>HYPERLINK("https://klasma.github.io/Logging_2425/klagomål/A 42536-2026 FSC-klagomål.docx", "A 42536-2026")</f>
        <v/>
      </c>
      <c r="AB49">
        <f>HYPERLINK("https://klasma.github.io/Logging_2425/klagomålsmail/A 42536-2026 FSC-klagomål mail.docx", "A 42536-2026")</f>
        <v/>
      </c>
      <c r="AC49">
        <f>HYPERLINK("https://klasma.github.io/Logging_2425/tillsyn/A 42536-2026 tillsynsbegäran.docx", "A 42536-2026")</f>
        <v/>
      </c>
      <c r="AD49">
        <f>HYPERLINK("https://klasma.github.io/Logging_2425/tillsynsmail/A 42536-2026 tillsynsbegäran mail.docx", "A 42536-2026")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46321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46321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30286-2023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46321</v>
      </c>
      <c r="F52" t="inlineStr">
        <is>
          <t>VÄSTERBOTTENS LÄN</t>
        </is>
      </c>
      <c r="G52" t="inlineStr">
        <is>
          <t>DOROTEA</t>
        </is>
      </c>
      <c r="I52" t="n">
        <v>21.2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Skogsrör</t>
        </is>
      </c>
      <c r="W52">
        <f>HYPERLINK("https://klasma.github.io/Logging_2425/artfynd/A 30286-2023 artfynd.xlsx", "A 30286-2023")</f>
        <v/>
      </c>
      <c r="X52">
        <f>HYPERLINK("https://klasma.github.io/Logging_2425/kartor/A 30286-2023 karta.png", "A 30286-2023")</f>
        <v/>
      </c>
      <c r="Y52">
        <f>HYPERLINK("https://klasma.github.io/Logging_2425/kartor_geotiff/A 30286-2023 georefererad karta.tif", "A 30286-2023")</f>
        <v/>
      </c>
      <c r="AA52">
        <f>HYPERLINK("https://klasma.github.io/Logging_2425/klagomål/A 30286-2023 FSC-klagomål.docx", "A 30286-2023")</f>
        <v/>
      </c>
      <c r="AB52">
        <f>HYPERLINK("https://klasma.github.io/Logging_2425/klagomålsmail/A 30286-2023 FSC-klagomål mail.docx", "A 30286-2023")</f>
        <v/>
      </c>
      <c r="AC52">
        <f>HYPERLINK("https://klasma.github.io/Logging_2425/tillsyn/A 30286-2023 tillsynsbegäran.docx", "A 30286-2023")</f>
        <v/>
      </c>
      <c r="AD52">
        <f>HYPERLINK("https://klasma.github.io/Logging_2425/tillsynsmail/A 30286-2023 tillsynsbegäran mail.docx", "A 30286-2023")</f>
        <v/>
      </c>
    </row>
    <row r="53" ht="15" customHeight="1">
      <c r="A53" t="inlineStr">
        <is>
          <t>A 36318-2024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46321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8</v>
      </c>
      <c r="V53" s="2" t="inlineStr">
        <is>
          <t>Garnlav</t>
        </is>
      </c>
      <c r="W53">
        <f>HYPERLINK("https://klasma.github.io/Logging_2425/artfynd/A 36318-2024 artfynd.xlsx", "A 36318-2024")</f>
        <v/>
      </c>
      <c r="X53">
        <f>HYPERLINK("https://klasma.github.io/Logging_2425/kartor/A 36318-2024 karta.png", "A 36318-2024")</f>
        <v/>
      </c>
      <c r="Y53">
        <f>HYPERLINK("https://klasma.github.io/Logging_2425/kartor_geotiff/A 36318-2024 georefererad karta.tif", "A 36318-2024")</f>
        <v/>
      </c>
      <c r="AA53">
        <f>HYPERLINK("https://klasma.github.io/Logging_2425/klagomål/A 36318-2024 FSC-klagomål.docx", "A 36318-2024")</f>
        <v/>
      </c>
      <c r="AB53">
        <f>HYPERLINK("https://klasma.github.io/Logging_2425/klagomålsmail/A 36318-2024 FSC-klagomål mail.docx", "A 36318-2024")</f>
        <v/>
      </c>
      <c r="AC53">
        <f>HYPERLINK("https://klasma.github.io/Logging_2425/tillsyn/A 36318-2024 tillsynsbegäran.docx", "A 36318-2024")</f>
        <v/>
      </c>
      <c r="AD53">
        <f>HYPERLINK("https://klasma.github.io/Logging_2425/tillsynsmail/A 36318-2024 tillsynsbegäran mail.docx", "A 36318-2024")</f>
        <v/>
      </c>
    </row>
    <row r="54" ht="15" customHeight="1">
      <c r="A54" t="inlineStr">
        <is>
          <t>A 12005-2023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46321</v>
      </c>
      <c r="F54" t="inlineStr">
        <is>
          <t>VÄSTERBOTTENS LÄN</t>
        </is>
      </c>
      <c r="G54" t="inlineStr">
        <is>
          <t>DOROTEA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HYPERLINK("https://klasma.github.io/Logging_2425/artfynd/A 12005-2023 artfynd.xlsx", "A 12005-2023")</f>
        <v/>
      </c>
      <c r="X54">
        <f>HYPERLINK("https://klasma.github.io/Logging_2425/kartor/A 12005-2023 karta.png", "A 12005-2023")</f>
        <v/>
      </c>
      <c r="Y54">
        <f>HYPERLINK("https://klasma.github.io/Logging_2425/kartor_geotiff/A 12005-2023 georefererad karta.tif", "A 12005-2023")</f>
        <v/>
      </c>
      <c r="AA54">
        <f>HYPERLINK("https://klasma.github.io/Logging_2425/klagomål/A 12005-2023 FSC-klagomål.docx", "A 12005-2023")</f>
        <v/>
      </c>
      <c r="AB54">
        <f>HYPERLINK("https://klasma.github.io/Logging_2425/klagomålsmail/A 12005-2023 FSC-klagomål mail.docx", "A 12005-2023")</f>
        <v/>
      </c>
      <c r="AC54">
        <f>HYPERLINK("https://klasma.github.io/Logging_2425/tillsyn/A 12005-2023 tillsynsbegäran.docx", "A 12005-2023")</f>
        <v/>
      </c>
      <c r="AD54">
        <f>HYPERLINK("https://klasma.github.io/Logging_2425/tillsynsmail/A 12005-2023 tillsynsbegäran mail.docx", "A 12005-2023")</f>
        <v/>
      </c>
    </row>
    <row r="55" ht="15" customHeight="1">
      <c r="A55" t="inlineStr">
        <is>
          <t>A 57058-2024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46321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57058-2024 artfynd.xlsx", "A 57058-2024")</f>
        <v/>
      </c>
      <c r="X55">
        <f>HYPERLINK("https://klasma.github.io/Logging_2425/kartor/A 57058-2024 karta.png", "A 57058-2024")</f>
        <v/>
      </c>
      <c r="Y55">
        <f>HYPERLINK("https://klasma.github.io/Logging_2425/kartor_geotiff/A 57058-2024 georefererad karta.tif", "A 57058-2024")</f>
        <v/>
      </c>
      <c r="AA55">
        <f>HYPERLINK("https://klasma.github.io/Logging_2425/klagomål/A 57058-2024 FSC-klagomål.docx", "A 57058-2024")</f>
        <v/>
      </c>
      <c r="AB55">
        <f>HYPERLINK("https://klasma.github.io/Logging_2425/klagomålsmail/A 57058-2024 FSC-klagomål mail.docx", "A 57058-2024")</f>
        <v/>
      </c>
      <c r="AC55">
        <f>HYPERLINK("https://klasma.github.io/Logging_2425/tillsyn/A 57058-2024 tillsynsbegäran.docx", "A 57058-2024")</f>
        <v/>
      </c>
      <c r="AD55">
        <f>HYPERLINK("https://klasma.github.io/Logging_2425/tillsynsmail/A 57058-2024 tillsynsbegäran mail.docx", "A 57058-2024")</f>
        <v/>
      </c>
    </row>
    <row r="56" ht="15" customHeight="1">
      <c r="A56" t="inlineStr">
        <is>
          <t>A 53309-2022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44878</v>
      </c>
      <c r="E56" s="1" t="n">
        <v>46321</v>
      </c>
      <c r="F56" t="inlineStr">
        <is>
          <t>VÄSTERBOTTENS LÄN</t>
        </is>
      </c>
      <c r="G56" t="inlineStr">
        <is>
          <t>DOROTEA</t>
        </is>
      </c>
      <c r="I56" t="n">
        <v>6.6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Göktyta</t>
        </is>
      </c>
      <c r="W56">
        <f>HYPERLINK("https://klasma.github.io/Logging_2425/artfynd/A 53309-2022 artfynd.xlsx", "A 53309-2022")</f>
        <v/>
      </c>
      <c r="X56">
        <f>HYPERLINK("https://klasma.github.io/Logging_2425/kartor/A 53309-2022 karta.png", "A 53309-2022")</f>
        <v/>
      </c>
      <c r="Y56">
        <f>HYPERLINK("https://klasma.github.io/Logging_2425/kartor_geotiff/A 53309-2022 georefererad karta.tif", "A 53309-2022")</f>
        <v/>
      </c>
      <c r="AA56">
        <f>HYPERLINK("https://klasma.github.io/Logging_2425/klagomål/A 53309-2022 FSC-klagomål.docx", "A 53309-2022")</f>
        <v/>
      </c>
      <c r="AB56">
        <f>HYPERLINK("https://klasma.github.io/Logging_2425/klagomålsmail/A 53309-2022 FSC-klagomål mail.docx", "A 53309-2022")</f>
        <v/>
      </c>
      <c r="AC56">
        <f>HYPERLINK("https://klasma.github.io/Logging_2425/tillsyn/A 53309-2022 tillsynsbegäran.docx", "A 53309-2022")</f>
        <v/>
      </c>
      <c r="AD56">
        <f>HYPERLINK("https://klasma.github.io/Logging_2425/tillsynsmail/A 53309-2022 tillsynsbegäran mail.docx", "A 53309-2022")</f>
        <v/>
      </c>
      <c r="AE56">
        <f>HYPERLINK("https://klasma.github.io/Logging_2425/fåglar/A 53309-2022 prioriterade fågelarter.docx", "A 53309-2022")</f>
        <v/>
      </c>
    </row>
    <row r="57" ht="15" customHeight="1">
      <c r="A57" t="inlineStr">
        <is>
          <t>A 46815-2023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45198</v>
      </c>
      <c r="E57" s="1" t="n">
        <v>46321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3.7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Harticka</t>
        </is>
      </c>
      <c r="W57">
        <f>HYPERLINK("https://klasma.github.io/Logging_2425/artfynd/A 46815-2023 artfynd.xlsx", "A 46815-2023")</f>
        <v/>
      </c>
      <c r="X57">
        <f>HYPERLINK("https://klasma.github.io/Logging_2425/kartor/A 46815-2023 karta.png", "A 46815-2023")</f>
        <v/>
      </c>
      <c r="Y57">
        <f>HYPERLINK("https://klasma.github.io/Logging_2425/kartor_geotiff/A 46815-2023 georefererad karta.tif", "A 46815-2023")</f>
        <v/>
      </c>
      <c r="AA57">
        <f>HYPERLINK("https://klasma.github.io/Logging_2425/klagomål/A 46815-2023 FSC-klagomål.docx", "A 46815-2023")</f>
        <v/>
      </c>
      <c r="AB57">
        <f>HYPERLINK("https://klasma.github.io/Logging_2425/klagomålsmail/A 46815-2023 FSC-klagomål mail.docx", "A 46815-2023")</f>
        <v/>
      </c>
      <c r="AC57">
        <f>HYPERLINK("https://klasma.github.io/Logging_2425/tillsyn/A 46815-2023 tillsynsbegäran.docx", "A 46815-2023")</f>
        <v/>
      </c>
      <c r="AD57">
        <f>HYPERLINK("https://klasma.github.io/Logging_2425/tillsynsmail/A 46815-2023 tillsynsbegäran mail.docx", "A 46815-2023")</f>
        <v/>
      </c>
    </row>
    <row r="58" ht="15" customHeight="1">
      <c r="A58" t="inlineStr">
        <is>
          <t>A 1278-2024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45302</v>
      </c>
      <c r="E58" s="1" t="n">
        <v>46321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Gräddticka</t>
        </is>
      </c>
      <c r="W58">
        <f>HYPERLINK("https://klasma.github.io/Logging_2425/artfynd/A 1278-2024 artfynd.xlsx", "A 1278-2024")</f>
        <v/>
      </c>
      <c r="X58">
        <f>HYPERLINK("https://klasma.github.io/Logging_2425/kartor/A 1278-2024 karta.png", "A 1278-2024")</f>
        <v/>
      </c>
      <c r="Y58">
        <f>HYPERLINK("https://klasma.github.io/Logging_2425/kartor_geotiff/A 1278-2024 georefererad karta.tif", "A 1278-2024")</f>
        <v/>
      </c>
      <c r="AA58">
        <f>HYPERLINK("https://klasma.github.io/Logging_2425/klagomål/A 1278-2024 FSC-klagomål.docx", "A 1278-2024")</f>
        <v/>
      </c>
      <c r="AB58">
        <f>HYPERLINK("https://klasma.github.io/Logging_2425/klagomålsmail/A 1278-2024 FSC-klagomål mail.docx", "A 1278-2024")</f>
        <v/>
      </c>
      <c r="AC58">
        <f>HYPERLINK("https://klasma.github.io/Logging_2425/tillsyn/A 1278-2024 tillsynsbegäran.docx", "A 1278-2024")</f>
        <v/>
      </c>
      <c r="AD58">
        <f>HYPERLINK("https://klasma.github.io/Logging_2425/tillsynsmail/A 1278-2024 tillsynsbegäran mail.docx", "A 1278-2024")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46321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46321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46321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46321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46321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46321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46321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46321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46321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46321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46321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46321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46321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46321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46965-2024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45586</v>
      </c>
      <c r="E73" s="1" t="n">
        <v>46321</v>
      </c>
      <c r="F73" t="inlineStr">
        <is>
          <t>VÄSTERBOTTENS LÄN</t>
        </is>
      </c>
      <c r="G73" t="inlineStr">
        <is>
          <t>DOROTEA</t>
        </is>
      </c>
      <c r="H73" t="inlineStr">
        <is>
          <t>Sveaskog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27199-2024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45471</v>
      </c>
      <c r="E74" s="1" t="n">
        <v>46321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46321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46321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46321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45228</v>
      </c>
      <c r="E78" s="1" t="n">
        <v>46321</v>
      </c>
      <c r="F78" t="inlineStr">
        <is>
          <t>VÄSTERBOTTENS LÄN</t>
        </is>
      </c>
      <c r="G78" t="inlineStr">
        <is>
          <t>DOROTEA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45228</v>
      </c>
      <c r="E79" s="1" t="n">
        <v>46321</v>
      </c>
      <c r="F79" t="inlineStr">
        <is>
          <t>VÄSTERBOTTENS LÄN</t>
        </is>
      </c>
      <c r="G79" t="inlineStr">
        <is>
          <t>DOROTEA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45893</v>
      </c>
      <c r="E80" s="1" t="n">
        <v>46321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46321</v>
      </c>
      <c r="F81" t="inlineStr">
        <is>
          <t>VÄSTERBOTTENS LÄN</t>
        </is>
      </c>
      <c r="G81" t="inlineStr">
        <is>
          <t>DOROTEA</t>
        </is>
      </c>
      <c r="I81" t="n">
        <v>18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46321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46321</v>
      </c>
      <c r="F83" t="inlineStr">
        <is>
          <t>VÄSTERBOTTENS LÄN</t>
        </is>
      </c>
      <c r="G83" t="inlineStr">
        <is>
          <t>DOROTEA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46321</v>
      </c>
      <c r="F84" t="inlineStr">
        <is>
          <t>VÄSTERBOTTENS LÄN</t>
        </is>
      </c>
      <c r="G84" t="inlineStr">
        <is>
          <t>DOROTEA</t>
        </is>
      </c>
      <c r="H84" t="inlineStr">
        <is>
          <t>Övriga Aktiebolag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46321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46321</v>
      </c>
      <c r="F86" t="inlineStr">
        <is>
          <t>VÄSTERBOTTENS LÄN</t>
        </is>
      </c>
      <c r="G86" t="inlineStr">
        <is>
          <t>DOROTEA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45562</v>
      </c>
      <c r="E87" s="1" t="n">
        <v>46321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46321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48006-2023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45198</v>
      </c>
      <c r="E89" s="1" t="n">
        <v>46321</v>
      </c>
      <c r="F89" t="inlineStr">
        <is>
          <t>VÄSTERBOTTENS LÄN</t>
        </is>
      </c>
      <c r="G89" t="inlineStr">
        <is>
          <t>DOROTEA</t>
        </is>
      </c>
      <c r="H89" t="inlineStr">
        <is>
          <t>Övriga statliga verk och myndigheter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46321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46321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46162</v>
      </c>
      <c r="E92" s="1" t="n">
        <v>46321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46321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27477-2023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45097</v>
      </c>
      <c r="E94" s="1" t="n">
        <v>46321</v>
      </c>
      <c r="F94" t="inlineStr">
        <is>
          <t>VÄSTERBOTTENS LÄN</t>
        </is>
      </c>
      <c r="G94" t="inlineStr">
        <is>
          <t>DOROTEA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46321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30461-2024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45491</v>
      </c>
      <c r="E96" s="1" t="n">
        <v>46321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46321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45916</v>
      </c>
      <c r="E98" s="1" t="n">
        <v>46321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44942</v>
      </c>
      <c r="E99" s="1" t="n">
        <v>46321</v>
      </c>
      <c r="F99" t="inlineStr">
        <is>
          <t>VÄSTERBOTTENS LÄN</t>
        </is>
      </c>
      <c r="G99" t="inlineStr">
        <is>
          <t>DOROTEA</t>
        </is>
      </c>
      <c r="I99" t="n">
        <v>22.7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45962</v>
      </c>
      <c r="E100" s="1" t="n">
        <v>46321</v>
      </c>
      <c r="F100" t="inlineStr">
        <is>
          <t>VÄSTERBOTTENS LÄN</t>
        </is>
      </c>
      <c r="G100" t="inlineStr">
        <is>
          <t>DOROTEA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46321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45915</v>
      </c>
      <c r="E102" s="1" t="n">
        <v>46321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46321</v>
      </c>
      <c r="F103" t="inlineStr">
        <is>
          <t>VÄSTERBOTTENS LÄN</t>
        </is>
      </c>
      <c r="G103" t="inlineStr">
        <is>
          <t>DOROTEA</t>
        </is>
      </c>
      <c r="H103" t="inlineStr">
        <is>
          <t>Övriga statliga verk och myndigheter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45566</v>
      </c>
      <c r="E104" s="1" t="n">
        <v>46321</v>
      </c>
      <c r="F104" t="inlineStr">
        <is>
          <t>VÄSTERBOTTENS LÄN</t>
        </is>
      </c>
      <c r="G104" t="inlineStr">
        <is>
          <t>DOROTEA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46321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46321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46321</v>
      </c>
      <c r="F107" t="inlineStr">
        <is>
          <t>VÄSTERBOTTENS LÄN</t>
        </is>
      </c>
      <c r="G107" t="inlineStr">
        <is>
          <t>DOROTEA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46321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46321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46321</v>
      </c>
      <c r="F110" t="inlineStr">
        <is>
          <t>VÄSTERBOTTENS LÄN</t>
        </is>
      </c>
      <c r="G110" t="inlineStr">
        <is>
          <t>DOROTEA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46321</v>
      </c>
      <c r="F111" t="inlineStr">
        <is>
          <t>VÄSTERBOTTENS LÄN</t>
        </is>
      </c>
      <c r="G111" t="inlineStr">
        <is>
          <t>DOROTEA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50582-2024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46321</v>
      </c>
      <c r="F112" t="inlineStr">
        <is>
          <t>VÄSTERBOTTENS LÄN</t>
        </is>
      </c>
      <c r="G112" t="inlineStr">
        <is>
          <t>DOROTEA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46321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46321</v>
      </c>
      <c r="F114" t="inlineStr">
        <is>
          <t>VÄSTERBOTTENS LÄN</t>
        </is>
      </c>
      <c r="G114" t="inlineStr">
        <is>
          <t>DOROTEA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46321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46321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46321</v>
      </c>
      <c r="F117" t="inlineStr">
        <is>
          <t>VÄSTERBOTTENS LÄN</t>
        </is>
      </c>
      <c r="G117" t="inlineStr">
        <is>
          <t>DOROTEA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45356</v>
      </c>
      <c r="E118" s="1" t="n">
        <v>46321</v>
      </c>
      <c r="F118" t="inlineStr">
        <is>
          <t>VÄSTERBOTTENS LÄN</t>
        </is>
      </c>
      <c r="G118" t="inlineStr">
        <is>
          <t>DOROTEA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46321</v>
      </c>
      <c r="F119" t="inlineStr">
        <is>
          <t>VÄSTERBOTTENS LÄN</t>
        </is>
      </c>
      <c r="G119" t="inlineStr">
        <is>
          <t>DOROTEA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46321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46321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46321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45399</v>
      </c>
      <c r="E123" s="1" t="n">
        <v>46321</v>
      </c>
      <c r="F123" t="inlineStr">
        <is>
          <t>VÄSTERBOTTENS LÄN</t>
        </is>
      </c>
      <c r="G123" t="inlineStr">
        <is>
          <t>DOROTEA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46321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9.800000000000001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44979</v>
      </c>
      <c r="E125" s="1" t="n">
        <v>46321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46321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46321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46321</v>
      </c>
      <c r="F128" t="inlineStr">
        <is>
          <t>VÄSTERBOTTENS LÄN</t>
        </is>
      </c>
      <c r="G128" t="inlineStr">
        <is>
          <t>DOROTEA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46321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46321</v>
      </c>
      <c r="F130" t="inlineStr">
        <is>
          <t>VÄSTERBOTTENS LÄN</t>
        </is>
      </c>
      <c r="G130" t="inlineStr">
        <is>
          <t>DOROTEA</t>
        </is>
      </c>
      <c r="I130" t="n">
        <v>26.2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46321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46321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46321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46321</v>
      </c>
      <c r="F134" t="inlineStr">
        <is>
          <t>VÄSTERBOTTENS LÄN</t>
        </is>
      </c>
      <c r="G134" t="inlineStr">
        <is>
          <t>DOROTEA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46321</v>
      </c>
      <c r="F135" t="inlineStr">
        <is>
          <t>VÄSTERBOTTENS LÄN</t>
        </is>
      </c>
      <c r="G135" t="inlineStr">
        <is>
          <t>DOROTEA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46321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46321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statliga verk och myndigheter</t>
        </is>
      </c>
      <c r="I137" t="n">
        <v>13.9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44824</v>
      </c>
      <c r="E138" s="1" t="n">
        <v>46321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67686-2021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46321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46321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45516</v>
      </c>
      <c r="E141" s="1" t="n">
        <v>46321</v>
      </c>
      <c r="F141" t="inlineStr">
        <is>
          <t>VÄSTERBOTTENS LÄN</t>
        </is>
      </c>
      <c r="G141" t="inlineStr">
        <is>
          <t>DOROTEA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46321</v>
      </c>
      <c r="F142" t="inlineStr">
        <is>
          <t>VÄSTERBOTTENS LÄN</t>
        </is>
      </c>
      <c r="G142" t="inlineStr">
        <is>
          <t>DOROTEA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46321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46321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46321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46321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46321</v>
      </c>
      <c r="F147" t="inlineStr">
        <is>
          <t>VÄSTERBOTTENS LÄN</t>
        </is>
      </c>
      <c r="G147" t="inlineStr">
        <is>
          <t>DOROTEA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46321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46321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46321</v>
      </c>
      <c r="F150" t="inlineStr">
        <is>
          <t>VÄSTERBOTTENS LÄN</t>
        </is>
      </c>
      <c r="G150" t="inlineStr">
        <is>
          <t>DOROTEA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46321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46321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53795-2022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46321</v>
      </c>
      <c r="F154" t="inlineStr">
        <is>
          <t>VÄSTERBOTTENS LÄN</t>
        </is>
      </c>
      <c r="G154" t="inlineStr">
        <is>
          <t>DOROTEA</t>
        </is>
      </c>
      <c r="I154" t="n">
        <v>12.3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46321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46191</v>
      </c>
      <c r="E156" s="1" t="n">
        <v>46321</v>
      </c>
      <c r="F156" t="inlineStr">
        <is>
          <t>VÄSTERBOTTENS LÄN</t>
        </is>
      </c>
      <c r="G156" t="inlineStr">
        <is>
          <t>DOROTEA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46321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46321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28180-2026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46321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46321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49.5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46321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45223</v>
      </c>
      <c r="E162" s="1" t="n">
        <v>46321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28741-2026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46321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46321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46321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46321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46321</v>
      </c>
      <c r="F167" t="inlineStr">
        <is>
          <t>VÄSTERBOTTENS LÄN</t>
        </is>
      </c>
      <c r="G167" t="inlineStr">
        <is>
          <t>DOROTEA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46321</v>
      </c>
      <c r="F168" t="inlineStr">
        <is>
          <t>VÄSTERBOTTENS LÄN</t>
        </is>
      </c>
      <c r="G168" t="inlineStr">
        <is>
          <t>DOROTEA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45977</v>
      </c>
      <c r="E169" s="1" t="n">
        <v>46321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46321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46321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46321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46321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18.2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46321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46321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46321</v>
      </c>
      <c r="F176" t="inlineStr">
        <is>
          <t>VÄSTERBOTTENS LÄN</t>
        </is>
      </c>
      <c r="G176" t="inlineStr">
        <is>
          <t>DOROTEA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46321</v>
      </c>
      <c r="F177" t="inlineStr">
        <is>
          <t>VÄSTERBOTTENS LÄN</t>
        </is>
      </c>
      <c r="G177" t="inlineStr">
        <is>
          <t>DOROTEA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46321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46321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60015-2023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45257</v>
      </c>
      <c r="E180" s="1" t="n">
        <v>46321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46321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46321</v>
      </c>
      <c r="F182" t="inlineStr">
        <is>
          <t>VÄSTERBOTTENS LÄN</t>
        </is>
      </c>
      <c r="G182" t="inlineStr">
        <is>
          <t>DOROTEA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46321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46321</v>
      </c>
      <c r="F184" t="inlineStr">
        <is>
          <t>VÄSTERBOTTENS LÄN</t>
        </is>
      </c>
      <c r="G184" t="inlineStr">
        <is>
          <t>DOROTEA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46321</v>
      </c>
      <c r="F185" t="inlineStr">
        <is>
          <t>VÄSTERBOTTENS LÄN</t>
        </is>
      </c>
      <c r="G185" t="inlineStr">
        <is>
          <t>DOROTEA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46321</v>
      </c>
      <c r="F186" t="inlineStr">
        <is>
          <t>VÄSTERBOTTENS LÄN</t>
        </is>
      </c>
      <c r="G186" t="inlineStr">
        <is>
          <t>DOROTEA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46321</v>
      </c>
      <c r="F187" t="inlineStr">
        <is>
          <t>VÄSTERBOTTENS LÄN</t>
        </is>
      </c>
      <c r="G187" t="inlineStr">
        <is>
          <t>DOROTEA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46321</v>
      </c>
      <c r="F188" t="inlineStr">
        <is>
          <t>VÄSTERBOTTENS LÄN</t>
        </is>
      </c>
      <c r="G188" t="inlineStr">
        <is>
          <t>DOROTEA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46321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46321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46321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46211</v>
      </c>
      <c r="E192" s="1" t="n">
        <v>46321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46211</v>
      </c>
      <c r="E193" s="1" t="n">
        <v>46321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46321</v>
      </c>
      <c r="F194" t="inlineStr">
        <is>
          <t>VÄSTERBOTTENS LÄN</t>
        </is>
      </c>
      <c r="G194" t="inlineStr">
        <is>
          <t>DOROTEA</t>
        </is>
      </c>
      <c r="I194" t="n">
        <v>28.8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46321</v>
      </c>
      <c r="F195" t="inlineStr">
        <is>
          <t>VÄSTERBOTTENS LÄN</t>
        </is>
      </c>
      <c r="G195" t="inlineStr">
        <is>
          <t>DOROTEA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35937-2025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45862</v>
      </c>
      <c r="E196" s="1" t="n">
        <v>46321</v>
      </c>
      <c r="F196" t="inlineStr">
        <is>
          <t>VÄSTERBOTTENS LÄN</t>
        </is>
      </c>
      <c r="G196" t="inlineStr">
        <is>
          <t>DOROTEA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46321</v>
      </c>
      <c r="F197" t="inlineStr">
        <is>
          <t>VÄSTERBOTTENS LÄN</t>
        </is>
      </c>
      <c r="G197" t="inlineStr">
        <is>
          <t>DOROTEA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46321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46213</v>
      </c>
      <c r="E199" s="1" t="n">
        <v>46321</v>
      </c>
      <c r="F199" t="inlineStr">
        <is>
          <t>VÄSTERBOTTENS LÄN</t>
        </is>
      </c>
      <c r="G199" t="inlineStr">
        <is>
          <t>DOROTEA</t>
        </is>
      </c>
      <c r="I199" t="n">
        <v>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46213</v>
      </c>
      <c r="E200" s="1" t="n">
        <v>46321</v>
      </c>
      <c r="F200" t="inlineStr">
        <is>
          <t>VÄSTERBOTTENS LÄN</t>
        </is>
      </c>
      <c r="G200" t="inlineStr">
        <is>
          <t>DOROTEA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45551</v>
      </c>
      <c r="E201" s="1" t="n">
        <v>46321</v>
      </c>
      <c r="F201" t="inlineStr">
        <is>
          <t>VÄSTERBOTTENS LÄN</t>
        </is>
      </c>
      <c r="G201" t="inlineStr">
        <is>
          <t>DOROTEA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46217</v>
      </c>
      <c r="E202" s="1" t="n">
        <v>46321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45996</v>
      </c>
      <c r="E203" s="1" t="n">
        <v>46321</v>
      </c>
      <c r="F203" t="inlineStr">
        <is>
          <t>VÄSTERBOTTENS LÄN</t>
        </is>
      </c>
      <c r="G203" t="inlineStr">
        <is>
          <t>DOROTEA</t>
        </is>
      </c>
      <c r="I203" t="n">
        <v>23.9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46321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46218</v>
      </c>
      <c r="E205" s="1" t="n">
        <v>46321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46321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27305-2024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45471</v>
      </c>
      <c r="E207" s="1" t="n">
        <v>46321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46321</v>
      </c>
      <c r="F208" t="inlineStr">
        <is>
          <t>VÄSTERBOTTENS LÄN</t>
        </is>
      </c>
      <c r="G208" t="inlineStr">
        <is>
          <t>DOROTEA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46218</v>
      </c>
      <c r="E209" s="1" t="n">
        <v>46321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46321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46321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46321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46321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46224</v>
      </c>
      <c r="E214" s="1" t="n">
        <v>46321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46321</v>
      </c>
      <c r="F215" t="inlineStr">
        <is>
          <t>VÄSTERBOTTENS LÄN</t>
        </is>
      </c>
      <c r="G215" t="inlineStr">
        <is>
          <t>DOROTEA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62193-2025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46003</v>
      </c>
      <c r="E216" s="1" t="n">
        <v>46321</v>
      </c>
      <c r="F216" t="inlineStr">
        <is>
          <t>VÄSTERBOTTENS LÄN</t>
        </is>
      </c>
      <c r="G216" t="inlineStr">
        <is>
          <t>DOROTEA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46321</v>
      </c>
      <c r="F217" t="inlineStr">
        <is>
          <t>VÄSTERBOTTENS LÄN</t>
        </is>
      </c>
      <c r="G217" t="inlineStr">
        <is>
          <t>DOROTEA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46321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46321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46321</v>
      </c>
      <c r="F220" t="inlineStr">
        <is>
          <t>VÄSTERBOTTENS LÄN</t>
        </is>
      </c>
      <c r="G220" t="inlineStr">
        <is>
          <t>DOROTEA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46321</v>
      </c>
      <c r="F221" t="inlineStr">
        <is>
          <t>VÄSTERBOTTENS LÄN</t>
        </is>
      </c>
      <c r="G221" t="inlineStr">
        <is>
          <t>DOROTEA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46321</v>
      </c>
      <c r="F222" t="inlineStr">
        <is>
          <t>VÄSTERBOTTENS LÄN</t>
        </is>
      </c>
      <c r="G222" t="inlineStr">
        <is>
          <t>DOROTEA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46321</v>
      </c>
      <c r="F223" t="inlineStr">
        <is>
          <t>VÄSTERBOTTENS LÄN</t>
        </is>
      </c>
      <c r="G223" t="inlineStr">
        <is>
          <t>DOROTEA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44956</v>
      </c>
      <c r="E224" s="1" t="n">
        <v>46321</v>
      </c>
      <c r="F224" t="inlineStr">
        <is>
          <t>VÄSTERBOTTENS LÄN</t>
        </is>
      </c>
      <c r="G224" t="inlineStr">
        <is>
          <t>DOROTEA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46321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46321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46321</v>
      </c>
      <c r="F227" t="inlineStr">
        <is>
          <t>VÄSTERBOTTENS LÄN</t>
        </is>
      </c>
      <c r="G227" t="inlineStr">
        <is>
          <t>DOROTEA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46321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42104-2024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45562</v>
      </c>
      <c r="E229" s="1" t="n">
        <v>46321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46321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46321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46321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46321</v>
      </c>
      <c r="F233" t="inlineStr">
        <is>
          <t>VÄSTERBOTTENS LÄN</t>
        </is>
      </c>
      <c r="G233" t="inlineStr">
        <is>
          <t>DOROTEA</t>
        </is>
      </c>
      <c r="I233" t="n">
        <v>18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46282</v>
      </c>
      <c r="E234" s="1" t="n">
        <v>46321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46321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46321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46321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45485</v>
      </c>
      <c r="E238" s="1" t="n">
        <v>46321</v>
      </c>
      <c r="F238" t="inlineStr">
        <is>
          <t>VÄSTERBOTTENS LÄN</t>
        </is>
      </c>
      <c r="G238" t="inlineStr">
        <is>
          <t>DOROTEA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46321</v>
      </c>
      <c r="F239" t="inlineStr">
        <is>
          <t>VÄSTERBOTTENS LÄN</t>
        </is>
      </c>
      <c r="G239" t="inlineStr">
        <is>
          <t>DOROTEA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46321</v>
      </c>
      <c r="F240" t="inlineStr">
        <is>
          <t>VÄSTERBOTTENS LÄN</t>
        </is>
      </c>
      <c r="G240" t="inlineStr">
        <is>
          <t>DOROTEA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46321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46321</v>
      </c>
      <c r="F242" t="inlineStr">
        <is>
          <t>VÄSTERBOTTENS LÄN</t>
        </is>
      </c>
      <c r="G242" t="inlineStr">
        <is>
          <t>DOROTEA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45517</v>
      </c>
      <c r="E243" s="1" t="n">
        <v>46321</v>
      </c>
      <c r="F243" t="inlineStr">
        <is>
          <t>VÄSTERBOTTENS LÄN</t>
        </is>
      </c>
      <c r="G243" t="inlineStr">
        <is>
          <t>DOROTEA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46321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46321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46321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46321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46321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46321</v>
      </c>
      <c r="F249" t="inlineStr">
        <is>
          <t>VÄSTERBOTTENS LÄN</t>
        </is>
      </c>
      <c r="G249" t="inlineStr">
        <is>
          <t>DOROTEA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46321</v>
      </c>
      <c r="F250" t="inlineStr">
        <is>
          <t>VÄSTERBOTTENS LÄN</t>
        </is>
      </c>
      <c r="G250" t="inlineStr">
        <is>
          <t>DOROTEA</t>
        </is>
      </c>
      <c r="I250" t="n">
        <v>12.8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46321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46287</v>
      </c>
      <c r="E252" s="1" t="n">
        <v>46321</v>
      </c>
      <c r="F252" t="inlineStr">
        <is>
          <t>VÄSTERBOTTENS LÄN</t>
        </is>
      </c>
      <c r="G252" t="inlineStr">
        <is>
          <t>DOROTEA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46321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45140</v>
      </c>
      <c r="E254" s="1" t="n">
        <v>46321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46321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46321</v>
      </c>
      <c r="F256" t="inlineStr">
        <is>
          <t>VÄSTERBOTTENS LÄN</t>
        </is>
      </c>
      <c r="G256" t="inlineStr">
        <is>
          <t>DOROTEA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46321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46247</v>
      </c>
      <c r="E258" s="1" t="n">
        <v>46321</v>
      </c>
      <c r="F258" t="inlineStr">
        <is>
          <t>VÄSTERBOTTENS LÄN</t>
        </is>
      </c>
      <c r="G258" t="inlineStr">
        <is>
          <t>DOROTEA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46321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46321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46321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46321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46321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46321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46321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46321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45807</v>
      </c>
      <c r="E267" s="1" t="n">
        <v>46321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46321</v>
      </c>
      <c r="F268" t="inlineStr">
        <is>
          <t>VÄSTERBOTTENS LÄN</t>
        </is>
      </c>
      <c r="G268" t="inlineStr">
        <is>
          <t>DOROTEA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57070-2023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45244</v>
      </c>
      <c r="E269" s="1" t="n">
        <v>46321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46321</v>
      </c>
      <c r="F270" t="inlineStr">
        <is>
          <t>VÄSTERBOTTENS LÄN</t>
        </is>
      </c>
      <c r="G270" t="inlineStr">
        <is>
          <t>DOROTEA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46293</v>
      </c>
      <c r="E271" s="1" t="n">
        <v>46321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46321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46321</v>
      </c>
      <c r="F273" t="inlineStr">
        <is>
          <t>VÄSTERBOTTENS LÄN</t>
        </is>
      </c>
      <c r="G273" t="inlineStr">
        <is>
          <t>DOROTEA</t>
        </is>
      </c>
      <c r="H273" t="inlineStr">
        <is>
          <t>Allmännings- och besparingsskogar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46321</v>
      </c>
      <c r="F274" t="inlineStr">
        <is>
          <t>VÄSTERBOTTENS LÄN</t>
        </is>
      </c>
      <c r="G274" t="inlineStr">
        <is>
          <t>DOROTEA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46321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46321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46321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46321</v>
      </c>
      <c r="F278" t="inlineStr">
        <is>
          <t>VÄSTERBOTTENS LÄN</t>
        </is>
      </c>
      <c r="G278" t="inlineStr">
        <is>
          <t>DOROTEA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46321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46321</v>
      </c>
      <c r="F280" t="inlineStr">
        <is>
          <t>VÄSTERBOTTENS LÄN</t>
        </is>
      </c>
      <c r="G280" t="inlineStr">
        <is>
          <t>DOROTEA</t>
        </is>
      </c>
      <c r="H280" t="inlineStr">
        <is>
          <t>Allmännings- och besparingsskogar</t>
        </is>
      </c>
      <c r="I280" t="n">
        <v>16.4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59418-2023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45253</v>
      </c>
      <c r="E281" s="1" t="n">
        <v>46321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46321</v>
      </c>
      <c r="F282" t="inlineStr">
        <is>
          <t>VÄSTERBOTTENS LÄN</t>
        </is>
      </c>
      <c r="G282" t="inlineStr">
        <is>
          <t>DOROTEA</t>
        </is>
      </c>
      <c r="I282" t="n">
        <v>20.1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46321</v>
      </c>
      <c r="F283" t="inlineStr">
        <is>
          <t>VÄSTERBOTTENS LÄN</t>
        </is>
      </c>
      <c r="G283" t="inlineStr">
        <is>
          <t>DOROTEA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44860</v>
      </c>
      <c r="E284" s="1" t="n">
        <v>46321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Sveaskog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46321</v>
      </c>
      <c r="F285" t="inlineStr">
        <is>
          <t>VÄSTERBOTTENS LÄN</t>
        </is>
      </c>
      <c r="G285" t="inlineStr">
        <is>
          <t>DOROTEA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46321</v>
      </c>
      <c r="F286" t="inlineStr">
        <is>
          <t>VÄSTERBOTTENS LÄN</t>
        </is>
      </c>
      <c r="G286" t="inlineStr">
        <is>
          <t>DOROTEA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46321</v>
      </c>
      <c r="F287" t="inlineStr">
        <is>
          <t>VÄSTERBOTTENS LÄN</t>
        </is>
      </c>
      <c r="G287" t="inlineStr">
        <is>
          <t>DOROTEA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46295</v>
      </c>
      <c r="E288" s="1" t="n">
        <v>46321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46253</v>
      </c>
      <c r="E289" s="1" t="n">
        <v>46321</v>
      </c>
      <c r="F289" t="inlineStr">
        <is>
          <t>VÄSTERBOTTENS LÄN</t>
        </is>
      </c>
      <c r="G289" t="inlineStr">
        <is>
          <t>DOROTEA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46321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46321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31532-2025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46321</v>
      </c>
      <c r="F292" t="inlineStr">
        <is>
          <t>VÄSTERBOTTENS LÄN</t>
        </is>
      </c>
      <c r="G292" t="inlineStr">
        <is>
          <t>DOROTEA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46321</v>
      </c>
      <c r="F293" t="inlineStr">
        <is>
          <t>VÄSTERBOTTENS LÄN</t>
        </is>
      </c>
      <c r="G293" t="inlineStr">
        <is>
          <t>DOROTEA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46300</v>
      </c>
      <c r="E294" s="1" t="n">
        <v>46321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46321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46321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46321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46321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46321</v>
      </c>
      <c r="F299" t="inlineStr">
        <is>
          <t>VÄSTERBOTTENS LÄN</t>
        </is>
      </c>
      <c r="G299" t="inlineStr">
        <is>
          <t>DOROTEA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45483</v>
      </c>
      <c r="E300" s="1" t="n">
        <v>46321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46321</v>
      </c>
      <c r="F301" t="inlineStr">
        <is>
          <t>VÄSTERBOTTENS LÄN</t>
        </is>
      </c>
      <c r="G301" t="inlineStr">
        <is>
          <t>DOROTEA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46321</v>
      </c>
      <c r="F302" t="inlineStr">
        <is>
          <t>VÄSTERBOTTENS LÄN</t>
        </is>
      </c>
      <c r="G302" t="inlineStr">
        <is>
          <t>DOROTEA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45848</v>
      </c>
      <c r="E303" s="1" t="n">
        <v>46321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46321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46321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46321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46321</v>
      </c>
      <c r="F307" t="inlineStr">
        <is>
          <t>VÄSTERBOTTENS LÄN</t>
        </is>
      </c>
      <c r="G307" t="inlineStr">
        <is>
          <t>DOROTEA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46321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40435-2023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45169</v>
      </c>
      <c r="E309" s="1" t="n">
        <v>46321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46321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46321</v>
      </c>
      <c r="F311" t="inlineStr">
        <is>
          <t>VÄSTERBOTTENS LÄN</t>
        </is>
      </c>
      <c r="G311" t="inlineStr">
        <is>
          <t>DOROTEA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46321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46321</v>
      </c>
      <c r="F313" t="inlineStr">
        <is>
          <t>VÄSTERBOTTENS LÄN</t>
        </is>
      </c>
      <c r="G313" t="inlineStr">
        <is>
          <t>DOROTEA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46321</v>
      </c>
      <c r="F314" t="inlineStr">
        <is>
          <t>VÄSTERBOTTENS LÄN</t>
        </is>
      </c>
      <c r="G314" t="inlineStr">
        <is>
          <t>DOROTEA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46321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33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46321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46261</v>
      </c>
      <c r="E317" s="1" t="n">
        <v>46321</v>
      </c>
      <c r="F317" t="inlineStr">
        <is>
          <t>VÄSTERBOTTENS LÄN</t>
        </is>
      </c>
      <c r="G317" t="inlineStr">
        <is>
          <t>DOROTEA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46321</v>
      </c>
      <c r="F318" t="inlineStr">
        <is>
          <t>VÄSTERBOTTENS LÄN</t>
        </is>
      </c>
      <c r="G318" t="inlineStr">
        <is>
          <t>DOROTEA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46321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45866</v>
      </c>
      <c r="E320" s="1" t="n">
        <v>46321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46321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46321</v>
      </c>
      <c r="F322" t="inlineStr">
        <is>
          <t>VÄSTERBOTTENS LÄN</t>
        </is>
      </c>
      <c r="G322" t="inlineStr">
        <is>
          <t>DOROTEA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46321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46321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46321</v>
      </c>
      <c r="F325" t="inlineStr">
        <is>
          <t>VÄSTERBOTTENS LÄN</t>
        </is>
      </c>
      <c r="G325" t="inlineStr">
        <is>
          <t>DOROTEA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46304</v>
      </c>
      <c r="E326" s="1" t="n">
        <v>46321</v>
      </c>
      <c r="F326" t="inlineStr">
        <is>
          <t>VÄSTERBOTTENS LÄN</t>
        </is>
      </c>
      <c r="G326" t="inlineStr">
        <is>
          <t>DOROTEA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46261</v>
      </c>
      <c r="E327" s="1" t="n">
        <v>46321</v>
      </c>
      <c r="F327" t="inlineStr">
        <is>
          <t>VÄSTERBOTTENS LÄN</t>
        </is>
      </c>
      <c r="G327" t="inlineStr">
        <is>
          <t>DOROTEA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46304</v>
      </c>
      <c r="E328" s="1" t="n">
        <v>46321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46321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46321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46123</v>
      </c>
      <c r="E331" s="1" t="n">
        <v>46321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46321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18.3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46321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46261</v>
      </c>
      <c r="E334" s="1" t="n">
        <v>46321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46321</v>
      </c>
      <c r="F335" t="inlineStr">
        <is>
          <t>VÄSTERBOTTENS LÄN</t>
        </is>
      </c>
      <c r="G335" t="inlineStr">
        <is>
          <t>DOROTEA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46321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46321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46321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46304</v>
      </c>
      <c r="E339" s="1" t="n">
        <v>46321</v>
      </c>
      <c r="F339" t="inlineStr">
        <is>
          <t>VÄSTERBOTTENS LÄN</t>
        </is>
      </c>
      <c r="G339" t="inlineStr">
        <is>
          <t>DOROTEA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46321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46321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46321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46321</v>
      </c>
      <c r="F343" t="inlineStr">
        <is>
          <t>VÄSTERBOTTENS LÄN</t>
        </is>
      </c>
      <c r="G343" t="inlineStr">
        <is>
          <t>DOROTEA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46321</v>
      </c>
      <c r="F344" t="inlineStr">
        <is>
          <t>VÄSTERBOTTENS LÄN</t>
        </is>
      </c>
      <c r="G344" t="inlineStr">
        <is>
          <t>DOROTEA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46321</v>
      </c>
      <c r="F345" t="inlineStr">
        <is>
          <t>VÄSTERBOTTENS LÄN</t>
        </is>
      </c>
      <c r="G345" t="inlineStr">
        <is>
          <t>DOROTEA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46321</v>
      </c>
      <c r="F346" t="inlineStr">
        <is>
          <t>VÄSTERBOTTENS LÄN</t>
        </is>
      </c>
      <c r="G346" t="inlineStr">
        <is>
          <t>DOROTEA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46321</v>
      </c>
      <c r="F347" t="inlineStr">
        <is>
          <t>VÄSTERBOTTENS LÄN</t>
        </is>
      </c>
      <c r="G347" t="inlineStr">
        <is>
          <t>DOROTEA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46321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46321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46321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46321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46321</v>
      </c>
      <c r="F352" t="inlineStr">
        <is>
          <t>VÄSTERBOTTENS LÄN</t>
        </is>
      </c>
      <c r="G352" t="inlineStr">
        <is>
          <t>DOROTEA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46262</v>
      </c>
      <c r="E353" s="1" t="n">
        <v>46321</v>
      </c>
      <c r="F353" t="inlineStr">
        <is>
          <t>VÄSTERBOTTENS LÄN</t>
        </is>
      </c>
      <c r="G353" t="inlineStr">
        <is>
          <t>DOROTEA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46321</v>
      </c>
      <c r="F354" t="inlineStr">
        <is>
          <t>VÄSTERBOTTENS LÄN</t>
        </is>
      </c>
      <c r="G354" t="inlineStr">
        <is>
          <t>DOROTEA</t>
        </is>
      </c>
      <c r="I354" t="n">
        <v>15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46309</v>
      </c>
      <c r="E355" s="1" t="n">
        <v>46321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46321</v>
      </c>
      <c r="F356" t="inlineStr">
        <is>
          <t>VÄSTERBOTTENS LÄN</t>
        </is>
      </c>
      <c r="G356" t="inlineStr">
        <is>
          <t>DOROTEA</t>
        </is>
      </c>
      <c r="I356" t="n">
        <v>14.7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46321</v>
      </c>
      <c r="F357" t="inlineStr">
        <is>
          <t>VÄSTERBOTTENS LÄN</t>
        </is>
      </c>
      <c r="G357" t="inlineStr">
        <is>
          <t>DOROTEA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46309</v>
      </c>
      <c r="E358" s="1" t="n">
        <v>46321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46321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62657-2022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44925</v>
      </c>
      <c r="E360" s="1" t="n">
        <v>46321</v>
      </c>
      <c r="F360" t="inlineStr">
        <is>
          <t>VÄSTERBOTTENS LÄN</t>
        </is>
      </c>
      <c r="G360" t="inlineStr">
        <is>
          <t>DOROTEA</t>
        </is>
      </c>
      <c r="I360" t="n">
        <v>22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46321</v>
      </c>
      <c r="F361" t="inlineStr">
        <is>
          <t>VÄSTERBOTTENS LÄN</t>
        </is>
      </c>
      <c r="G361" t="inlineStr">
        <is>
          <t>DOROTEA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46309</v>
      </c>
      <c r="E362" s="1" t="n">
        <v>46321</v>
      </c>
      <c r="F362" t="inlineStr">
        <is>
          <t>VÄSTERBOTTENS LÄN</t>
        </is>
      </c>
      <c r="G362" t="inlineStr">
        <is>
          <t>DOROTEA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46321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45491</v>
      </c>
      <c r="E364" s="1" t="n">
        <v>46321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Sveaskog</t>
        </is>
      </c>
      <c r="I364" t="n">
        <v>13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46321</v>
      </c>
      <c r="F365" t="inlineStr">
        <is>
          <t>VÄSTERBOTTENS LÄN</t>
        </is>
      </c>
      <c r="G365" t="inlineStr">
        <is>
          <t>DOROTEA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45295</v>
      </c>
      <c r="E366" s="1" t="n">
        <v>46321</v>
      </c>
      <c r="F366" t="inlineStr">
        <is>
          <t>VÄSTERBOTTENS LÄN</t>
        </is>
      </c>
      <c r="G366" t="inlineStr">
        <is>
          <t>DOROTEA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46321</v>
      </c>
      <c r="F367" t="inlineStr">
        <is>
          <t>VÄSTERBOTTENS LÄN</t>
        </is>
      </c>
      <c r="G367" t="inlineStr">
        <is>
          <t>DOROTEA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57170-2025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46321</v>
      </c>
      <c r="F368" t="inlineStr">
        <is>
          <t>VÄSTERBOTTENS LÄN</t>
        </is>
      </c>
      <c r="G368" t="inlineStr">
        <is>
          <t>DOROTEA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46321</v>
      </c>
      <c r="F369" t="inlineStr">
        <is>
          <t>VÄSTERBOTTENS LÄN</t>
        </is>
      </c>
      <c r="G369" t="inlineStr">
        <is>
          <t>DOROTEA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46321</v>
      </c>
      <c r="F370" t="inlineStr">
        <is>
          <t>VÄSTERBOTTENS LÄN</t>
        </is>
      </c>
      <c r="G370" t="inlineStr">
        <is>
          <t>DOROTEA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46321</v>
      </c>
      <c r="F371" t="inlineStr">
        <is>
          <t>VÄSTERBOTTENS LÄN</t>
        </is>
      </c>
      <c r="G371" t="inlineStr">
        <is>
          <t>DOROTEA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46321</v>
      </c>
      <c r="F372" t="inlineStr">
        <is>
          <t>VÄSTERBOTTENS LÄN</t>
        </is>
      </c>
      <c r="G372" t="inlineStr">
        <is>
          <t>DOROTEA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46321</v>
      </c>
      <c r="F373" t="inlineStr">
        <is>
          <t>VÄSTERBOTTENS LÄN</t>
        </is>
      </c>
      <c r="G373" t="inlineStr">
        <is>
          <t>DOROTEA</t>
        </is>
      </c>
      <c r="I373" t="n">
        <v>31.7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46321</v>
      </c>
      <c r="F374" t="inlineStr">
        <is>
          <t>VÄSTERBOTTENS LÄN</t>
        </is>
      </c>
      <c r="G374" t="inlineStr">
        <is>
          <t>DOROTEA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46321</v>
      </c>
      <c r="F375" t="inlineStr">
        <is>
          <t>VÄSTERBOTTENS LÄN</t>
        </is>
      </c>
      <c r="G375" t="inlineStr">
        <is>
          <t>DOROTEA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46321</v>
      </c>
      <c r="F376" t="inlineStr">
        <is>
          <t>VÄSTERBOTTENS LÄN</t>
        </is>
      </c>
      <c r="G376" t="inlineStr">
        <is>
          <t>DOROTEA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46321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46321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46321</v>
      </c>
      <c r="F379" t="inlineStr">
        <is>
          <t>VÄSTERBOTTENS LÄN</t>
        </is>
      </c>
      <c r="G379" t="inlineStr">
        <is>
          <t>DOROTEA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44971</v>
      </c>
      <c r="E380" s="1" t="n">
        <v>46321</v>
      </c>
      <c r="F380" t="inlineStr">
        <is>
          <t>VÄSTERBOTTENS LÄN</t>
        </is>
      </c>
      <c r="G380" t="inlineStr">
        <is>
          <t>DOROTEA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46321</v>
      </c>
      <c r="F381" t="inlineStr">
        <is>
          <t>VÄSTERBOTTENS LÄN</t>
        </is>
      </c>
      <c r="G381" t="inlineStr">
        <is>
          <t>DOROTEA</t>
        </is>
      </c>
      <c r="I381" t="n">
        <v>13.3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46321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45351</v>
      </c>
      <c r="E383" s="1" t="n">
        <v>46321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46321</v>
      </c>
      <c r="F384" t="inlineStr">
        <is>
          <t>VÄSTERBOTTENS LÄN</t>
        </is>
      </c>
      <c r="G384" t="inlineStr">
        <is>
          <t>DOROTEA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46321</v>
      </c>
      <c r="F385" t="inlineStr">
        <is>
          <t>VÄSTERBOTTENS LÄN</t>
        </is>
      </c>
      <c r="G385" t="inlineStr">
        <is>
          <t>DOROTEA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46321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46321</v>
      </c>
      <c r="F387" t="inlineStr">
        <is>
          <t>VÄSTERBOTTENS LÄN</t>
        </is>
      </c>
      <c r="G387" t="inlineStr">
        <is>
          <t>DOROTEA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46321</v>
      </c>
      <c r="F388" t="inlineStr">
        <is>
          <t>VÄSTERBOTTENS LÄN</t>
        </is>
      </c>
      <c r="G388" t="inlineStr">
        <is>
          <t>DOROTEA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46321</v>
      </c>
      <c r="F389" t="inlineStr">
        <is>
          <t>VÄSTERBOTTENS LÄN</t>
        </is>
      </c>
      <c r="G389" t="inlineStr">
        <is>
          <t>DOROTEA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46321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46321</v>
      </c>
      <c r="F391" t="inlineStr">
        <is>
          <t>VÄSTERBOTTENS LÄN</t>
        </is>
      </c>
      <c r="G391" t="inlineStr">
        <is>
          <t>DOROTEA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44719</v>
      </c>
      <c r="E392" s="1" t="n">
        <v>46321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46321</v>
      </c>
      <c r="F393" t="inlineStr">
        <is>
          <t>VÄSTERBOTTENS LÄN</t>
        </is>
      </c>
      <c r="G393" t="inlineStr">
        <is>
          <t>DOROTEA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46321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46321</v>
      </c>
      <c r="F395" t="inlineStr">
        <is>
          <t>VÄSTERBOTTENS LÄN</t>
        </is>
      </c>
      <c r="G395" t="inlineStr">
        <is>
          <t>DOROTEA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46321</v>
      </c>
      <c r="F396" t="inlineStr">
        <is>
          <t>VÄSTERBOTTENS LÄN</t>
        </is>
      </c>
      <c r="G396" t="inlineStr">
        <is>
          <t>DOROTEA</t>
        </is>
      </c>
      <c r="I396" t="n">
        <v>17.8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45448</v>
      </c>
      <c r="E397" s="1" t="n">
        <v>46321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46301</v>
      </c>
      <c r="E398" s="1" t="n">
        <v>46321</v>
      </c>
      <c r="F398" t="inlineStr">
        <is>
          <t>VÄSTERBOTTENS LÄN</t>
        </is>
      </c>
      <c r="G398" t="inlineStr">
        <is>
          <t>DOROTEA</t>
        </is>
      </c>
      <c r="I398" t="n">
        <v>10.5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46321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46321</v>
      </c>
      <c r="F400" t="inlineStr">
        <is>
          <t>VÄSTERBOTTENS LÄN</t>
        </is>
      </c>
      <c r="G400" t="inlineStr">
        <is>
          <t>DOROTEA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46321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21338-2026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46321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46321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46321</v>
      </c>
      <c r="F404" t="inlineStr">
        <is>
          <t>VÄSTERBOTTENS LÄN</t>
        </is>
      </c>
      <c r="G404" t="inlineStr">
        <is>
          <t>DOROTEA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46321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46321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46321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27762-2026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46321</v>
      </c>
      <c r="F408" t="inlineStr">
        <is>
          <t>VÄSTERBOTTENS LÄN</t>
        </is>
      </c>
      <c r="G408" t="inlineStr">
        <is>
          <t>DOROTEA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46321</v>
      </c>
      <c r="F409" t="inlineStr">
        <is>
          <t>VÄSTERBOTTENS LÄN</t>
        </is>
      </c>
      <c r="G409" t="inlineStr">
        <is>
          <t>DOROTEA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46321</v>
      </c>
      <c r="F410" t="inlineStr">
        <is>
          <t>VÄSTERBOTTENS LÄN</t>
        </is>
      </c>
      <c r="G410" t="inlineStr">
        <is>
          <t>DOROTEA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46321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46321</v>
      </c>
      <c r="F412" t="inlineStr">
        <is>
          <t>VÄSTERBOTTENS LÄN</t>
        </is>
      </c>
      <c r="G412" t="inlineStr">
        <is>
          <t>DOROTEA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46321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44960</v>
      </c>
      <c r="E414" s="1" t="n">
        <v>46321</v>
      </c>
      <c r="F414" t="inlineStr">
        <is>
          <t>VÄSTERBOTTENS LÄN</t>
        </is>
      </c>
      <c r="G414" t="inlineStr">
        <is>
          <t>DOROTEA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46321</v>
      </c>
      <c r="F415" t="inlineStr">
        <is>
          <t>VÄSTERBOTTENS LÄN</t>
        </is>
      </c>
      <c r="G415" t="inlineStr">
        <is>
          <t>DOROTEA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25028-2024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45461</v>
      </c>
      <c r="E416" s="1" t="n">
        <v>46321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22650-2026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46321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46321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45161</v>
      </c>
      <c r="E419" s="1" t="n">
        <v>46321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46321</v>
      </c>
      <c r="F420" t="inlineStr">
        <is>
          <t>VÄSTERBOTTENS LÄN</t>
        </is>
      </c>
      <c r="G420" t="inlineStr">
        <is>
          <t>DOROTEA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44956</v>
      </c>
      <c r="E421" s="1" t="n">
        <v>46321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45519</v>
      </c>
      <c r="E422" s="1" t="n">
        <v>46321</v>
      </c>
      <c r="F422" t="inlineStr">
        <is>
          <t>VÄSTERBOTTENS LÄN</t>
        </is>
      </c>
      <c r="G422" t="inlineStr">
        <is>
          <t>DOROTEA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60162-2024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46321</v>
      </c>
      <c r="F423" t="inlineStr">
        <is>
          <t>VÄSTERBOTTENS LÄN</t>
        </is>
      </c>
      <c r="G423" t="inlineStr">
        <is>
          <t>DOROTEA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45642</v>
      </c>
      <c r="E424" s="1" t="n">
        <v>46321</v>
      </c>
      <c r="F424" t="inlineStr">
        <is>
          <t>VÄSTERBOTTENS LÄN</t>
        </is>
      </c>
      <c r="G424" t="inlineStr">
        <is>
          <t>DOROTEA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45125</v>
      </c>
      <c r="E425" s="1" t="n">
        <v>46321</v>
      </c>
      <c r="F425" t="inlineStr">
        <is>
          <t>VÄSTERBOTTENS LÄN</t>
        </is>
      </c>
      <c r="G425" t="inlineStr">
        <is>
          <t>DOROTEA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46321</v>
      </c>
      <c r="F426" t="inlineStr">
        <is>
          <t>VÄSTERBOTTENS LÄN</t>
        </is>
      </c>
      <c r="G426" t="inlineStr">
        <is>
          <t>DOROTEA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46321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45149</v>
      </c>
      <c r="E428" s="1" t="n">
        <v>46321</v>
      </c>
      <c r="F428" t="inlineStr">
        <is>
          <t>VÄSTERBOTTENS LÄN</t>
        </is>
      </c>
      <c r="G428" t="inlineStr">
        <is>
          <t>DOROTEA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40434-2023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45169</v>
      </c>
      <c r="E429" s="1" t="n">
        <v>46321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46321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46321</v>
      </c>
      <c r="F431" t="inlineStr">
        <is>
          <t>VÄSTERBOTTENS LÄN</t>
        </is>
      </c>
      <c r="G431" t="inlineStr">
        <is>
          <t>DOROTEA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60145-2021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44494</v>
      </c>
      <c r="E432" s="1" t="n">
        <v>46321</v>
      </c>
      <c r="F432" t="inlineStr">
        <is>
          <t>VÄSTERBOTTENS LÄN</t>
        </is>
      </c>
      <c r="G432" t="inlineStr">
        <is>
          <t>DOROTEA</t>
        </is>
      </c>
      <c r="I432" t="n">
        <v>13.3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46321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46321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27909-2024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46321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46321</v>
      </c>
      <c r="F436" t="inlineStr">
        <is>
          <t>VÄSTERBOTTENS LÄN</t>
        </is>
      </c>
      <c r="G436" t="inlineStr">
        <is>
          <t>DOROTEA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46321</v>
      </c>
      <c r="F437" t="inlineStr">
        <is>
          <t>VÄSTERBOTTENS LÄN</t>
        </is>
      </c>
      <c r="G437" t="inlineStr">
        <is>
          <t>DOROTEA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45244</v>
      </c>
      <c r="E438" s="1" t="n">
        <v>46321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46321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44568</v>
      </c>
      <c r="E440" s="1" t="n">
        <v>46321</v>
      </c>
      <c r="F440" t="inlineStr">
        <is>
          <t>VÄSTERBOTTENS LÄN</t>
        </is>
      </c>
      <c r="G440" t="inlineStr">
        <is>
          <t>DOROTEA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46321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46321</v>
      </c>
      <c r="F442" t="inlineStr">
        <is>
          <t>VÄSTERBOTTENS LÄN</t>
        </is>
      </c>
      <c r="G442" t="inlineStr">
        <is>
          <t>DOROTEA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46321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55919-2023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45239</v>
      </c>
      <c r="E444" s="1" t="n">
        <v>46321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46321</v>
      </c>
      <c r="F445" t="inlineStr">
        <is>
          <t>VÄSTERBOTTENS LÄN</t>
        </is>
      </c>
      <c r="G445" t="inlineStr">
        <is>
          <t>DOROTEA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44979</v>
      </c>
      <c r="E446" s="1" t="n">
        <v>46321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46321</v>
      </c>
      <c r="F447" t="inlineStr">
        <is>
          <t>VÄSTERBOTTENS LÄN</t>
        </is>
      </c>
      <c r="G447" t="inlineStr">
        <is>
          <t>DOROTEA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46321</v>
      </c>
      <c r="F448" t="inlineStr">
        <is>
          <t>VÄSTERBOTTENS LÄN</t>
        </is>
      </c>
      <c r="G448" t="inlineStr">
        <is>
          <t>DOROTEA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45556</v>
      </c>
      <c r="E449" s="1" t="n">
        <v>46321</v>
      </c>
      <c r="F449" t="inlineStr">
        <is>
          <t>VÄSTERBOTTENS LÄN</t>
        </is>
      </c>
      <c r="G449" t="inlineStr">
        <is>
          <t>DOROTEA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46966-2024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45586</v>
      </c>
      <c r="E450" s="1" t="n">
        <v>46321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45180</v>
      </c>
      <c r="E451" s="1" t="n">
        <v>46321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46321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45331</v>
      </c>
      <c r="E453" s="1" t="n">
        <v>46321</v>
      </c>
      <c r="F453" t="inlineStr">
        <is>
          <t>VÄSTERBOTTENS LÄN</t>
        </is>
      </c>
      <c r="G453" t="inlineStr">
        <is>
          <t>DOROTEA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46321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46321</v>
      </c>
      <c r="F455" t="inlineStr">
        <is>
          <t>VÄSTERBOTTENS LÄN</t>
        </is>
      </c>
      <c r="G455" t="inlineStr">
        <is>
          <t>DOROTEA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46321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46321</v>
      </c>
      <c r="F457" t="inlineStr">
        <is>
          <t>VÄSTERBOTTENS LÄN</t>
        </is>
      </c>
      <c r="G457" t="inlineStr">
        <is>
          <t>DOROTEA</t>
        </is>
      </c>
      <c r="I457" t="n">
        <v>26.5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45672</v>
      </c>
      <c r="E458" s="1" t="n">
        <v>46321</v>
      </c>
      <c r="F458" t="inlineStr">
        <is>
          <t>VÄSTERBOTTENS LÄN</t>
        </is>
      </c>
      <c r="G458" t="inlineStr">
        <is>
          <t>DOROTEA</t>
        </is>
      </c>
      <c r="H458" t="inlineStr">
        <is>
          <t>Kommuner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27558-2022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46321</v>
      </c>
      <c r="F459" t="inlineStr">
        <is>
          <t>VÄSTERBOTTENS LÄN</t>
        </is>
      </c>
      <c r="G459" t="inlineStr">
        <is>
          <t>DOROTEA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46321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40438-2023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46321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46321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46321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44748</v>
      </c>
      <c r="E464" s="1" t="n">
        <v>46321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47494-2023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45202</v>
      </c>
      <c r="E465" s="1" t="n">
        <v>46321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46321</v>
      </c>
      <c r="F466" t="inlineStr">
        <is>
          <t>VÄSTERBOTTENS LÄN</t>
        </is>
      </c>
      <c r="G466" t="inlineStr">
        <is>
          <t>DOROTEA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45246</v>
      </c>
      <c r="E467" s="1" t="n">
        <v>46321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46321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14163-2024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45392</v>
      </c>
      <c r="E469" s="1" t="n">
        <v>46321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45547</v>
      </c>
      <c r="E470" s="1" t="n">
        <v>46321</v>
      </c>
      <c r="F470" t="inlineStr">
        <is>
          <t>VÄSTERBOTTENS LÄN</t>
        </is>
      </c>
      <c r="G470" t="inlineStr">
        <is>
          <t>DOROTEA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46817-2022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44848</v>
      </c>
      <c r="E471" s="1" t="n">
        <v>46321</v>
      </c>
      <c r="F471" t="inlineStr">
        <is>
          <t>VÄSTERBOTTENS LÄN</t>
        </is>
      </c>
      <c r="G471" t="inlineStr">
        <is>
          <t>DOROTEA</t>
        </is>
      </c>
      <c r="I471" t="n">
        <v>29.8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42473-2024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46321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2945-2024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45506</v>
      </c>
      <c r="E473" s="1" t="n">
        <v>46321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1058-2025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45749</v>
      </c>
      <c r="E474" s="1" t="n">
        <v>46321</v>
      </c>
      <c r="F474" t="inlineStr">
        <is>
          <t>VÄSTERBOTTENS LÄN</t>
        </is>
      </c>
      <c r="G474" t="inlineStr">
        <is>
          <t>DOROTEA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844-2025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45733</v>
      </c>
      <c r="E475" s="1" t="n">
        <v>46321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1293.5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2195-2025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45858</v>
      </c>
      <c r="E476" s="1" t="n">
        <v>46321</v>
      </c>
      <c r="F476" t="inlineStr">
        <is>
          <t>VÄSTERBOTTENS LÄN</t>
        </is>
      </c>
      <c r="G476" t="inlineStr">
        <is>
          <t>DOROTEA</t>
        </is>
      </c>
      <c r="I476" t="n">
        <v>27.4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2283-2025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45876</v>
      </c>
      <c r="E477" s="1" t="n">
        <v>46321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2360-2025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45889</v>
      </c>
      <c r="E478" s="1" t="n">
        <v>46321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2407-2026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46279</v>
      </c>
      <c r="E479" s="1" t="n">
        <v>46321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1763-2026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46189</v>
      </c>
      <c r="E480" s="1" t="n">
        <v>46321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2026-10-26T03:10:29Z</dcterms:created>
  <dcterms:modified xmlns:dcterms="http://purl.org/dc/terms/" xmlns:xsi="http://www.w3.org/2001/XMLSchema-instance" xsi:type="dcterms:W3CDTF">2026-10-26T03:10:29Z</dcterms:modified>
</cp:coreProperties>
</file>