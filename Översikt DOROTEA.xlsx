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8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2227-2024</t>
        </is>
      </c>
      <c r="B2" s="1" t="n">
        <v>45309</v>
      </c>
      <c r="C2" s="1" t="n">
        <v>45702</v>
      </c>
      <c r="D2" t="inlineStr">
        <is>
          <t>VÄSTERBOTTENS LÄN</t>
        </is>
      </c>
      <c r="E2" t="inlineStr">
        <is>
          <t>DOROTEA</t>
        </is>
      </c>
      <c r="G2" t="n">
        <v>17.1</v>
      </c>
      <c r="H2" t="n">
        <v>4</v>
      </c>
      <c r="I2" t="n">
        <v>9</v>
      </c>
      <c r="J2" t="n">
        <v>8</v>
      </c>
      <c r="K2" t="n">
        <v>0</v>
      </c>
      <c r="L2" t="n">
        <v>0</v>
      </c>
      <c r="M2" t="n">
        <v>0</v>
      </c>
      <c r="N2" t="n">
        <v>0</v>
      </c>
      <c r="O2" t="n">
        <v>8</v>
      </c>
      <c r="P2" t="n">
        <v>0</v>
      </c>
      <c r="Q2" t="n">
        <v>18</v>
      </c>
      <c r="R2" s="2" t="inlineStr">
        <is>
          <t>Garnlav
Granticka
Gränsticka
Järpe
Lunglav
Skrovellav
Talltita
Ullticka
Bårdlav
Kransrams
Källpraktmossa
Luddlav
Mörk husmossa
Spindelblomster
Stuplav
Vedticka
Ögonpyrola
Fläcknycklar</t>
        </is>
      </c>
      <c r="S2">
        <f>HYPERLINK("https://klasma.github.io/Logging_2425/artfynd/A 2227-2024 artfynd.xlsx", "A 2227-2024")</f>
        <v/>
      </c>
      <c r="T2">
        <f>HYPERLINK("https://klasma.github.io/Logging_2425/kartor/A 2227-2024 karta.png", "A 2227-2024")</f>
        <v/>
      </c>
      <c r="V2">
        <f>HYPERLINK("https://klasma.github.io/Logging_2425/klagomål/A 2227-2024 FSC-klagomål.docx", "A 2227-2024")</f>
        <v/>
      </c>
      <c r="W2">
        <f>HYPERLINK("https://klasma.github.io/Logging_2425/klagomålsmail/A 2227-2024 FSC-klagomål mail.docx", "A 2227-2024")</f>
        <v/>
      </c>
      <c r="X2">
        <f>HYPERLINK("https://klasma.github.io/Logging_2425/tillsyn/A 2227-2024 tillsynsbegäran.docx", "A 2227-2024")</f>
        <v/>
      </c>
      <c r="Y2">
        <f>HYPERLINK("https://klasma.github.io/Logging_2425/tillsynsmail/A 2227-2024 tillsynsbegäran mail.docx", "A 2227-2024")</f>
        <v/>
      </c>
      <c r="Z2">
        <f>HYPERLINK("https://klasma.github.io/Logging_2425/fåglar/A 2227-2024 prioriterade fågelarter.docx", "A 2227-2024")</f>
        <v/>
      </c>
    </row>
    <row r="3" ht="15" customHeight="1">
      <c r="A3" t="inlineStr">
        <is>
          <t>A 31476-2024</t>
        </is>
      </c>
      <c r="B3" s="1" t="n">
        <v>45505</v>
      </c>
      <c r="C3" s="1" t="n">
        <v>45702</v>
      </c>
      <c r="D3" t="inlineStr">
        <is>
          <t>VÄSTERBOTTENS LÄN</t>
        </is>
      </c>
      <c r="E3" t="inlineStr">
        <is>
          <t>DOROTEA</t>
        </is>
      </c>
      <c r="F3" t="inlineStr">
        <is>
          <t>SCA</t>
        </is>
      </c>
      <c r="G3" t="n">
        <v>7</v>
      </c>
      <c r="H3" t="n">
        <v>1</v>
      </c>
      <c r="I3" t="n">
        <v>2</v>
      </c>
      <c r="J3" t="n">
        <v>8</v>
      </c>
      <c r="K3" t="n">
        <v>1</v>
      </c>
      <c r="L3" t="n">
        <v>0</v>
      </c>
      <c r="M3" t="n">
        <v>0</v>
      </c>
      <c r="N3" t="n">
        <v>0</v>
      </c>
      <c r="O3" t="n">
        <v>9</v>
      </c>
      <c r="P3" t="n">
        <v>1</v>
      </c>
      <c r="Q3" t="n">
        <v>11</v>
      </c>
      <c r="R3" s="2" t="inlineStr">
        <is>
          <t>Ostticka
Garnlav
Granticka
Harticka
Lunglav
Rosenticka
Skrovellav
Tretåig hackspett
Ullticka
Luddlav
Stuplav</t>
        </is>
      </c>
      <c r="S3">
        <f>HYPERLINK("https://klasma.github.io/Logging_2425/artfynd/A 31476-2024 artfynd.xlsx", "A 31476-2024")</f>
        <v/>
      </c>
      <c r="T3">
        <f>HYPERLINK("https://klasma.github.io/Logging_2425/kartor/A 31476-2024 karta.png", "A 31476-2024")</f>
        <v/>
      </c>
      <c r="V3">
        <f>HYPERLINK("https://klasma.github.io/Logging_2425/klagomål/A 31476-2024 FSC-klagomål.docx", "A 31476-2024")</f>
        <v/>
      </c>
      <c r="W3">
        <f>HYPERLINK("https://klasma.github.io/Logging_2425/klagomålsmail/A 31476-2024 FSC-klagomål mail.docx", "A 31476-2024")</f>
        <v/>
      </c>
      <c r="X3">
        <f>HYPERLINK("https://klasma.github.io/Logging_2425/tillsyn/A 31476-2024 tillsynsbegäran.docx", "A 31476-2024")</f>
        <v/>
      </c>
      <c r="Y3">
        <f>HYPERLINK("https://klasma.github.io/Logging_2425/tillsynsmail/A 31476-2024 tillsynsbegäran mail.docx", "A 31476-2024")</f>
        <v/>
      </c>
      <c r="Z3">
        <f>HYPERLINK("https://klasma.github.io/Logging_2425/fåglar/A 31476-2024 prioriterade fågelarter.docx", "A 31476-2024")</f>
        <v/>
      </c>
    </row>
    <row r="4" ht="15" customHeight="1">
      <c r="A4" t="inlineStr">
        <is>
          <t>A 65548-2019</t>
        </is>
      </c>
      <c r="B4" s="1" t="n">
        <v>43803</v>
      </c>
      <c r="C4" s="1" t="n">
        <v>45702</v>
      </c>
      <c r="D4" t="inlineStr">
        <is>
          <t>VÄSTERBOTTENS LÄN</t>
        </is>
      </c>
      <c r="E4" t="inlineStr">
        <is>
          <t>DOROTEA</t>
        </is>
      </c>
      <c r="F4" t="inlineStr">
        <is>
          <t>SCA</t>
        </is>
      </c>
      <c r="G4" t="n">
        <v>13.4</v>
      </c>
      <c r="H4" t="n">
        <v>1</v>
      </c>
      <c r="I4" t="n">
        <v>0</v>
      </c>
      <c r="J4" t="n">
        <v>8</v>
      </c>
      <c r="K4" t="n">
        <v>2</v>
      </c>
      <c r="L4" t="n">
        <v>0</v>
      </c>
      <c r="M4" t="n">
        <v>0</v>
      </c>
      <c r="N4" t="n">
        <v>0</v>
      </c>
      <c r="O4" t="n">
        <v>10</v>
      </c>
      <c r="P4" t="n">
        <v>2</v>
      </c>
      <c r="Q4" t="n">
        <v>10</v>
      </c>
      <c r="R4" s="2" t="inlineStr">
        <is>
          <t>Lappticka
Rynkskinn
Doftskinn
Gammelgransskål
Granticka
Gränsticka
Harticka
Rosenticka
Tretåig hackspett
Ullticka</t>
        </is>
      </c>
      <c r="S4">
        <f>HYPERLINK("https://klasma.github.io/Logging_2425/artfynd/A 65548-2019 artfynd.xlsx", "A 65548-2019")</f>
        <v/>
      </c>
      <c r="T4">
        <f>HYPERLINK("https://klasma.github.io/Logging_2425/kartor/A 65548-2019 karta.png", "A 65548-2019")</f>
        <v/>
      </c>
      <c r="V4">
        <f>HYPERLINK("https://klasma.github.io/Logging_2425/klagomål/A 65548-2019 FSC-klagomål.docx", "A 65548-2019")</f>
        <v/>
      </c>
      <c r="W4">
        <f>HYPERLINK("https://klasma.github.io/Logging_2425/klagomålsmail/A 65548-2019 FSC-klagomål mail.docx", "A 65548-2019")</f>
        <v/>
      </c>
      <c r="X4">
        <f>HYPERLINK("https://klasma.github.io/Logging_2425/tillsyn/A 65548-2019 tillsynsbegäran.docx", "A 65548-2019")</f>
        <v/>
      </c>
      <c r="Y4">
        <f>HYPERLINK("https://klasma.github.io/Logging_2425/tillsynsmail/A 65548-2019 tillsynsbegäran mail.docx", "A 65548-2019")</f>
        <v/>
      </c>
      <c r="Z4">
        <f>HYPERLINK("https://klasma.github.io/Logging_2425/fåglar/A 65548-2019 prioriterade fågelarter.docx", "A 65548-2019")</f>
        <v/>
      </c>
    </row>
    <row r="5" ht="15" customHeight="1">
      <c r="A5" t="inlineStr">
        <is>
          <t>A 54046-2023</t>
        </is>
      </c>
      <c r="B5" s="1" t="n">
        <v>45231</v>
      </c>
      <c r="C5" s="1" t="n">
        <v>45702</v>
      </c>
      <c r="D5" t="inlineStr">
        <is>
          <t>VÄSTERBOTTENS LÄN</t>
        </is>
      </c>
      <c r="E5" t="inlineStr">
        <is>
          <t>DOROTEA</t>
        </is>
      </c>
      <c r="F5" t="inlineStr">
        <is>
          <t>SCA</t>
        </is>
      </c>
      <c r="G5" t="n">
        <v>3.8</v>
      </c>
      <c r="H5" t="n">
        <v>1</v>
      </c>
      <c r="I5" t="n">
        <v>2</v>
      </c>
      <c r="J5" t="n">
        <v>6</v>
      </c>
      <c r="K5" t="n">
        <v>0</v>
      </c>
      <c r="L5" t="n">
        <v>0</v>
      </c>
      <c r="M5" t="n">
        <v>0</v>
      </c>
      <c r="N5" t="n">
        <v>0</v>
      </c>
      <c r="O5" t="n">
        <v>6</v>
      </c>
      <c r="P5" t="n">
        <v>0</v>
      </c>
      <c r="Q5" t="n">
        <v>8</v>
      </c>
      <c r="R5" s="2" t="inlineStr">
        <is>
          <t>Garnlav
Granticka
Harticka
Lunglav
Skrovellav
Tretåig hackspett
Rävticka
Stuplav</t>
        </is>
      </c>
      <c r="S5">
        <f>HYPERLINK("https://klasma.github.io/Logging_2425/artfynd/A 54046-2023 artfynd.xlsx", "A 54046-2023")</f>
        <v/>
      </c>
      <c r="T5">
        <f>HYPERLINK("https://klasma.github.io/Logging_2425/kartor/A 54046-2023 karta.png", "A 54046-2023")</f>
        <v/>
      </c>
      <c r="V5">
        <f>HYPERLINK("https://klasma.github.io/Logging_2425/klagomål/A 54046-2023 FSC-klagomål.docx", "A 54046-2023")</f>
        <v/>
      </c>
      <c r="W5">
        <f>HYPERLINK("https://klasma.github.io/Logging_2425/klagomålsmail/A 54046-2023 FSC-klagomål mail.docx", "A 54046-2023")</f>
        <v/>
      </c>
      <c r="X5">
        <f>HYPERLINK("https://klasma.github.io/Logging_2425/tillsyn/A 54046-2023 tillsynsbegäran.docx", "A 54046-2023")</f>
        <v/>
      </c>
      <c r="Y5">
        <f>HYPERLINK("https://klasma.github.io/Logging_2425/tillsynsmail/A 54046-2023 tillsynsbegäran mail.docx", "A 54046-2023")</f>
        <v/>
      </c>
      <c r="Z5">
        <f>HYPERLINK("https://klasma.github.io/Logging_2425/fåglar/A 54046-2023 prioriterade fågelarter.docx", "A 54046-2023")</f>
        <v/>
      </c>
    </row>
    <row r="6" ht="15" customHeight="1">
      <c r="A6" t="inlineStr">
        <is>
          <t>A 17180-2024</t>
        </is>
      </c>
      <c r="B6" s="1" t="n">
        <v>45413</v>
      </c>
      <c r="C6" s="1" t="n">
        <v>45702</v>
      </c>
      <c r="D6" t="inlineStr">
        <is>
          <t>VÄSTERBOTTENS LÄN</t>
        </is>
      </c>
      <c r="E6" t="inlineStr">
        <is>
          <t>DOROTEA</t>
        </is>
      </c>
      <c r="F6" t="inlineStr">
        <is>
          <t>SCA</t>
        </is>
      </c>
      <c r="G6" t="n">
        <v>5.6</v>
      </c>
      <c r="H6" t="n">
        <v>1</v>
      </c>
      <c r="I6" t="n">
        <v>1</v>
      </c>
      <c r="J6" t="n">
        <v>6</v>
      </c>
      <c r="K6" t="n">
        <v>1</v>
      </c>
      <c r="L6" t="n">
        <v>0</v>
      </c>
      <c r="M6" t="n">
        <v>0</v>
      </c>
      <c r="N6" t="n">
        <v>0</v>
      </c>
      <c r="O6" t="n">
        <v>7</v>
      </c>
      <c r="P6" t="n">
        <v>1</v>
      </c>
      <c r="Q6" t="n">
        <v>8</v>
      </c>
      <c r="R6" s="2" t="inlineStr">
        <is>
          <t>Knärot
Garnlav
Granticka
Harticka
Liten svartspik
Ullticka
Vitgrynig nållav
Luddlav</t>
        </is>
      </c>
      <c r="S6">
        <f>HYPERLINK("https://klasma.github.io/Logging_2425/artfynd/A 17180-2024 artfynd.xlsx", "A 17180-2024")</f>
        <v/>
      </c>
      <c r="T6">
        <f>HYPERLINK("https://klasma.github.io/Logging_2425/kartor/A 17180-2024 karta.png", "A 17180-2024")</f>
        <v/>
      </c>
      <c r="U6">
        <f>HYPERLINK("https://klasma.github.io/Logging_2425/knärot/A 17180-2024 karta knärot.png", "A 17180-2024")</f>
        <v/>
      </c>
      <c r="V6">
        <f>HYPERLINK("https://klasma.github.io/Logging_2425/klagomål/A 17180-2024 FSC-klagomål.docx", "A 17180-2024")</f>
        <v/>
      </c>
      <c r="W6">
        <f>HYPERLINK("https://klasma.github.io/Logging_2425/klagomålsmail/A 17180-2024 FSC-klagomål mail.docx", "A 17180-2024")</f>
        <v/>
      </c>
      <c r="X6">
        <f>HYPERLINK("https://klasma.github.io/Logging_2425/tillsyn/A 17180-2024 tillsynsbegäran.docx", "A 17180-2024")</f>
        <v/>
      </c>
      <c r="Y6">
        <f>HYPERLINK("https://klasma.github.io/Logging_2425/tillsynsmail/A 17180-2024 tillsynsbegäran mail.docx", "A 17180-2024")</f>
        <v/>
      </c>
    </row>
    <row r="7" ht="15" customHeight="1">
      <c r="A7" t="inlineStr">
        <is>
          <t>A 33655-2023</t>
        </is>
      </c>
      <c r="B7" s="1" t="n">
        <v>45119</v>
      </c>
      <c r="C7" s="1" t="n">
        <v>45702</v>
      </c>
      <c r="D7" t="inlineStr">
        <is>
          <t>VÄSTERBOTTENS LÄN</t>
        </is>
      </c>
      <c r="E7" t="inlineStr">
        <is>
          <t>DOROTEA</t>
        </is>
      </c>
      <c r="F7" t="inlineStr">
        <is>
          <t>Allmännings- och besparingsskogar</t>
        </is>
      </c>
      <c r="G7" t="n">
        <v>21.4</v>
      </c>
      <c r="H7" t="n">
        <v>0</v>
      </c>
      <c r="I7" t="n">
        <v>2</v>
      </c>
      <c r="J7" t="n">
        <v>5</v>
      </c>
      <c r="K7" t="n">
        <v>0</v>
      </c>
      <c r="L7" t="n">
        <v>0</v>
      </c>
      <c r="M7" t="n">
        <v>0</v>
      </c>
      <c r="N7" t="n">
        <v>0</v>
      </c>
      <c r="O7" t="n">
        <v>5</v>
      </c>
      <c r="P7" t="n">
        <v>0</v>
      </c>
      <c r="Q7" t="n">
        <v>7</v>
      </c>
      <c r="R7" s="2" t="inlineStr">
        <is>
          <t>Garnlav
Granticka
Harticka
Rosenticka
Ullticka
Fjällig taggsvamp s.str.
Trådticka</t>
        </is>
      </c>
      <c r="S7">
        <f>HYPERLINK("https://klasma.github.io/Logging_2425/artfynd/A 33655-2023 artfynd.xlsx", "A 33655-2023")</f>
        <v/>
      </c>
      <c r="T7">
        <f>HYPERLINK("https://klasma.github.io/Logging_2425/kartor/A 33655-2023 karta.png", "A 33655-2023")</f>
        <v/>
      </c>
      <c r="V7">
        <f>HYPERLINK("https://klasma.github.io/Logging_2425/klagomål/A 33655-2023 FSC-klagomål.docx", "A 33655-2023")</f>
        <v/>
      </c>
      <c r="W7">
        <f>HYPERLINK("https://klasma.github.io/Logging_2425/klagomålsmail/A 33655-2023 FSC-klagomål mail.docx", "A 33655-2023")</f>
        <v/>
      </c>
      <c r="X7">
        <f>HYPERLINK("https://klasma.github.io/Logging_2425/tillsyn/A 33655-2023 tillsynsbegäran.docx", "A 33655-2023")</f>
        <v/>
      </c>
      <c r="Y7">
        <f>HYPERLINK("https://klasma.github.io/Logging_2425/tillsynsmail/A 33655-2023 tillsynsbegäran mail.docx", "A 33655-2023")</f>
        <v/>
      </c>
    </row>
    <row r="8" ht="15" customHeight="1">
      <c r="A8" t="inlineStr">
        <is>
          <t>A 19331-2024</t>
        </is>
      </c>
      <c r="B8" s="1" t="n">
        <v>45428</v>
      </c>
      <c r="C8" s="1" t="n">
        <v>45702</v>
      </c>
      <c r="D8" t="inlineStr">
        <is>
          <t>VÄSTERBOTTENS LÄN</t>
        </is>
      </c>
      <c r="E8" t="inlineStr">
        <is>
          <t>DOROTEA</t>
        </is>
      </c>
      <c r="F8" t="inlineStr">
        <is>
          <t>SCA</t>
        </is>
      </c>
      <c r="G8" t="n">
        <v>21.7</v>
      </c>
      <c r="H8" t="n">
        <v>1</v>
      </c>
      <c r="I8" t="n">
        <v>3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7</v>
      </c>
      <c r="R8" s="2" t="inlineStr">
        <is>
          <t>Garnlav
Lunglav
Skrovellav
Tretåig hackspett
Bårdlav
Luddlav
Stuplav</t>
        </is>
      </c>
      <c r="S8">
        <f>HYPERLINK("https://klasma.github.io/Logging_2425/artfynd/A 19331-2024 artfynd.xlsx", "A 19331-2024")</f>
        <v/>
      </c>
      <c r="T8">
        <f>HYPERLINK("https://klasma.github.io/Logging_2425/kartor/A 19331-2024 karta.png", "A 19331-2024")</f>
        <v/>
      </c>
      <c r="V8">
        <f>HYPERLINK("https://klasma.github.io/Logging_2425/klagomål/A 19331-2024 FSC-klagomål.docx", "A 19331-2024")</f>
        <v/>
      </c>
      <c r="W8">
        <f>HYPERLINK("https://klasma.github.io/Logging_2425/klagomålsmail/A 19331-2024 FSC-klagomål mail.docx", "A 19331-2024")</f>
        <v/>
      </c>
      <c r="X8">
        <f>HYPERLINK("https://klasma.github.io/Logging_2425/tillsyn/A 19331-2024 tillsynsbegäran.docx", "A 19331-2024")</f>
        <v/>
      </c>
      <c r="Y8">
        <f>HYPERLINK("https://klasma.github.io/Logging_2425/tillsynsmail/A 19331-2024 tillsynsbegäran mail.docx", "A 19331-2024")</f>
        <v/>
      </c>
      <c r="Z8">
        <f>HYPERLINK("https://klasma.github.io/Logging_2425/fåglar/A 19331-2024 prioriterade fågelarter.docx", "A 19331-2024")</f>
        <v/>
      </c>
    </row>
    <row r="9" ht="15" customHeight="1">
      <c r="A9" t="inlineStr">
        <is>
          <t>A 46834-2024</t>
        </is>
      </c>
      <c r="B9" s="1" t="n">
        <v>45583</v>
      </c>
      <c r="C9" s="1" t="n">
        <v>45702</v>
      </c>
      <c r="D9" t="inlineStr">
        <is>
          <t>VÄSTERBOTTENS LÄN</t>
        </is>
      </c>
      <c r="E9" t="inlineStr">
        <is>
          <t>DOROTEA</t>
        </is>
      </c>
      <c r="F9" t="inlineStr">
        <is>
          <t>SCA</t>
        </is>
      </c>
      <c r="G9" t="n">
        <v>7.5</v>
      </c>
      <c r="H9" t="n">
        <v>0</v>
      </c>
      <c r="I9" t="n">
        <v>2</v>
      </c>
      <c r="J9" t="n">
        <v>5</v>
      </c>
      <c r="K9" t="n">
        <v>0</v>
      </c>
      <c r="L9" t="n">
        <v>0</v>
      </c>
      <c r="M9" t="n">
        <v>0</v>
      </c>
      <c r="N9" t="n">
        <v>0</v>
      </c>
      <c r="O9" t="n">
        <v>5</v>
      </c>
      <c r="P9" t="n">
        <v>0</v>
      </c>
      <c r="Q9" t="n">
        <v>7</v>
      </c>
      <c r="R9" s="2" t="inlineStr">
        <is>
          <t>Garnlav
Granticka
Lunglav
Skrovellav
Vitgrynig nållav
Barkticka
Luddlav</t>
        </is>
      </c>
      <c r="S9">
        <f>HYPERLINK("https://klasma.github.io/Logging_2425/artfynd/A 46834-2024 artfynd.xlsx", "A 46834-2024")</f>
        <v/>
      </c>
      <c r="T9">
        <f>HYPERLINK("https://klasma.github.io/Logging_2425/kartor/A 46834-2024 karta.png", "A 46834-2024")</f>
        <v/>
      </c>
      <c r="V9">
        <f>HYPERLINK("https://klasma.github.io/Logging_2425/klagomål/A 46834-2024 FSC-klagomål.docx", "A 46834-2024")</f>
        <v/>
      </c>
      <c r="W9">
        <f>HYPERLINK("https://klasma.github.io/Logging_2425/klagomålsmail/A 46834-2024 FSC-klagomål mail.docx", "A 46834-2024")</f>
        <v/>
      </c>
      <c r="X9">
        <f>HYPERLINK("https://klasma.github.io/Logging_2425/tillsyn/A 46834-2024 tillsynsbegäran.docx", "A 46834-2024")</f>
        <v/>
      </c>
      <c r="Y9">
        <f>HYPERLINK("https://klasma.github.io/Logging_2425/tillsynsmail/A 46834-2024 tillsynsbegäran mail.docx", "A 46834-2024")</f>
        <v/>
      </c>
    </row>
    <row r="10" ht="15" customHeight="1">
      <c r="A10" t="inlineStr">
        <is>
          <t>A 57059-2024</t>
        </is>
      </c>
      <c r="B10" s="1" t="n">
        <v>45629</v>
      </c>
      <c r="C10" s="1" t="n">
        <v>45702</v>
      </c>
      <c r="D10" t="inlineStr">
        <is>
          <t>VÄSTERBOTTENS LÄN</t>
        </is>
      </c>
      <c r="E10" t="inlineStr">
        <is>
          <t>DOROTEA</t>
        </is>
      </c>
      <c r="F10" t="inlineStr">
        <is>
          <t>SCA</t>
        </is>
      </c>
      <c r="G10" t="n">
        <v>7.5</v>
      </c>
      <c r="H10" t="n">
        <v>0</v>
      </c>
      <c r="I10" t="n">
        <v>2</v>
      </c>
      <c r="J10" t="n">
        <v>5</v>
      </c>
      <c r="K10" t="n">
        <v>0</v>
      </c>
      <c r="L10" t="n">
        <v>0</v>
      </c>
      <c r="M10" t="n">
        <v>0</v>
      </c>
      <c r="N10" t="n">
        <v>0</v>
      </c>
      <c r="O10" t="n">
        <v>5</v>
      </c>
      <c r="P10" t="n">
        <v>0</v>
      </c>
      <c r="Q10" t="n">
        <v>7</v>
      </c>
      <c r="R10" s="2" t="inlineStr">
        <is>
          <t>Garnlav
Granticka
Lunglav
Skrovellav
Vitgrynig nållav
Barkticka
Luddlav</t>
        </is>
      </c>
      <c r="S10">
        <f>HYPERLINK("https://klasma.github.io/Logging_2425/artfynd/A 57059-2024 artfynd.xlsx", "A 57059-2024")</f>
        <v/>
      </c>
      <c r="T10">
        <f>HYPERLINK("https://klasma.github.io/Logging_2425/kartor/A 57059-2024 karta.png", "A 57059-2024")</f>
        <v/>
      </c>
      <c r="V10">
        <f>HYPERLINK("https://klasma.github.io/Logging_2425/klagomål/A 57059-2024 FSC-klagomål.docx", "A 57059-2024")</f>
        <v/>
      </c>
      <c r="W10">
        <f>HYPERLINK("https://klasma.github.io/Logging_2425/klagomålsmail/A 57059-2024 FSC-klagomål mail.docx", "A 57059-2024")</f>
        <v/>
      </c>
      <c r="X10">
        <f>HYPERLINK("https://klasma.github.io/Logging_2425/tillsyn/A 57059-2024 tillsynsbegäran.docx", "A 57059-2024")</f>
        <v/>
      </c>
      <c r="Y10">
        <f>HYPERLINK("https://klasma.github.io/Logging_2425/tillsynsmail/A 57059-2024 tillsynsbegäran mail.docx", "A 57059-2024")</f>
        <v/>
      </c>
    </row>
    <row r="11" ht="15" customHeight="1">
      <c r="A11" t="inlineStr">
        <is>
          <t>A 65561-2019</t>
        </is>
      </c>
      <c r="B11" s="1" t="n">
        <v>43803</v>
      </c>
      <c r="C11" s="1" t="n">
        <v>45702</v>
      </c>
      <c r="D11" t="inlineStr">
        <is>
          <t>VÄSTERBOTTENS LÄN</t>
        </is>
      </c>
      <c r="E11" t="inlineStr">
        <is>
          <t>DOROTEA</t>
        </is>
      </c>
      <c r="F11" t="inlineStr">
        <is>
          <t>SCA</t>
        </is>
      </c>
      <c r="G11" t="n">
        <v>13.1</v>
      </c>
      <c r="H11" t="n">
        <v>1</v>
      </c>
      <c r="I11" t="n">
        <v>0</v>
      </c>
      <c r="J11" t="n">
        <v>6</v>
      </c>
      <c r="K11" t="n">
        <v>0</v>
      </c>
      <c r="L11" t="n">
        <v>0</v>
      </c>
      <c r="M11" t="n">
        <v>0</v>
      </c>
      <c r="N11" t="n">
        <v>0</v>
      </c>
      <c r="O11" t="n">
        <v>6</v>
      </c>
      <c r="P11" t="n">
        <v>0</v>
      </c>
      <c r="Q11" t="n">
        <v>6</v>
      </c>
      <c r="R11" s="2" t="inlineStr">
        <is>
          <t>Granticka
Harticka
Tretåig hackspett
Vedtrappmossa
Vitgrynig nållav
Äggvaxskivling</t>
        </is>
      </c>
      <c r="S11">
        <f>HYPERLINK("https://klasma.github.io/Logging_2425/artfynd/A 65561-2019 artfynd.xlsx", "A 65561-2019")</f>
        <v/>
      </c>
      <c r="T11">
        <f>HYPERLINK("https://klasma.github.io/Logging_2425/kartor/A 65561-2019 karta.png", "A 65561-2019")</f>
        <v/>
      </c>
      <c r="V11">
        <f>HYPERLINK("https://klasma.github.io/Logging_2425/klagomål/A 65561-2019 FSC-klagomål.docx", "A 65561-2019")</f>
        <v/>
      </c>
      <c r="W11">
        <f>HYPERLINK("https://klasma.github.io/Logging_2425/klagomålsmail/A 65561-2019 FSC-klagomål mail.docx", "A 65561-2019")</f>
        <v/>
      </c>
      <c r="X11">
        <f>HYPERLINK("https://klasma.github.io/Logging_2425/tillsyn/A 65561-2019 tillsynsbegäran.docx", "A 65561-2019")</f>
        <v/>
      </c>
      <c r="Y11">
        <f>HYPERLINK("https://klasma.github.io/Logging_2425/tillsynsmail/A 65561-2019 tillsynsbegäran mail.docx", "A 65561-2019")</f>
        <v/>
      </c>
      <c r="Z11">
        <f>HYPERLINK("https://klasma.github.io/Logging_2425/fåglar/A 65561-2019 prioriterade fågelarter.docx", "A 65561-2019")</f>
        <v/>
      </c>
    </row>
    <row r="12" ht="15" customHeight="1">
      <c r="A12" t="inlineStr">
        <is>
          <t>A 49684-2020</t>
        </is>
      </c>
      <c r="B12" s="1" t="n">
        <v>44104</v>
      </c>
      <c r="C12" s="1" t="n">
        <v>45702</v>
      </c>
      <c r="D12" t="inlineStr">
        <is>
          <t>VÄSTERBOTTENS LÄN</t>
        </is>
      </c>
      <c r="E12" t="inlineStr">
        <is>
          <t>DOROTEA</t>
        </is>
      </c>
      <c r="F12" t="inlineStr">
        <is>
          <t>SCA</t>
        </is>
      </c>
      <c r="G12" t="n">
        <v>17.2</v>
      </c>
      <c r="H12" t="n">
        <v>0</v>
      </c>
      <c r="I12" t="n">
        <v>1</v>
      </c>
      <c r="J12" t="n">
        <v>4</v>
      </c>
      <c r="K12" t="n">
        <v>1</v>
      </c>
      <c r="L12" t="n">
        <v>0</v>
      </c>
      <c r="M12" t="n">
        <v>0</v>
      </c>
      <c r="N12" t="n">
        <v>0</v>
      </c>
      <c r="O12" t="n">
        <v>5</v>
      </c>
      <c r="P12" t="n">
        <v>1</v>
      </c>
      <c r="Q12" t="n">
        <v>6</v>
      </c>
      <c r="R12" s="2" t="inlineStr">
        <is>
          <t>Rynkskinn
Gränsticka
Harticka
Stjärntagging
Ullticka
Trådticka</t>
        </is>
      </c>
      <c r="S12">
        <f>HYPERLINK("https://klasma.github.io/Logging_2425/artfynd/A 49684-2020 artfynd.xlsx", "A 49684-2020")</f>
        <v/>
      </c>
      <c r="T12">
        <f>HYPERLINK("https://klasma.github.io/Logging_2425/kartor/A 49684-2020 karta.png", "A 49684-2020")</f>
        <v/>
      </c>
      <c r="V12">
        <f>HYPERLINK("https://klasma.github.io/Logging_2425/klagomål/A 49684-2020 FSC-klagomål.docx", "A 49684-2020")</f>
        <v/>
      </c>
      <c r="W12">
        <f>HYPERLINK("https://klasma.github.io/Logging_2425/klagomålsmail/A 49684-2020 FSC-klagomål mail.docx", "A 49684-2020")</f>
        <v/>
      </c>
      <c r="X12">
        <f>HYPERLINK("https://klasma.github.io/Logging_2425/tillsyn/A 49684-2020 tillsynsbegäran.docx", "A 49684-2020")</f>
        <v/>
      </c>
      <c r="Y12">
        <f>HYPERLINK("https://klasma.github.io/Logging_2425/tillsynsmail/A 49684-2020 tillsynsbegäran mail.docx", "A 49684-2020")</f>
        <v/>
      </c>
    </row>
    <row r="13" ht="15" customHeight="1">
      <c r="A13" t="inlineStr">
        <is>
          <t>A 33659-2023</t>
        </is>
      </c>
      <c r="B13" s="1" t="n">
        <v>45119</v>
      </c>
      <c r="C13" s="1" t="n">
        <v>45702</v>
      </c>
      <c r="D13" t="inlineStr">
        <is>
          <t>VÄSTERBOTTENS LÄN</t>
        </is>
      </c>
      <c r="E13" t="inlineStr">
        <is>
          <t>DOROTEA</t>
        </is>
      </c>
      <c r="F13" t="inlineStr">
        <is>
          <t>Allmännings- och besparingsskogar</t>
        </is>
      </c>
      <c r="G13" t="n">
        <v>21.1</v>
      </c>
      <c r="H13" t="n">
        <v>1</v>
      </c>
      <c r="I13" t="n">
        <v>1</v>
      </c>
      <c r="J13" t="n">
        <v>5</v>
      </c>
      <c r="K13" t="n">
        <v>0</v>
      </c>
      <c r="L13" t="n">
        <v>0</v>
      </c>
      <c r="M13" t="n">
        <v>0</v>
      </c>
      <c r="N13" t="n">
        <v>0</v>
      </c>
      <c r="O13" t="n">
        <v>5</v>
      </c>
      <c r="P13" t="n">
        <v>0</v>
      </c>
      <c r="Q13" t="n">
        <v>6</v>
      </c>
      <c r="R13" s="2" t="inlineStr">
        <is>
          <t>Garnlav
Granticka
Harticka
Stjärntagging
Tretåig hackspett
Trådticka</t>
        </is>
      </c>
      <c r="S13">
        <f>HYPERLINK("https://klasma.github.io/Logging_2425/artfynd/A 33659-2023 artfynd.xlsx", "A 33659-2023")</f>
        <v/>
      </c>
      <c r="T13">
        <f>HYPERLINK("https://klasma.github.io/Logging_2425/kartor/A 33659-2023 karta.png", "A 33659-2023")</f>
        <v/>
      </c>
      <c r="V13">
        <f>HYPERLINK("https://klasma.github.io/Logging_2425/klagomål/A 33659-2023 FSC-klagomål.docx", "A 33659-2023")</f>
        <v/>
      </c>
      <c r="W13">
        <f>HYPERLINK("https://klasma.github.io/Logging_2425/klagomålsmail/A 33659-2023 FSC-klagomål mail.docx", "A 33659-2023")</f>
        <v/>
      </c>
      <c r="X13">
        <f>HYPERLINK("https://klasma.github.io/Logging_2425/tillsyn/A 33659-2023 tillsynsbegäran.docx", "A 33659-2023")</f>
        <v/>
      </c>
      <c r="Y13">
        <f>HYPERLINK("https://klasma.github.io/Logging_2425/tillsynsmail/A 33659-2023 tillsynsbegäran mail.docx", "A 33659-2023")</f>
        <v/>
      </c>
      <c r="Z13">
        <f>HYPERLINK("https://klasma.github.io/Logging_2425/fåglar/A 33659-2023 prioriterade fågelarter.docx", "A 33659-2023")</f>
        <v/>
      </c>
    </row>
    <row r="14" ht="15" customHeight="1">
      <c r="A14" t="inlineStr">
        <is>
          <t>A 5735-2024</t>
        </is>
      </c>
      <c r="B14" s="1" t="n">
        <v>45334</v>
      </c>
      <c r="C14" s="1" t="n">
        <v>45702</v>
      </c>
      <c r="D14" t="inlineStr">
        <is>
          <t>VÄSTERBOTTENS LÄN</t>
        </is>
      </c>
      <c r="E14" t="inlineStr">
        <is>
          <t>DOROTEA</t>
        </is>
      </c>
      <c r="F14" t="inlineStr">
        <is>
          <t>SCA</t>
        </is>
      </c>
      <c r="G14" t="n">
        <v>20.4</v>
      </c>
      <c r="H14" t="n">
        <v>1</v>
      </c>
      <c r="I14" t="n">
        <v>0</v>
      </c>
      <c r="J14" t="n">
        <v>5</v>
      </c>
      <c r="K14" t="n">
        <v>1</v>
      </c>
      <c r="L14" t="n">
        <v>0</v>
      </c>
      <c r="M14" t="n">
        <v>0</v>
      </c>
      <c r="N14" t="n">
        <v>0</v>
      </c>
      <c r="O14" t="n">
        <v>6</v>
      </c>
      <c r="P14" t="n">
        <v>1</v>
      </c>
      <c r="Q14" t="n">
        <v>6</v>
      </c>
      <c r="R14" s="2" t="inlineStr">
        <is>
          <t>Ostticka
Garnlav
Granticka
Harticka
Tretåig hackspett
Ullticka</t>
        </is>
      </c>
      <c r="S14">
        <f>HYPERLINK("https://klasma.github.io/Logging_2425/artfynd/A 5735-2024 artfynd.xlsx", "A 5735-2024")</f>
        <v/>
      </c>
      <c r="T14">
        <f>HYPERLINK("https://klasma.github.io/Logging_2425/kartor/A 5735-2024 karta.png", "A 5735-2024")</f>
        <v/>
      </c>
      <c r="V14">
        <f>HYPERLINK("https://klasma.github.io/Logging_2425/klagomål/A 5735-2024 FSC-klagomål.docx", "A 5735-2024")</f>
        <v/>
      </c>
      <c r="W14">
        <f>HYPERLINK("https://klasma.github.io/Logging_2425/klagomålsmail/A 5735-2024 FSC-klagomål mail.docx", "A 5735-2024")</f>
        <v/>
      </c>
      <c r="X14">
        <f>HYPERLINK("https://klasma.github.io/Logging_2425/tillsyn/A 5735-2024 tillsynsbegäran.docx", "A 5735-2024")</f>
        <v/>
      </c>
      <c r="Y14">
        <f>HYPERLINK("https://klasma.github.io/Logging_2425/tillsynsmail/A 5735-2024 tillsynsbegäran mail.docx", "A 5735-2024")</f>
        <v/>
      </c>
      <c r="Z14">
        <f>HYPERLINK("https://klasma.github.io/Logging_2425/fåglar/A 5735-2024 prioriterade fågelarter.docx", "A 5735-2024")</f>
        <v/>
      </c>
    </row>
    <row r="15" ht="15" customHeight="1">
      <c r="A15" t="inlineStr">
        <is>
          <t>A 1948-2025</t>
        </is>
      </c>
      <c r="B15" s="1" t="n">
        <v>45672</v>
      </c>
      <c r="C15" s="1" t="n">
        <v>45702</v>
      </c>
      <c r="D15" t="inlineStr">
        <is>
          <t>VÄSTERBOTTENS LÄN</t>
        </is>
      </c>
      <c r="E15" t="inlineStr">
        <is>
          <t>DOROTEA</t>
        </is>
      </c>
      <c r="F15" t="inlineStr">
        <is>
          <t>SCA</t>
        </is>
      </c>
      <c r="G15" t="n">
        <v>20.3</v>
      </c>
      <c r="H15" t="n">
        <v>1</v>
      </c>
      <c r="I15" t="n">
        <v>0</v>
      </c>
      <c r="J15" t="n">
        <v>5</v>
      </c>
      <c r="K15" t="n">
        <v>1</v>
      </c>
      <c r="L15" t="n">
        <v>0</v>
      </c>
      <c r="M15" t="n">
        <v>0</v>
      </c>
      <c r="N15" t="n">
        <v>0</v>
      </c>
      <c r="O15" t="n">
        <v>6</v>
      </c>
      <c r="P15" t="n">
        <v>1</v>
      </c>
      <c r="Q15" t="n">
        <v>6</v>
      </c>
      <c r="R15" s="2" t="inlineStr">
        <is>
          <t>Ostticka
Garnlav
Granticka
Harticka
Tretåig hackspett
Ullticka</t>
        </is>
      </c>
      <c r="S15">
        <f>HYPERLINK("https://klasma.github.io/Logging_2425/artfynd/A 1948-2025 artfynd.xlsx", "A 1948-2025")</f>
        <v/>
      </c>
      <c r="T15">
        <f>HYPERLINK("https://klasma.github.io/Logging_2425/kartor/A 1948-2025 karta.png", "A 1948-2025")</f>
        <v/>
      </c>
      <c r="V15">
        <f>HYPERLINK("https://klasma.github.io/Logging_2425/klagomål/A 1948-2025 FSC-klagomål.docx", "A 1948-2025")</f>
        <v/>
      </c>
      <c r="W15">
        <f>HYPERLINK("https://klasma.github.io/Logging_2425/klagomålsmail/A 1948-2025 FSC-klagomål mail.docx", "A 1948-2025")</f>
        <v/>
      </c>
      <c r="X15">
        <f>HYPERLINK("https://klasma.github.io/Logging_2425/tillsyn/A 1948-2025 tillsynsbegäran.docx", "A 1948-2025")</f>
        <v/>
      </c>
      <c r="Y15">
        <f>HYPERLINK("https://klasma.github.io/Logging_2425/tillsynsmail/A 1948-2025 tillsynsbegäran mail.docx", "A 1948-2025")</f>
        <v/>
      </c>
      <c r="Z15">
        <f>HYPERLINK("https://klasma.github.io/Logging_2425/fåglar/A 1948-2025 prioriterade fågelarter.docx", "A 1948-2025")</f>
        <v/>
      </c>
    </row>
    <row r="16" ht="15" customHeight="1">
      <c r="A16" t="inlineStr">
        <is>
          <t>A 54981-2021</t>
        </is>
      </c>
      <c r="B16" s="1" t="n">
        <v>44474</v>
      </c>
      <c r="C16" s="1" t="n">
        <v>45702</v>
      </c>
      <c r="D16" t="inlineStr">
        <is>
          <t>VÄSTERBOTTENS LÄN</t>
        </is>
      </c>
      <c r="E16" t="inlineStr">
        <is>
          <t>DOROTEA</t>
        </is>
      </c>
      <c r="F16" t="inlineStr">
        <is>
          <t>Övriga statliga verk och myndigheter</t>
        </is>
      </c>
      <c r="G16" t="n">
        <v>15.6</v>
      </c>
      <c r="H16" t="n">
        <v>0</v>
      </c>
      <c r="I16" t="n">
        <v>0</v>
      </c>
      <c r="J16" t="n">
        <v>2</v>
      </c>
      <c r="K16" t="n">
        <v>2</v>
      </c>
      <c r="L16" t="n">
        <v>1</v>
      </c>
      <c r="M16" t="n">
        <v>0</v>
      </c>
      <c r="N16" t="n">
        <v>0</v>
      </c>
      <c r="O16" t="n">
        <v>5</v>
      </c>
      <c r="P16" t="n">
        <v>3</v>
      </c>
      <c r="Q16" t="n">
        <v>5</v>
      </c>
      <c r="R16" s="2" t="inlineStr">
        <is>
          <t>Urskogsporing
Gräddporing
Lateritticka
Nordtagging
Stjärntagging</t>
        </is>
      </c>
      <c r="S16">
        <f>HYPERLINK("https://klasma.github.io/Logging_2425/artfynd/A 54981-2021 artfynd.xlsx", "A 54981-2021")</f>
        <v/>
      </c>
      <c r="T16">
        <f>HYPERLINK("https://klasma.github.io/Logging_2425/kartor/A 54981-2021 karta.png", "A 54981-2021")</f>
        <v/>
      </c>
      <c r="V16">
        <f>HYPERLINK("https://klasma.github.io/Logging_2425/klagomål/A 54981-2021 FSC-klagomål.docx", "A 54981-2021")</f>
        <v/>
      </c>
      <c r="W16">
        <f>HYPERLINK("https://klasma.github.io/Logging_2425/klagomålsmail/A 54981-2021 FSC-klagomål mail.docx", "A 54981-2021")</f>
        <v/>
      </c>
      <c r="X16">
        <f>HYPERLINK("https://klasma.github.io/Logging_2425/tillsyn/A 54981-2021 tillsynsbegäran.docx", "A 54981-2021")</f>
        <v/>
      </c>
      <c r="Y16">
        <f>HYPERLINK("https://klasma.github.io/Logging_2425/tillsynsmail/A 54981-2021 tillsynsbegäran mail.docx", "A 54981-2021")</f>
        <v/>
      </c>
    </row>
    <row r="17" ht="15" customHeight="1">
      <c r="A17" t="inlineStr">
        <is>
          <t>A 9196-2022</t>
        </is>
      </c>
      <c r="B17" s="1" t="n">
        <v>44615</v>
      </c>
      <c r="C17" s="1" t="n">
        <v>45702</v>
      </c>
      <c r="D17" t="inlineStr">
        <is>
          <t>VÄSTERBOTTENS LÄN</t>
        </is>
      </c>
      <c r="E17" t="inlineStr">
        <is>
          <t>DOROTEA</t>
        </is>
      </c>
      <c r="G17" t="n">
        <v>12.7</v>
      </c>
      <c r="H17" t="n">
        <v>0</v>
      </c>
      <c r="I17" t="n">
        <v>1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5</v>
      </c>
      <c r="R17" s="2" t="inlineStr">
        <is>
          <t>Granticka
Gränsticka
Rosenticka
Ullticka
Vedticka</t>
        </is>
      </c>
      <c r="S17">
        <f>HYPERLINK("https://klasma.github.io/Logging_2425/artfynd/A 9196-2022 artfynd.xlsx", "A 9196-2022")</f>
        <v/>
      </c>
      <c r="T17">
        <f>HYPERLINK("https://klasma.github.io/Logging_2425/kartor/A 9196-2022 karta.png", "A 9196-2022")</f>
        <v/>
      </c>
      <c r="V17">
        <f>HYPERLINK("https://klasma.github.io/Logging_2425/klagomål/A 9196-2022 FSC-klagomål.docx", "A 9196-2022")</f>
        <v/>
      </c>
      <c r="W17">
        <f>HYPERLINK("https://klasma.github.io/Logging_2425/klagomålsmail/A 9196-2022 FSC-klagomål mail.docx", "A 9196-2022")</f>
        <v/>
      </c>
      <c r="X17">
        <f>HYPERLINK("https://klasma.github.io/Logging_2425/tillsyn/A 9196-2022 tillsynsbegäran.docx", "A 9196-2022")</f>
        <v/>
      </c>
      <c r="Y17">
        <f>HYPERLINK("https://klasma.github.io/Logging_2425/tillsynsmail/A 9196-2022 tillsynsbegäran mail.docx", "A 9196-2022")</f>
        <v/>
      </c>
    </row>
    <row r="18" ht="15" customHeight="1">
      <c r="A18" t="inlineStr">
        <is>
          <t>A 47955-2022</t>
        </is>
      </c>
      <c r="B18" s="1" t="n">
        <v>44853</v>
      </c>
      <c r="C18" s="1" t="n">
        <v>45702</v>
      </c>
      <c r="D18" t="inlineStr">
        <is>
          <t>VÄSTERBOTTENS LÄN</t>
        </is>
      </c>
      <c r="E18" t="inlineStr">
        <is>
          <t>DOROTEA</t>
        </is>
      </c>
      <c r="G18" t="n">
        <v>16.3</v>
      </c>
      <c r="H18" t="n">
        <v>0</v>
      </c>
      <c r="I18" t="n">
        <v>0</v>
      </c>
      <c r="J18" t="n">
        <v>5</v>
      </c>
      <c r="K18" t="n">
        <v>0</v>
      </c>
      <c r="L18" t="n">
        <v>0</v>
      </c>
      <c r="M18" t="n">
        <v>0</v>
      </c>
      <c r="N18" t="n">
        <v>0</v>
      </c>
      <c r="O18" t="n">
        <v>5</v>
      </c>
      <c r="P18" t="n">
        <v>0</v>
      </c>
      <c r="Q18" t="n">
        <v>5</v>
      </c>
      <c r="R18" s="2" t="inlineStr">
        <is>
          <t>Doftskinn
Granticka
Gränsticka
Harticka
Ullticka</t>
        </is>
      </c>
      <c r="S18">
        <f>HYPERLINK("https://klasma.github.io/Logging_2425/artfynd/A 47955-2022 artfynd.xlsx", "A 47955-2022")</f>
        <v/>
      </c>
      <c r="T18">
        <f>HYPERLINK("https://klasma.github.io/Logging_2425/kartor/A 47955-2022 karta.png", "A 47955-2022")</f>
        <v/>
      </c>
      <c r="V18">
        <f>HYPERLINK("https://klasma.github.io/Logging_2425/klagomål/A 47955-2022 FSC-klagomål.docx", "A 47955-2022")</f>
        <v/>
      </c>
      <c r="W18">
        <f>HYPERLINK("https://klasma.github.io/Logging_2425/klagomålsmail/A 47955-2022 FSC-klagomål mail.docx", "A 47955-2022")</f>
        <v/>
      </c>
      <c r="X18">
        <f>HYPERLINK("https://klasma.github.io/Logging_2425/tillsyn/A 47955-2022 tillsynsbegäran.docx", "A 47955-2022")</f>
        <v/>
      </c>
      <c r="Y18">
        <f>HYPERLINK("https://klasma.github.io/Logging_2425/tillsynsmail/A 47955-2022 tillsynsbegäran mail.docx", "A 47955-2022")</f>
        <v/>
      </c>
    </row>
    <row r="19" ht="15" customHeight="1">
      <c r="A19" t="inlineStr">
        <is>
          <t>A 54047-2023</t>
        </is>
      </c>
      <c r="B19" s="1" t="n">
        <v>45231</v>
      </c>
      <c r="C19" s="1" t="n">
        <v>45702</v>
      </c>
      <c r="D19" t="inlineStr">
        <is>
          <t>VÄSTERBOTTENS LÄN</t>
        </is>
      </c>
      <c r="E19" t="inlineStr">
        <is>
          <t>DOROTEA</t>
        </is>
      </c>
      <c r="F19" t="inlineStr">
        <is>
          <t>SCA</t>
        </is>
      </c>
      <c r="G19" t="n">
        <v>3</v>
      </c>
      <c r="H19" t="n">
        <v>1</v>
      </c>
      <c r="I19" t="n">
        <v>1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5</v>
      </c>
      <c r="R19" s="2" t="inlineStr">
        <is>
          <t>Garnlav
Harticka
Skrovellav
Tretåig hackspett
Luddlav</t>
        </is>
      </c>
      <c r="S19">
        <f>HYPERLINK("https://klasma.github.io/Logging_2425/artfynd/A 54047-2023 artfynd.xlsx", "A 54047-2023")</f>
        <v/>
      </c>
      <c r="T19">
        <f>HYPERLINK("https://klasma.github.io/Logging_2425/kartor/A 54047-2023 karta.png", "A 54047-2023")</f>
        <v/>
      </c>
      <c r="V19">
        <f>HYPERLINK("https://klasma.github.io/Logging_2425/klagomål/A 54047-2023 FSC-klagomål.docx", "A 54047-2023")</f>
        <v/>
      </c>
      <c r="W19">
        <f>HYPERLINK("https://klasma.github.io/Logging_2425/klagomålsmail/A 54047-2023 FSC-klagomål mail.docx", "A 54047-2023")</f>
        <v/>
      </c>
      <c r="X19">
        <f>HYPERLINK("https://klasma.github.io/Logging_2425/tillsyn/A 54047-2023 tillsynsbegäran.docx", "A 54047-2023")</f>
        <v/>
      </c>
      <c r="Y19">
        <f>HYPERLINK("https://klasma.github.io/Logging_2425/tillsynsmail/A 54047-2023 tillsynsbegäran mail.docx", "A 54047-2023")</f>
        <v/>
      </c>
      <c r="Z19">
        <f>HYPERLINK("https://klasma.github.io/Logging_2425/fåglar/A 54047-2023 prioriterade fågelarter.docx", "A 54047-2023")</f>
        <v/>
      </c>
    </row>
    <row r="20" ht="15" customHeight="1">
      <c r="A20" t="inlineStr">
        <is>
          <t>A 8853-2024</t>
        </is>
      </c>
      <c r="B20" s="1" t="n">
        <v>45356</v>
      </c>
      <c r="C20" s="1" t="n">
        <v>45702</v>
      </c>
      <c r="D20" t="inlineStr">
        <is>
          <t>VÄSTERBOTTENS LÄN</t>
        </is>
      </c>
      <c r="E20" t="inlineStr">
        <is>
          <t>DOROTEA</t>
        </is>
      </c>
      <c r="G20" t="n">
        <v>1.9</v>
      </c>
      <c r="H20" t="n">
        <v>1</v>
      </c>
      <c r="I20" t="n">
        <v>2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5</v>
      </c>
      <c r="R20" s="2" t="inlineStr">
        <is>
          <t>Garnlav
Vitgrynig nållav
Luddlav
Stuplav
Kungsfågel</t>
        </is>
      </c>
      <c r="S20">
        <f>HYPERLINK("https://klasma.github.io/Logging_2425/artfynd/A 8853-2024 artfynd.xlsx", "A 8853-2024")</f>
        <v/>
      </c>
      <c r="T20">
        <f>HYPERLINK("https://klasma.github.io/Logging_2425/kartor/A 8853-2024 karta.png", "A 8853-2024")</f>
        <v/>
      </c>
      <c r="V20">
        <f>HYPERLINK("https://klasma.github.io/Logging_2425/klagomål/A 8853-2024 FSC-klagomål.docx", "A 8853-2024")</f>
        <v/>
      </c>
      <c r="W20">
        <f>HYPERLINK("https://klasma.github.io/Logging_2425/klagomålsmail/A 8853-2024 FSC-klagomål mail.docx", "A 8853-2024")</f>
        <v/>
      </c>
      <c r="X20">
        <f>HYPERLINK("https://klasma.github.io/Logging_2425/tillsyn/A 8853-2024 tillsynsbegäran.docx", "A 8853-2024")</f>
        <v/>
      </c>
      <c r="Y20">
        <f>HYPERLINK("https://klasma.github.io/Logging_2425/tillsynsmail/A 8853-2024 tillsynsbegäran mail.docx", "A 8853-2024")</f>
        <v/>
      </c>
      <c r="Z20">
        <f>HYPERLINK("https://klasma.github.io/Logging_2425/fåglar/A 8853-2024 prioriterade fågelarter.docx", "A 8853-2024")</f>
        <v/>
      </c>
    </row>
    <row r="21" ht="15" customHeight="1">
      <c r="A21" t="inlineStr">
        <is>
          <t>A 11338-2024</t>
        </is>
      </c>
      <c r="B21" s="1" t="n">
        <v>45372</v>
      </c>
      <c r="C21" s="1" t="n">
        <v>45702</v>
      </c>
      <c r="D21" t="inlineStr">
        <is>
          <t>VÄSTERBOTTENS LÄN</t>
        </is>
      </c>
      <c r="E21" t="inlineStr">
        <is>
          <t>DOROTEA</t>
        </is>
      </c>
      <c r="F21" t="inlineStr">
        <is>
          <t>SCA</t>
        </is>
      </c>
      <c r="G21" t="n">
        <v>15.3</v>
      </c>
      <c r="H21" t="n">
        <v>1</v>
      </c>
      <c r="I21" t="n">
        <v>3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5</v>
      </c>
      <c r="R21" s="2" t="inlineStr">
        <is>
          <t>Granticka
Lunglav
Spindelblomster
Stuplav
Tibast</t>
        </is>
      </c>
      <c r="S21">
        <f>HYPERLINK("https://klasma.github.io/Logging_2425/artfynd/A 11338-2024 artfynd.xlsx", "A 11338-2024")</f>
        <v/>
      </c>
      <c r="T21">
        <f>HYPERLINK("https://klasma.github.io/Logging_2425/kartor/A 11338-2024 karta.png", "A 11338-2024")</f>
        <v/>
      </c>
      <c r="V21">
        <f>HYPERLINK("https://klasma.github.io/Logging_2425/klagomål/A 11338-2024 FSC-klagomål.docx", "A 11338-2024")</f>
        <v/>
      </c>
      <c r="W21">
        <f>HYPERLINK("https://klasma.github.io/Logging_2425/klagomålsmail/A 11338-2024 FSC-klagomål mail.docx", "A 11338-2024")</f>
        <v/>
      </c>
      <c r="X21">
        <f>HYPERLINK("https://klasma.github.io/Logging_2425/tillsyn/A 11338-2024 tillsynsbegäran.docx", "A 11338-2024")</f>
        <v/>
      </c>
      <c r="Y21">
        <f>HYPERLINK("https://klasma.github.io/Logging_2425/tillsynsmail/A 11338-2024 tillsynsbegäran mail.docx", "A 11338-2024")</f>
        <v/>
      </c>
    </row>
    <row r="22" ht="15" customHeight="1">
      <c r="A22" t="inlineStr">
        <is>
          <t>A 22947-2024</t>
        </is>
      </c>
      <c r="B22" s="1" t="n">
        <v>45448</v>
      </c>
      <c r="C22" s="1" t="n">
        <v>45702</v>
      </c>
      <c r="D22" t="inlineStr">
        <is>
          <t>VÄSTERBOTTENS LÄN</t>
        </is>
      </c>
      <c r="E22" t="inlineStr">
        <is>
          <t>DOROTEA</t>
        </is>
      </c>
      <c r="F22" t="inlineStr">
        <is>
          <t>SCA</t>
        </is>
      </c>
      <c r="G22" t="n">
        <v>6.7</v>
      </c>
      <c r="H22" t="n">
        <v>0</v>
      </c>
      <c r="I22" t="n">
        <v>1</v>
      </c>
      <c r="J22" t="n">
        <v>4</v>
      </c>
      <c r="K22" t="n">
        <v>0</v>
      </c>
      <c r="L22" t="n">
        <v>0</v>
      </c>
      <c r="M22" t="n">
        <v>0</v>
      </c>
      <c r="N22" t="n">
        <v>0</v>
      </c>
      <c r="O22" t="n">
        <v>4</v>
      </c>
      <c r="P22" t="n">
        <v>0</v>
      </c>
      <c r="Q22" t="n">
        <v>5</v>
      </c>
      <c r="R22" s="2" t="inlineStr">
        <is>
          <t>Doftskinn
Gränsticka
Lunglav
Skrovellav
Stuplav</t>
        </is>
      </c>
      <c r="S22">
        <f>HYPERLINK("https://klasma.github.io/Logging_2425/artfynd/A 22947-2024 artfynd.xlsx", "A 22947-2024")</f>
        <v/>
      </c>
      <c r="T22">
        <f>HYPERLINK("https://klasma.github.io/Logging_2425/kartor/A 22947-2024 karta.png", "A 22947-2024")</f>
        <v/>
      </c>
      <c r="V22">
        <f>HYPERLINK("https://klasma.github.io/Logging_2425/klagomål/A 22947-2024 FSC-klagomål.docx", "A 22947-2024")</f>
        <v/>
      </c>
      <c r="W22">
        <f>HYPERLINK("https://klasma.github.io/Logging_2425/klagomålsmail/A 22947-2024 FSC-klagomål mail.docx", "A 22947-2024")</f>
        <v/>
      </c>
      <c r="X22">
        <f>HYPERLINK("https://klasma.github.io/Logging_2425/tillsyn/A 22947-2024 tillsynsbegäran.docx", "A 22947-2024")</f>
        <v/>
      </c>
      <c r="Y22">
        <f>HYPERLINK("https://klasma.github.io/Logging_2425/tillsynsmail/A 22947-2024 tillsynsbegäran mail.docx", "A 22947-2024")</f>
        <v/>
      </c>
    </row>
    <row r="23" ht="15" customHeight="1">
      <c r="A23" t="inlineStr">
        <is>
          <t>A 60124-2021</t>
        </is>
      </c>
      <c r="B23" s="1" t="n">
        <v>44494</v>
      </c>
      <c r="C23" s="1" t="n">
        <v>45702</v>
      </c>
      <c r="D23" t="inlineStr">
        <is>
          <t>VÄSTERBOTTENS LÄN</t>
        </is>
      </c>
      <c r="E23" t="inlineStr">
        <is>
          <t>DOROTEA</t>
        </is>
      </c>
      <c r="G23" t="n">
        <v>22.6</v>
      </c>
      <c r="H23" t="n">
        <v>0</v>
      </c>
      <c r="I23" t="n">
        <v>2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4</v>
      </c>
      <c r="R23" s="2" t="inlineStr">
        <is>
          <t>Harticka
Lunglav
Stuplav
Trådticka</t>
        </is>
      </c>
      <c r="S23">
        <f>HYPERLINK("https://klasma.github.io/Logging_2425/artfynd/A 60124-2021 artfynd.xlsx", "A 60124-2021")</f>
        <v/>
      </c>
      <c r="T23">
        <f>HYPERLINK("https://klasma.github.io/Logging_2425/kartor/A 60124-2021 karta.png", "A 60124-2021")</f>
        <v/>
      </c>
      <c r="V23">
        <f>HYPERLINK("https://klasma.github.io/Logging_2425/klagomål/A 60124-2021 FSC-klagomål.docx", "A 60124-2021")</f>
        <v/>
      </c>
      <c r="W23">
        <f>HYPERLINK("https://klasma.github.io/Logging_2425/klagomålsmail/A 60124-2021 FSC-klagomål mail.docx", "A 60124-2021")</f>
        <v/>
      </c>
      <c r="X23">
        <f>HYPERLINK("https://klasma.github.io/Logging_2425/tillsyn/A 60124-2021 tillsynsbegäran.docx", "A 60124-2021")</f>
        <v/>
      </c>
      <c r="Y23">
        <f>HYPERLINK("https://klasma.github.io/Logging_2425/tillsynsmail/A 60124-2021 tillsynsbegäran mail.docx", "A 60124-2021")</f>
        <v/>
      </c>
    </row>
    <row r="24" ht="15" customHeight="1">
      <c r="A24" t="inlineStr">
        <is>
          <t>A 4828-2023</t>
        </is>
      </c>
      <c r="B24" s="1" t="n">
        <v>44957</v>
      </c>
      <c r="C24" s="1" t="n">
        <v>45702</v>
      </c>
      <c r="D24" t="inlineStr">
        <is>
          <t>VÄSTERBOTTENS LÄN</t>
        </is>
      </c>
      <c r="E24" t="inlineStr">
        <is>
          <t>DOROTEA</t>
        </is>
      </c>
      <c r="G24" t="n">
        <v>8</v>
      </c>
      <c r="H24" t="n">
        <v>1</v>
      </c>
      <c r="I24" t="n">
        <v>1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4</v>
      </c>
      <c r="R24" s="2" t="inlineStr">
        <is>
          <t>Garnlav
Granticka
Vitgrynig nållav
Spindelblomster</t>
        </is>
      </c>
      <c r="S24">
        <f>HYPERLINK("https://klasma.github.io/Logging_2425/artfynd/A 4828-2023 artfynd.xlsx", "A 4828-2023")</f>
        <v/>
      </c>
      <c r="T24">
        <f>HYPERLINK("https://klasma.github.io/Logging_2425/kartor/A 4828-2023 karta.png", "A 4828-2023")</f>
        <v/>
      </c>
      <c r="V24">
        <f>HYPERLINK("https://klasma.github.io/Logging_2425/klagomål/A 4828-2023 FSC-klagomål.docx", "A 4828-2023")</f>
        <v/>
      </c>
      <c r="W24">
        <f>HYPERLINK("https://klasma.github.io/Logging_2425/klagomålsmail/A 4828-2023 FSC-klagomål mail.docx", "A 4828-2023")</f>
        <v/>
      </c>
      <c r="X24">
        <f>HYPERLINK("https://klasma.github.io/Logging_2425/tillsyn/A 4828-2023 tillsynsbegäran.docx", "A 4828-2023")</f>
        <v/>
      </c>
      <c r="Y24">
        <f>HYPERLINK("https://klasma.github.io/Logging_2425/tillsynsmail/A 4828-2023 tillsynsbegäran mail.docx", "A 4828-2023")</f>
        <v/>
      </c>
    </row>
    <row r="25" ht="15" customHeight="1">
      <c r="A25" t="inlineStr">
        <is>
          <t>A 23555-2024</t>
        </is>
      </c>
      <c r="B25" s="1" t="n">
        <v>45453</v>
      </c>
      <c r="C25" s="1" t="n">
        <v>45702</v>
      </c>
      <c r="D25" t="inlineStr">
        <is>
          <t>VÄSTERBOTTENS LÄN</t>
        </is>
      </c>
      <c r="E25" t="inlineStr">
        <is>
          <t>DOROTEA</t>
        </is>
      </c>
      <c r="F25" t="inlineStr">
        <is>
          <t>SCA</t>
        </is>
      </c>
      <c r="G25" t="n">
        <v>16.3</v>
      </c>
      <c r="H25" t="n">
        <v>3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4</v>
      </c>
      <c r="R25" s="2" t="inlineStr">
        <is>
          <t>Garnlav
Spindelblomster
Vanlig groda
Fläcknycklar</t>
        </is>
      </c>
      <c r="S25">
        <f>HYPERLINK("https://klasma.github.io/Logging_2425/artfynd/A 23555-2024 artfynd.xlsx", "A 23555-2024")</f>
        <v/>
      </c>
      <c r="T25">
        <f>HYPERLINK("https://klasma.github.io/Logging_2425/kartor/A 23555-2024 karta.png", "A 23555-2024")</f>
        <v/>
      </c>
      <c r="V25">
        <f>HYPERLINK("https://klasma.github.io/Logging_2425/klagomål/A 23555-2024 FSC-klagomål.docx", "A 23555-2024")</f>
        <v/>
      </c>
      <c r="W25">
        <f>HYPERLINK("https://klasma.github.io/Logging_2425/klagomålsmail/A 23555-2024 FSC-klagomål mail.docx", "A 23555-2024")</f>
        <v/>
      </c>
      <c r="X25">
        <f>HYPERLINK("https://klasma.github.io/Logging_2425/tillsyn/A 23555-2024 tillsynsbegäran.docx", "A 23555-2024")</f>
        <v/>
      </c>
      <c r="Y25">
        <f>HYPERLINK("https://klasma.github.io/Logging_2425/tillsynsmail/A 23555-2024 tillsynsbegäran mail.docx", "A 23555-2024")</f>
        <v/>
      </c>
    </row>
    <row r="26" ht="15" customHeight="1">
      <c r="A26" t="inlineStr">
        <is>
          <t>A 51376-2020</t>
        </is>
      </c>
      <c r="B26" s="1" t="n">
        <v>44112</v>
      </c>
      <c r="C26" s="1" t="n">
        <v>45702</v>
      </c>
      <c r="D26" t="inlineStr">
        <is>
          <t>VÄSTERBOTTENS LÄN</t>
        </is>
      </c>
      <c r="E26" t="inlineStr">
        <is>
          <t>DOROTEA</t>
        </is>
      </c>
      <c r="F26" t="inlineStr">
        <is>
          <t>SCA</t>
        </is>
      </c>
      <c r="G26" t="n">
        <v>8</v>
      </c>
      <c r="H26" t="n">
        <v>0</v>
      </c>
      <c r="I26" t="n">
        <v>0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3</v>
      </c>
      <c r="R26" s="2" t="inlineStr">
        <is>
          <t>Granticka
Harticka
Knottrig blåslav</t>
        </is>
      </c>
      <c r="S26">
        <f>HYPERLINK("https://klasma.github.io/Logging_2425/artfynd/A 51376-2020 artfynd.xlsx", "A 51376-2020")</f>
        <v/>
      </c>
      <c r="T26">
        <f>HYPERLINK("https://klasma.github.io/Logging_2425/kartor/A 51376-2020 karta.png", "A 51376-2020")</f>
        <v/>
      </c>
      <c r="V26">
        <f>HYPERLINK("https://klasma.github.io/Logging_2425/klagomål/A 51376-2020 FSC-klagomål.docx", "A 51376-2020")</f>
        <v/>
      </c>
      <c r="W26">
        <f>HYPERLINK("https://klasma.github.io/Logging_2425/klagomålsmail/A 51376-2020 FSC-klagomål mail.docx", "A 51376-2020")</f>
        <v/>
      </c>
      <c r="X26">
        <f>HYPERLINK("https://klasma.github.io/Logging_2425/tillsyn/A 51376-2020 tillsynsbegäran.docx", "A 51376-2020")</f>
        <v/>
      </c>
      <c r="Y26">
        <f>HYPERLINK("https://klasma.github.io/Logging_2425/tillsynsmail/A 51376-2020 tillsynsbegäran mail.docx", "A 51376-2020")</f>
        <v/>
      </c>
    </row>
    <row r="27" ht="15" customHeight="1">
      <c r="A27" t="inlineStr">
        <is>
          <t>A 21672-2023</t>
        </is>
      </c>
      <c r="B27" s="1" t="n">
        <v>45063</v>
      </c>
      <c r="C27" s="1" t="n">
        <v>45702</v>
      </c>
      <c r="D27" t="inlineStr">
        <is>
          <t>VÄSTERBOTTENS LÄN</t>
        </is>
      </c>
      <c r="E27" t="inlineStr">
        <is>
          <t>DOROTEA</t>
        </is>
      </c>
      <c r="F27" t="inlineStr">
        <is>
          <t>SCA</t>
        </is>
      </c>
      <c r="G27" t="n">
        <v>7.4</v>
      </c>
      <c r="H27" t="n">
        <v>0</v>
      </c>
      <c r="I27" t="n">
        <v>0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3</v>
      </c>
      <c r="R27" s="2" t="inlineStr">
        <is>
          <t>Doftskinn
Skrovellav
Ullticka</t>
        </is>
      </c>
      <c r="S27">
        <f>HYPERLINK("https://klasma.github.io/Logging_2425/artfynd/A 21672-2023 artfynd.xlsx", "A 21672-2023")</f>
        <v/>
      </c>
      <c r="T27">
        <f>HYPERLINK("https://klasma.github.io/Logging_2425/kartor/A 21672-2023 karta.png", "A 21672-2023")</f>
        <v/>
      </c>
      <c r="V27">
        <f>HYPERLINK("https://klasma.github.io/Logging_2425/klagomål/A 21672-2023 FSC-klagomål.docx", "A 21672-2023")</f>
        <v/>
      </c>
      <c r="W27">
        <f>HYPERLINK("https://klasma.github.io/Logging_2425/klagomålsmail/A 21672-2023 FSC-klagomål mail.docx", "A 21672-2023")</f>
        <v/>
      </c>
      <c r="X27">
        <f>HYPERLINK("https://klasma.github.io/Logging_2425/tillsyn/A 21672-2023 tillsynsbegäran.docx", "A 21672-2023")</f>
        <v/>
      </c>
      <c r="Y27">
        <f>HYPERLINK("https://klasma.github.io/Logging_2425/tillsynsmail/A 21672-2023 tillsynsbegäran mail.docx", "A 21672-2023")</f>
        <v/>
      </c>
    </row>
    <row r="28" ht="15" customHeight="1">
      <c r="A28" t="inlineStr">
        <is>
          <t>A 47496-2023</t>
        </is>
      </c>
      <c r="B28" s="1" t="n">
        <v>45202</v>
      </c>
      <c r="C28" s="1" t="n">
        <v>45702</v>
      </c>
      <c r="D28" t="inlineStr">
        <is>
          <t>VÄSTERBOTTENS LÄN</t>
        </is>
      </c>
      <c r="E28" t="inlineStr">
        <is>
          <t>DOROTEA</t>
        </is>
      </c>
      <c r="F28" t="inlineStr">
        <is>
          <t>SCA</t>
        </is>
      </c>
      <c r="G28" t="n">
        <v>7.4</v>
      </c>
      <c r="H28" t="n">
        <v>1</v>
      </c>
      <c r="I28" t="n">
        <v>0</v>
      </c>
      <c r="J28" t="n">
        <v>2</v>
      </c>
      <c r="K28" t="n">
        <v>1</v>
      </c>
      <c r="L28" t="n">
        <v>0</v>
      </c>
      <c r="M28" t="n">
        <v>0</v>
      </c>
      <c r="N28" t="n">
        <v>0</v>
      </c>
      <c r="O28" t="n">
        <v>3</v>
      </c>
      <c r="P28" t="n">
        <v>1</v>
      </c>
      <c r="Q28" t="n">
        <v>3</v>
      </c>
      <c r="R28" s="2" t="inlineStr">
        <is>
          <t>Aspgelélav
Gammelgransskål
Tretåig hackspett</t>
        </is>
      </c>
      <c r="S28">
        <f>HYPERLINK("https://klasma.github.io/Logging_2425/artfynd/A 47496-2023 artfynd.xlsx", "A 47496-2023")</f>
        <v/>
      </c>
      <c r="T28">
        <f>HYPERLINK("https://klasma.github.io/Logging_2425/kartor/A 47496-2023 karta.png", "A 47496-2023")</f>
        <v/>
      </c>
      <c r="V28">
        <f>HYPERLINK("https://klasma.github.io/Logging_2425/klagomål/A 47496-2023 FSC-klagomål.docx", "A 47496-2023")</f>
        <v/>
      </c>
      <c r="W28">
        <f>HYPERLINK("https://klasma.github.io/Logging_2425/klagomålsmail/A 47496-2023 FSC-klagomål mail.docx", "A 47496-2023")</f>
        <v/>
      </c>
      <c r="X28">
        <f>HYPERLINK("https://klasma.github.io/Logging_2425/tillsyn/A 47496-2023 tillsynsbegäran.docx", "A 47496-2023")</f>
        <v/>
      </c>
      <c r="Y28">
        <f>HYPERLINK("https://klasma.github.io/Logging_2425/tillsynsmail/A 47496-2023 tillsynsbegäran mail.docx", "A 47496-2023")</f>
        <v/>
      </c>
      <c r="Z28">
        <f>HYPERLINK("https://klasma.github.io/Logging_2425/fåglar/A 47496-2023 prioriterade fågelarter.docx", "A 47496-2023")</f>
        <v/>
      </c>
    </row>
    <row r="29" ht="15" customHeight="1">
      <c r="A29" t="inlineStr">
        <is>
          <t>A 65569-2019</t>
        </is>
      </c>
      <c r="B29" s="1" t="n">
        <v>43803</v>
      </c>
      <c r="C29" s="1" t="n">
        <v>45702</v>
      </c>
      <c r="D29" t="inlineStr">
        <is>
          <t>VÄSTERBOTTENS LÄN</t>
        </is>
      </c>
      <c r="E29" t="inlineStr">
        <is>
          <t>DOROTEA</t>
        </is>
      </c>
      <c r="F29" t="inlineStr">
        <is>
          <t>SCA</t>
        </is>
      </c>
      <c r="G29" t="n">
        <v>5.1</v>
      </c>
      <c r="H29" t="n">
        <v>0</v>
      </c>
      <c r="I29" t="n">
        <v>0</v>
      </c>
      <c r="J29" t="n">
        <v>1</v>
      </c>
      <c r="K29" t="n">
        <v>0</v>
      </c>
      <c r="L29" t="n">
        <v>1</v>
      </c>
      <c r="M29" t="n">
        <v>0</v>
      </c>
      <c r="N29" t="n">
        <v>0</v>
      </c>
      <c r="O29" t="n">
        <v>2</v>
      </c>
      <c r="P29" t="n">
        <v>1</v>
      </c>
      <c r="Q29" t="n">
        <v>2</v>
      </c>
      <c r="R29" s="2" t="inlineStr">
        <is>
          <t>Raggtaggsvamp
Knottrig blåslav</t>
        </is>
      </c>
      <c r="S29">
        <f>HYPERLINK("https://klasma.github.io/Logging_2425/artfynd/A 65569-2019 artfynd.xlsx", "A 65569-2019")</f>
        <v/>
      </c>
      <c r="T29">
        <f>HYPERLINK("https://klasma.github.io/Logging_2425/kartor/A 65569-2019 karta.png", "A 65569-2019")</f>
        <v/>
      </c>
      <c r="V29">
        <f>HYPERLINK("https://klasma.github.io/Logging_2425/klagomål/A 65569-2019 FSC-klagomål.docx", "A 65569-2019")</f>
        <v/>
      </c>
      <c r="W29">
        <f>HYPERLINK("https://klasma.github.io/Logging_2425/klagomålsmail/A 65569-2019 FSC-klagomål mail.docx", "A 65569-2019")</f>
        <v/>
      </c>
      <c r="X29">
        <f>HYPERLINK("https://klasma.github.io/Logging_2425/tillsyn/A 65569-2019 tillsynsbegäran.docx", "A 65569-2019")</f>
        <v/>
      </c>
      <c r="Y29">
        <f>HYPERLINK("https://klasma.github.io/Logging_2425/tillsynsmail/A 65569-2019 tillsynsbegäran mail.docx", "A 65569-2019")</f>
        <v/>
      </c>
    </row>
    <row r="30" ht="15" customHeight="1">
      <c r="A30" t="inlineStr">
        <is>
          <t>A 65564-2019</t>
        </is>
      </c>
      <c r="B30" s="1" t="n">
        <v>43803</v>
      </c>
      <c r="C30" s="1" t="n">
        <v>45702</v>
      </c>
      <c r="D30" t="inlineStr">
        <is>
          <t>VÄSTERBOTTENS LÄN</t>
        </is>
      </c>
      <c r="E30" t="inlineStr">
        <is>
          <t>DOROTEA</t>
        </is>
      </c>
      <c r="F30" t="inlineStr">
        <is>
          <t>SCA</t>
        </is>
      </c>
      <c r="G30" t="n">
        <v>6.6</v>
      </c>
      <c r="H30" t="n">
        <v>0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Doftskinn
Knottrig blåslav</t>
        </is>
      </c>
      <c r="S30">
        <f>HYPERLINK("https://klasma.github.io/Logging_2425/artfynd/A 65564-2019 artfynd.xlsx", "A 65564-2019")</f>
        <v/>
      </c>
      <c r="T30">
        <f>HYPERLINK("https://klasma.github.io/Logging_2425/kartor/A 65564-2019 karta.png", "A 65564-2019")</f>
        <v/>
      </c>
      <c r="V30">
        <f>HYPERLINK("https://klasma.github.io/Logging_2425/klagomål/A 65564-2019 FSC-klagomål.docx", "A 65564-2019")</f>
        <v/>
      </c>
      <c r="W30">
        <f>HYPERLINK("https://klasma.github.io/Logging_2425/klagomålsmail/A 65564-2019 FSC-klagomål mail.docx", "A 65564-2019")</f>
        <v/>
      </c>
      <c r="X30">
        <f>HYPERLINK("https://klasma.github.io/Logging_2425/tillsyn/A 65564-2019 tillsynsbegäran.docx", "A 65564-2019")</f>
        <v/>
      </c>
      <c r="Y30">
        <f>HYPERLINK("https://klasma.github.io/Logging_2425/tillsynsmail/A 65564-2019 tillsynsbegäran mail.docx", "A 65564-2019")</f>
        <v/>
      </c>
    </row>
    <row r="31" ht="15" customHeight="1">
      <c r="A31" t="inlineStr">
        <is>
          <t>A 20878-2020</t>
        </is>
      </c>
      <c r="B31" s="1" t="n">
        <v>43949</v>
      </c>
      <c r="C31" s="1" t="n">
        <v>45702</v>
      </c>
      <c r="D31" t="inlineStr">
        <is>
          <t>VÄSTERBOTTENS LÄN</t>
        </is>
      </c>
      <c r="E31" t="inlineStr">
        <is>
          <t>DOROTEA</t>
        </is>
      </c>
      <c r="G31" t="n">
        <v>8.800000000000001</v>
      </c>
      <c r="H31" t="n">
        <v>0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Garnlav
Granticka</t>
        </is>
      </c>
      <c r="S31">
        <f>HYPERLINK("https://klasma.github.io/Logging_2425/artfynd/A 20878-2020 artfynd.xlsx", "A 20878-2020")</f>
        <v/>
      </c>
      <c r="T31">
        <f>HYPERLINK("https://klasma.github.io/Logging_2425/kartor/A 20878-2020 karta.png", "A 20878-2020")</f>
        <v/>
      </c>
      <c r="V31">
        <f>HYPERLINK("https://klasma.github.io/Logging_2425/klagomål/A 20878-2020 FSC-klagomål.docx", "A 20878-2020")</f>
        <v/>
      </c>
      <c r="W31">
        <f>HYPERLINK("https://klasma.github.io/Logging_2425/klagomålsmail/A 20878-2020 FSC-klagomål mail.docx", "A 20878-2020")</f>
        <v/>
      </c>
      <c r="X31">
        <f>HYPERLINK("https://klasma.github.io/Logging_2425/tillsyn/A 20878-2020 tillsynsbegäran.docx", "A 20878-2020")</f>
        <v/>
      </c>
      <c r="Y31">
        <f>HYPERLINK("https://klasma.github.io/Logging_2425/tillsynsmail/A 20878-2020 tillsynsbegäran mail.docx", "A 20878-2020")</f>
        <v/>
      </c>
    </row>
    <row r="32" ht="15" customHeight="1">
      <c r="A32" t="inlineStr">
        <is>
          <t>A 58736-2022</t>
        </is>
      </c>
      <c r="B32" s="1" t="n">
        <v>44902</v>
      </c>
      <c r="C32" s="1" t="n">
        <v>45702</v>
      </c>
      <c r="D32" t="inlineStr">
        <is>
          <t>VÄSTERBOTTENS LÄN</t>
        </is>
      </c>
      <c r="E32" t="inlineStr">
        <is>
          <t>DOROTEA</t>
        </is>
      </c>
      <c r="F32" t="inlineStr">
        <is>
          <t>SCA</t>
        </is>
      </c>
      <c r="G32" t="n">
        <v>3.4</v>
      </c>
      <c r="H32" t="n">
        <v>0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Lunglav
Skrovellav</t>
        </is>
      </c>
      <c r="S32">
        <f>HYPERLINK("https://klasma.github.io/Logging_2425/artfynd/A 58736-2022 artfynd.xlsx", "A 58736-2022")</f>
        <v/>
      </c>
      <c r="T32">
        <f>HYPERLINK("https://klasma.github.io/Logging_2425/kartor/A 58736-2022 karta.png", "A 58736-2022")</f>
        <v/>
      </c>
      <c r="V32">
        <f>HYPERLINK("https://klasma.github.io/Logging_2425/klagomål/A 58736-2022 FSC-klagomål.docx", "A 58736-2022")</f>
        <v/>
      </c>
      <c r="W32">
        <f>HYPERLINK("https://klasma.github.io/Logging_2425/klagomålsmail/A 58736-2022 FSC-klagomål mail.docx", "A 58736-2022")</f>
        <v/>
      </c>
      <c r="X32">
        <f>HYPERLINK("https://klasma.github.io/Logging_2425/tillsyn/A 58736-2022 tillsynsbegäran.docx", "A 58736-2022")</f>
        <v/>
      </c>
      <c r="Y32">
        <f>HYPERLINK("https://klasma.github.io/Logging_2425/tillsynsmail/A 58736-2022 tillsynsbegäran mail.docx", "A 58736-2022")</f>
        <v/>
      </c>
    </row>
    <row r="33" ht="15" customHeight="1">
      <c r="A33" t="inlineStr">
        <is>
          <t>A 33663-2023</t>
        </is>
      </c>
      <c r="B33" s="1" t="n">
        <v>45119</v>
      </c>
      <c r="C33" s="1" t="n">
        <v>45702</v>
      </c>
      <c r="D33" t="inlineStr">
        <is>
          <t>VÄSTERBOTTENS LÄN</t>
        </is>
      </c>
      <c r="E33" t="inlineStr">
        <is>
          <t>DOROTEA</t>
        </is>
      </c>
      <c r="F33" t="inlineStr">
        <is>
          <t>Allmännings- och besparingsskogar</t>
        </is>
      </c>
      <c r="G33" t="n">
        <v>2.6</v>
      </c>
      <c r="H33" t="n">
        <v>0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Garnlav
Harticka</t>
        </is>
      </c>
      <c r="S33">
        <f>HYPERLINK("https://klasma.github.io/Logging_2425/artfynd/A 33663-2023 artfynd.xlsx", "A 33663-2023")</f>
        <v/>
      </c>
      <c r="T33">
        <f>HYPERLINK("https://klasma.github.io/Logging_2425/kartor/A 33663-2023 karta.png", "A 33663-2023")</f>
        <v/>
      </c>
      <c r="V33">
        <f>HYPERLINK("https://klasma.github.io/Logging_2425/klagomål/A 33663-2023 FSC-klagomål.docx", "A 33663-2023")</f>
        <v/>
      </c>
      <c r="W33">
        <f>HYPERLINK("https://klasma.github.io/Logging_2425/klagomålsmail/A 33663-2023 FSC-klagomål mail.docx", "A 33663-2023")</f>
        <v/>
      </c>
      <c r="X33">
        <f>HYPERLINK("https://klasma.github.io/Logging_2425/tillsyn/A 33663-2023 tillsynsbegäran.docx", "A 33663-2023")</f>
        <v/>
      </c>
      <c r="Y33">
        <f>HYPERLINK("https://klasma.github.io/Logging_2425/tillsynsmail/A 33663-2023 tillsynsbegäran mail.docx", "A 33663-2023")</f>
        <v/>
      </c>
    </row>
    <row r="34" ht="15" customHeight="1">
      <c r="A34" t="inlineStr">
        <is>
          <t>A 35988-2023</t>
        </is>
      </c>
      <c r="B34" s="1" t="n">
        <v>45148</v>
      </c>
      <c r="C34" s="1" t="n">
        <v>45702</v>
      </c>
      <c r="D34" t="inlineStr">
        <is>
          <t>VÄSTERBOTTENS LÄN</t>
        </is>
      </c>
      <c r="E34" t="inlineStr">
        <is>
          <t>DOROTEA</t>
        </is>
      </c>
      <c r="F34" t="inlineStr">
        <is>
          <t>SCA</t>
        </is>
      </c>
      <c r="G34" t="n">
        <v>14.1</v>
      </c>
      <c r="H34" t="n">
        <v>0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Luddfingersvamp
Ögonpyrola</t>
        </is>
      </c>
      <c r="S34">
        <f>HYPERLINK("https://klasma.github.io/Logging_2425/artfynd/A 35988-2023 artfynd.xlsx", "A 35988-2023")</f>
        <v/>
      </c>
      <c r="T34">
        <f>HYPERLINK("https://klasma.github.io/Logging_2425/kartor/A 35988-2023 karta.png", "A 35988-2023")</f>
        <v/>
      </c>
      <c r="V34">
        <f>HYPERLINK("https://klasma.github.io/Logging_2425/klagomål/A 35988-2023 FSC-klagomål.docx", "A 35988-2023")</f>
        <v/>
      </c>
      <c r="W34">
        <f>HYPERLINK("https://klasma.github.io/Logging_2425/klagomålsmail/A 35988-2023 FSC-klagomål mail.docx", "A 35988-2023")</f>
        <v/>
      </c>
      <c r="X34">
        <f>HYPERLINK("https://klasma.github.io/Logging_2425/tillsyn/A 35988-2023 tillsynsbegäran.docx", "A 35988-2023")</f>
        <v/>
      </c>
      <c r="Y34">
        <f>HYPERLINK("https://klasma.github.io/Logging_2425/tillsynsmail/A 35988-2023 tillsynsbegäran mail.docx", "A 35988-2023")</f>
        <v/>
      </c>
    </row>
    <row r="35" ht="15" customHeight="1">
      <c r="A35" t="inlineStr">
        <is>
          <t>A 37542-2023</t>
        </is>
      </c>
      <c r="B35" s="1" t="n">
        <v>45158</v>
      </c>
      <c r="C35" s="1" t="n">
        <v>45702</v>
      </c>
      <c r="D35" t="inlineStr">
        <is>
          <t>VÄSTERBOTTENS LÄN</t>
        </is>
      </c>
      <c r="E35" t="inlineStr">
        <is>
          <t>DOROTEA</t>
        </is>
      </c>
      <c r="F35" t="inlineStr">
        <is>
          <t>SCA</t>
        </is>
      </c>
      <c r="G35" t="n">
        <v>12</v>
      </c>
      <c r="H35" t="n">
        <v>0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Lunglav
Tibast</t>
        </is>
      </c>
      <c r="S35">
        <f>HYPERLINK("https://klasma.github.io/Logging_2425/artfynd/A 37542-2023 artfynd.xlsx", "A 37542-2023")</f>
        <v/>
      </c>
      <c r="T35">
        <f>HYPERLINK("https://klasma.github.io/Logging_2425/kartor/A 37542-2023 karta.png", "A 37542-2023")</f>
        <v/>
      </c>
      <c r="V35">
        <f>HYPERLINK("https://klasma.github.io/Logging_2425/klagomål/A 37542-2023 FSC-klagomål.docx", "A 37542-2023")</f>
        <v/>
      </c>
      <c r="W35">
        <f>HYPERLINK("https://klasma.github.io/Logging_2425/klagomålsmail/A 37542-2023 FSC-klagomål mail.docx", "A 37542-2023")</f>
        <v/>
      </c>
      <c r="X35">
        <f>HYPERLINK("https://klasma.github.io/Logging_2425/tillsyn/A 37542-2023 tillsynsbegäran.docx", "A 37542-2023")</f>
        <v/>
      </c>
      <c r="Y35">
        <f>HYPERLINK("https://klasma.github.io/Logging_2425/tillsynsmail/A 37542-2023 tillsynsbegäran mail.docx", "A 37542-2023")</f>
        <v/>
      </c>
    </row>
    <row r="36" ht="15" customHeight="1">
      <c r="A36" t="inlineStr">
        <is>
          <t>A 52738-2023</t>
        </is>
      </c>
      <c r="B36" s="1" t="n">
        <v>45225</v>
      </c>
      <c r="C36" s="1" t="n">
        <v>45702</v>
      </c>
      <c r="D36" t="inlineStr">
        <is>
          <t>VÄSTERBOTTENS LÄN</t>
        </is>
      </c>
      <c r="E36" t="inlineStr">
        <is>
          <t>DOROTEA</t>
        </is>
      </c>
      <c r="F36" t="inlineStr">
        <is>
          <t>SCA</t>
        </is>
      </c>
      <c r="G36" t="n">
        <v>8.800000000000001</v>
      </c>
      <c r="H36" t="n">
        <v>1</v>
      </c>
      <c r="I36" t="n">
        <v>1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2</v>
      </c>
      <c r="R36" s="2" t="inlineStr">
        <is>
          <t>Doftticka
Trådticka</t>
        </is>
      </c>
      <c r="S36">
        <f>HYPERLINK("https://klasma.github.io/Logging_2425/artfynd/A 52738-2023 artfynd.xlsx", "A 52738-2023")</f>
        <v/>
      </c>
      <c r="T36">
        <f>HYPERLINK("https://klasma.github.io/Logging_2425/kartor/A 52738-2023 karta.png", "A 52738-2023")</f>
        <v/>
      </c>
      <c r="V36">
        <f>HYPERLINK("https://klasma.github.io/Logging_2425/klagomål/A 52738-2023 FSC-klagomål.docx", "A 52738-2023")</f>
        <v/>
      </c>
      <c r="W36">
        <f>HYPERLINK("https://klasma.github.io/Logging_2425/klagomålsmail/A 52738-2023 FSC-klagomål mail.docx", "A 52738-2023")</f>
        <v/>
      </c>
      <c r="X36">
        <f>HYPERLINK("https://klasma.github.io/Logging_2425/tillsyn/A 52738-2023 tillsynsbegäran.docx", "A 52738-2023")</f>
        <v/>
      </c>
      <c r="Y36">
        <f>HYPERLINK("https://klasma.github.io/Logging_2425/tillsynsmail/A 52738-2023 tillsynsbegäran mail.docx", "A 52738-2023")</f>
        <v/>
      </c>
    </row>
    <row r="37" ht="15" customHeight="1">
      <c r="A37" t="inlineStr">
        <is>
          <t>A 53753-2023</t>
        </is>
      </c>
      <c r="B37" s="1" t="n">
        <v>45230</v>
      </c>
      <c r="C37" s="1" t="n">
        <v>45702</v>
      </c>
      <c r="D37" t="inlineStr">
        <is>
          <t>VÄSTERBOTTENS LÄN</t>
        </is>
      </c>
      <c r="E37" t="inlineStr">
        <is>
          <t>DOROTEA</t>
        </is>
      </c>
      <c r="G37" t="n">
        <v>19.6</v>
      </c>
      <c r="H37" t="n">
        <v>1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Tibast
Skogsrör</t>
        </is>
      </c>
      <c r="S37">
        <f>HYPERLINK("https://klasma.github.io/Logging_2425/artfynd/A 53753-2023 artfynd.xlsx", "A 53753-2023")</f>
        <v/>
      </c>
      <c r="T37">
        <f>HYPERLINK("https://klasma.github.io/Logging_2425/kartor/A 53753-2023 karta.png", "A 53753-2023")</f>
        <v/>
      </c>
      <c r="V37">
        <f>HYPERLINK("https://klasma.github.io/Logging_2425/klagomål/A 53753-2023 FSC-klagomål.docx", "A 53753-2023")</f>
        <v/>
      </c>
      <c r="W37">
        <f>HYPERLINK("https://klasma.github.io/Logging_2425/klagomålsmail/A 53753-2023 FSC-klagomål mail.docx", "A 53753-2023")</f>
        <v/>
      </c>
      <c r="X37">
        <f>HYPERLINK("https://klasma.github.io/Logging_2425/tillsyn/A 53753-2023 tillsynsbegäran.docx", "A 53753-2023")</f>
        <v/>
      </c>
      <c r="Y37">
        <f>HYPERLINK("https://klasma.github.io/Logging_2425/tillsynsmail/A 53753-2023 tillsynsbegäran mail.docx", "A 53753-2023")</f>
        <v/>
      </c>
    </row>
    <row r="38" ht="15" customHeight="1">
      <c r="A38" t="inlineStr">
        <is>
          <t>A 1278-2024</t>
        </is>
      </c>
      <c r="B38" s="1" t="n">
        <v>45302</v>
      </c>
      <c r="C38" s="1" t="n">
        <v>45702</v>
      </c>
      <c r="D38" t="inlineStr">
        <is>
          <t>VÄSTERBOTTENS LÄN</t>
        </is>
      </c>
      <c r="E38" t="inlineStr">
        <is>
          <t>DOROTEA</t>
        </is>
      </c>
      <c r="F38" t="inlineStr">
        <is>
          <t>SCA</t>
        </is>
      </c>
      <c r="G38" t="n">
        <v>1.3</v>
      </c>
      <c r="H38" t="n">
        <v>0</v>
      </c>
      <c r="I38" t="n">
        <v>0</v>
      </c>
      <c r="J38" t="n">
        <v>1</v>
      </c>
      <c r="K38" t="n">
        <v>1</v>
      </c>
      <c r="L38" t="n">
        <v>0</v>
      </c>
      <c r="M38" t="n">
        <v>0</v>
      </c>
      <c r="N38" t="n">
        <v>0</v>
      </c>
      <c r="O38" t="n">
        <v>2</v>
      </c>
      <c r="P38" t="n">
        <v>1</v>
      </c>
      <c r="Q38" t="n">
        <v>2</v>
      </c>
      <c r="R38" s="2" t="inlineStr">
        <is>
          <t>Gräddticka
Granticka</t>
        </is>
      </c>
      <c r="S38">
        <f>HYPERLINK("https://klasma.github.io/Logging_2425/artfynd/A 1278-2024 artfynd.xlsx", "A 1278-2024")</f>
        <v/>
      </c>
      <c r="T38">
        <f>HYPERLINK("https://klasma.github.io/Logging_2425/kartor/A 1278-2024 karta.png", "A 1278-2024")</f>
        <v/>
      </c>
      <c r="V38">
        <f>HYPERLINK("https://klasma.github.io/Logging_2425/klagomål/A 1278-2024 FSC-klagomål.docx", "A 1278-2024")</f>
        <v/>
      </c>
      <c r="W38">
        <f>HYPERLINK("https://klasma.github.io/Logging_2425/klagomålsmail/A 1278-2024 FSC-klagomål mail.docx", "A 1278-2024")</f>
        <v/>
      </c>
      <c r="X38">
        <f>HYPERLINK("https://klasma.github.io/Logging_2425/tillsyn/A 1278-2024 tillsynsbegäran.docx", "A 1278-2024")</f>
        <v/>
      </c>
      <c r="Y38">
        <f>HYPERLINK("https://klasma.github.io/Logging_2425/tillsynsmail/A 1278-2024 tillsynsbegäran mail.docx", "A 1278-2024")</f>
        <v/>
      </c>
    </row>
    <row r="39" ht="15" customHeight="1">
      <c r="A39" t="inlineStr">
        <is>
          <t>A 46355-2024</t>
        </is>
      </c>
      <c r="B39" s="1" t="n">
        <v>45582</v>
      </c>
      <c r="C39" s="1" t="n">
        <v>45702</v>
      </c>
      <c r="D39" t="inlineStr">
        <is>
          <t>VÄSTERBOTTENS LÄN</t>
        </is>
      </c>
      <c r="E39" t="inlineStr">
        <is>
          <t>DOROTEA</t>
        </is>
      </c>
      <c r="F39" t="inlineStr">
        <is>
          <t>SCA</t>
        </is>
      </c>
      <c r="G39" t="n">
        <v>21.7</v>
      </c>
      <c r="H39" t="n">
        <v>1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Doftskinn
Lappranunkel</t>
        </is>
      </c>
      <c r="S39">
        <f>HYPERLINK("https://klasma.github.io/Logging_2425/artfynd/A 46355-2024 artfynd.xlsx", "A 46355-2024")</f>
        <v/>
      </c>
      <c r="T39">
        <f>HYPERLINK("https://klasma.github.io/Logging_2425/kartor/A 46355-2024 karta.png", "A 46355-2024")</f>
        <v/>
      </c>
      <c r="V39">
        <f>HYPERLINK("https://klasma.github.io/Logging_2425/klagomål/A 46355-2024 FSC-klagomål.docx", "A 46355-2024")</f>
        <v/>
      </c>
      <c r="W39">
        <f>HYPERLINK("https://klasma.github.io/Logging_2425/klagomålsmail/A 46355-2024 FSC-klagomål mail.docx", "A 46355-2024")</f>
        <v/>
      </c>
      <c r="X39">
        <f>HYPERLINK("https://klasma.github.io/Logging_2425/tillsyn/A 46355-2024 tillsynsbegäran.docx", "A 46355-2024")</f>
        <v/>
      </c>
      <c r="Y39">
        <f>HYPERLINK("https://klasma.github.io/Logging_2425/tillsynsmail/A 46355-2024 tillsynsbegäran mail.docx", "A 46355-2024")</f>
        <v/>
      </c>
    </row>
    <row r="40" ht="15" customHeight="1">
      <c r="A40" t="inlineStr">
        <is>
          <t>A 46832-2024</t>
        </is>
      </c>
      <c r="B40" s="1" t="n">
        <v>45583</v>
      </c>
      <c r="C40" s="1" t="n">
        <v>45702</v>
      </c>
      <c r="D40" t="inlineStr">
        <is>
          <t>VÄSTERBOTTENS LÄN</t>
        </is>
      </c>
      <c r="E40" t="inlineStr">
        <is>
          <t>DOROTEA</t>
        </is>
      </c>
      <c r="F40" t="inlineStr">
        <is>
          <t>SCA</t>
        </is>
      </c>
      <c r="G40" t="n">
        <v>11.8</v>
      </c>
      <c r="H40" t="n">
        <v>0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Garnlav
Granticka</t>
        </is>
      </c>
      <c r="S40">
        <f>HYPERLINK("https://klasma.github.io/Logging_2425/artfynd/A 46832-2024 artfynd.xlsx", "A 46832-2024")</f>
        <v/>
      </c>
      <c r="T40">
        <f>HYPERLINK("https://klasma.github.io/Logging_2425/kartor/A 46832-2024 karta.png", "A 46832-2024")</f>
        <v/>
      </c>
      <c r="V40">
        <f>HYPERLINK("https://klasma.github.io/Logging_2425/klagomål/A 46832-2024 FSC-klagomål.docx", "A 46832-2024")</f>
        <v/>
      </c>
      <c r="W40">
        <f>HYPERLINK("https://klasma.github.io/Logging_2425/klagomålsmail/A 46832-2024 FSC-klagomål mail.docx", "A 46832-2024")</f>
        <v/>
      </c>
      <c r="X40">
        <f>HYPERLINK("https://klasma.github.io/Logging_2425/tillsyn/A 46832-2024 tillsynsbegäran.docx", "A 46832-2024")</f>
        <v/>
      </c>
      <c r="Y40">
        <f>HYPERLINK("https://klasma.github.io/Logging_2425/tillsynsmail/A 46832-2024 tillsynsbegäran mail.docx", "A 46832-2024")</f>
        <v/>
      </c>
    </row>
    <row r="41" ht="15" customHeight="1">
      <c r="A41" t="inlineStr">
        <is>
          <t>A 54284-2024</t>
        </is>
      </c>
      <c r="B41" s="1" t="n">
        <v>45616</v>
      </c>
      <c r="C41" s="1" t="n">
        <v>45702</v>
      </c>
      <c r="D41" t="inlineStr">
        <is>
          <t>VÄSTERBOTTENS LÄN</t>
        </is>
      </c>
      <c r="E41" t="inlineStr">
        <is>
          <t>DOROTEA</t>
        </is>
      </c>
      <c r="G41" t="n">
        <v>16.1</v>
      </c>
      <c r="H41" t="n">
        <v>0</v>
      </c>
      <c r="I41" t="n">
        <v>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Bårdlav
Stuplav</t>
        </is>
      </c>
      <c r="S41">
        <f>HYPERLINK("https://klasma.github.io/Logging_2425/artfynd/A 54284-2024 artfynd.xlsx", "A 54284-2024")</f>
        <v/>
      </c>
      <c r="T41">
        <f>HYPERLINK("https://klasma.github.io/Logging_2425/kartor/A 54284-2024 karta.png", "A 54284-2024")</f>
        <v/>
      </c>
      <c r="V41">
        <f>HYPERLINK("https://klasma.github.io/Logging_2425/klagomål/A 54284-2024 FSC-klagomål.docx", "A 54284-2024")</f>
        <v/>
      </c>
      <c r="W41">
        <f>HYPERLINK("https://klasma.github.io/Logging_2425/klagomålsmail/A 54284-2024 FSC-klagomål mail.docx", "A 54284-2024")</f>
        <v/>
      </c>
      <c r="X41">
        <f>HYPERLINK("https://klasma.github.io/Logging_2425/tillsyn/A 54284-2024 tillsynsbegäran.docx", "A 54284-2024")</f>
        <v/>
      </c>
      <c r="Y41">
        <f>HYPERLINK("https://klasma.github.io/Logging_2425/tillsynsmail/A 54284-2024 tillsynsbegäran mail.docx", "A 54284-2024")</f>
        <v/>
      </c>
    </row>
    <row r="42" ht="15" customHeight="1">
      <c r="A42" t="inlineStr">
        <is>
          <t>A 57060-2024</t>
        </is>
      </c>
      <c r="B42" s="1" t="n">
        <v>45629</v>
      </c>
      <c r="C42" s="1" t="n">
        <v>45702</v>
      </c>
      <c r="D42" t="inlineStr">
        <is>
          <t>VÄSTERBOTTENS LÄN</t>
        </is>
      </c>
      <c r="E42" t="inlineStr">
        <is>
          <t>DOROTEA</t>
        </is>
      </c>
      <c r="F42" t="inlineStr">
        <is>
          <t>SCA</t>
        </is>
      </c>
      <c r="G42" t="n">
        <v>8.9</v>
      </c>
      <c r="H42" t="n">
        <v>0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2</v>
      </c>
      <c r="R42" s="2" t="inlineStr">
        <is>
          <t>Garnlav
Granticka</t>
        </is>
      </c>
      <c r="S42">
        <f>HYPERLINK("https://klasma.github.io/Logging_2425/artfynd/A 57060-2024 artfynd.xlsx", "A 57060-2024")</f>
        <v/>
      </c>
      <c r="T42">
        <f>HYPERLINK("https://klasma.github.io/Logging_2425/kartor/A 57060-2024 karta.png", "A 57060-2024")</f>
        <v/>
      </c>
      <c r="V42">
        <f>HYPERLINK("https://klasma.github.io/Logging_2425/klagomål/A 57060-2024 FSC-klagomål.docx", "A 57060-2024")</f>
        <v/>
      </c>
      <c r="W42">
        <f>HYPERLINK("https://klasma.github.io/Logging_2425/klagomålsmail/A 57060-2024 FSC-klagomål mail.docx", "A 57060-2024")</f>
        <v/>
      </c>
      <c r="X42">
        <f>HYPERLINK("https://klasma.github.io/Logging_2425/tillsyn/A 57060-2024 tillsynsbegäran.docx", "A 57060-2024")</f>
        <v/>
      </c>
      <c r="Y42">
        <f>HYPERLINK("https://klasma.github.io/Logging_2425/tillsynsmail/A 57060-2024 tillsynsbegäran mail.docx", "A 57060-2024")</f>
        <v/>
      </c>
    </row>
    <row r="43" ht="15" customHeight="1">
      <c r="A43" t="inlineStr">
        <is>
          <t>A 23064-2019</t>
        </is>
      </c>
      <c r="B43" s="1" t="n">
        <v>43591</v>
      </c>
      <c r="C43" s="1" t="n">
        <v>45702</v>
      </c>
      <c r="D43" t="inlineStr">
        <is>
          <t>VÄSTERBOTTENS LÄN</t>
        </is>
      </c>
      <c r="E43" t="inlineStr">
        <is>
          <t>DOROTEA</t>
        </is>
      </c>
      <c r="G43" t="n">
        <v>1.5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Garnlav</t>
        </is>
      </c>
      <c r="S43">
        <f>HYPERLINK("https://klasma.github.io/Logging_2425/artfynd/A 23064-2019 artfynd.xlsx", "A 23064-2019")</f>
        <v/>
      </c>
      <c r="T43">
        <f>HYPERLINK("https://klasma.github.io/Logging_2425/kartor/A 23064-2019 karta.png", "A 23064-2019")</f>
        <v/>
      </c>
      <c r="V43">
        <f>HYPERLINK("https://klasma.github.io/Logging_2425/klagomål/A 23064-2019 FSC-klagomål.docx", "A 23064-2019")</f>
        <v/>
      </c>
      <c r="W43">
        <f>HYPERLINK("https://klasma.github.io/Logging_2425/klagomålsmail/A 23064-2019 FSC-klagomål mail.docx", "A 23064-2019")</f>
        <v/>
      </c>
      <c r="X43">
        <f>HYPERLINK("https://klasma.github.io/Logging_2425/tillsyn/A 23064-2019 tillsynsbegäran.docx", "A 23064-2019")</f>
        <v/>
      </c>
      <c r="Y43">
        <f>HYPERLINK("https://klasma.github.io/Logging_2425/tillsynsmail/A 23064-2019 tillsynsbegäran mail.docx", "A 23064-2019")</f>
        <v/>
      </c>
    </row>
    <row r="44" ht="15" customHeight="1">
      <c r="A44" t="inlineStr">
        <is>
          <t>A 1978-2020</t>
        </is>
      </c>
      <c r="B44" s="1" t="n">
        <v>43838</v>
      </c>
      <c r="C44" s="1" t="n">
        <v>45702</v>
      </c>
      <c r="D44" t="inlineStr">
        <is>
          <t>VÄSTERBOTTENS LÄN</t>
        </is>
      </c>
      <c r="E44" t="inlineStr">
        <is>
          <t>DOROTEA</t>
        </is>
      </c>
      <c r="G44" t="n">
        <v>3.4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Rosenfink</t>
        </is>
      </c>
      <c r="S44">
        <f>HYPERLINK("https://klasma.github.io/Logging_2425/artfynd/A 1978-2020 artfynd.xlsx", "A 1978-2020")</f>
        <v/>
      </c>
      <c r="T44">
        <f>HYPERLINK("https://klasma.github.io/Logging_2425/kartor/A 1978-2020 karta.png", "A 1978-2020")</f>
        <v/>
      </c>
      <c r="V44">
        <f>HYPERLINK("https://klasma.github.io/Logging_2425/klagomål/A 1978-2020 FSC-klagomål.docx", "A 1978-2020")</f>
        <v/>
      </c>
      <c r="W44">
        <f>HYPERLINK("https://klasma.github.io/Logging_2425/klagomålsmail/A 1978-2020 FSC-klagomål mail.docx", "A 1978-2020")</f>
        <v/>
      </c>
      <c r="X44">
        <f>HYPERLINK("https://klasma.github.io/Logging_2425/tillsyn/A 1978-2020 tillsynsbegäran.docx", "A 1978-2020")</f>
        <v/>
      </c>
      <c r="Y44">
        <f>HYPERLINK("https://klasma.github.io/Logging_2425/tillsynsmail/A 1978-2020 tillsynsbegäran mail.docx", "A 1978-2020")</f>
        <v/>
      </c>
      <c r="Z44">
        <f>HYPERLINK("https://klasma.github.io/Logging_2425/fåglar/A 1978-2020 prioriterade fågelarter.docx", "A 1978-2020")</f>
        <v/>
      </c>
    </row>
    <row r="45" ht="15" customHeight="1">
      <c r="A45" t="inlineStr">
        <is>
          <t>A 49683-2020</t>
        </is>
      </c>
      <c r="B45" s="1" t="n">
        <v>44104</v>
      </c>
      <c r="C45" s="1" t="n">
        <v>45702</v>
      </c>
      <c r="D45" t="inlineStr">
        <is>
          <t>VÄSTERBOTTENS LÄN</t>
        </is>
      </c>
      <c r="E45" t="inlineStr">
        <is>
          <t>DOROTEA</t>
        </is>
      </c>
      <c r="F45" t="inlineStr">
        <is>
          <t>SCA</t>
        </is>
      </c>
      <c r="G45" t="n">
        <v>1.1</v>
      </c>
      <c r="H45" t="n">
        <v>0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Rynkskinn</t>
        </is>
      </c>
      <c r="S45">
        <f>HYPERLINK("https://klasma.github.io/Logging_2425/artfynd/A 49683-2020 artfynd.xlsx", "A 49683-2020")</f>
        <v/>
      </c>
      <c r="T45">
        <f>HYPERLINK("https://klasma.github.io/Logging_2425/kartor/A 49683-2020 karta.png", "A 49683-2020")</f>
        <v/>
      </c>
      <c r="V45">
        <f>HYPERLINK("https://klasma.github.io/Logging_2425/klagomål/A 49683-2020 FSC-klagomål.docx", "A 49683-2020")</f>
        <v/>
      </c>
      <c r="W45">
        <f>HYPERLINK("https://klasma.github.io/Logging_2425/klagomålsmail/A 49683-2020 FSC-klagomål mail.docx", "A 49683-2020")</f>
        <v/>
      </c>
      <c r="X45">
        <f>HYPERLINK("https://klasma.github.io/Logging_2425/tillsyn/A 49683-2020 tillsynsbegäran.docx", "A 49683-2020")</f>
        <v/>
      </c>
      <c r="Y45">
        <f>HYPERLINK("https://klasma.github.io/Logging_2425/tillsynsmail/A 49683-2020 tillsynsbegäran mail.docx", "A 49683-2020")</f>
        <v/>
      </c>
    </row>
    <row r="46" ht="15" customHeight="1">
      <c r="A46" t="inlineStr">
        <is>
          <t>A 67790-2021</t>
        </is>
      </c>
      <c r="B46" s="1" t="n">
        <v>44526</v>
      </c>
      <c r="C46" s="1" t="n">
        <v>45702</v>
      </c>
      <c r="D46" t="inlineStr">
        <is>
          <t>VÄSTERBOTTENS LÄN</t>
        </is>
      </c>
      <c r="E46" t="inlineStr">
        <is>
          <t>DOROTEA</t>
        </is>
      </c>
      <c r="F46" t="inlineStr">
        <is>
          <t>Övriga statliga verk och myndigheter</t>
        </is>
      </c>
      <c r="G46" t="n">
        <v>3.2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Tretåig hackspett</t>
        </is>
      </c>
      <c r="S46">
        <f>HYPERLINK("https://klasma.github.io/Logging_2425/artfynd/A 67790-2021 artfynd.xlsx", "A 67790-2021")</f>
        <v/>
      </c>
      <c r="T46">
        <f>HYPERLINK("https://klasma.github.io/Logging_2425/kartor/A 67790-2021 karta.png", "A 67790-2021")</f>
        <v/>
      </c>
      <c r="V46">
        <f>HYPERLINK("https://klasma.github.io/Logging_2425/klagomål/A 67790-2021 FSC-klagomål.docx", "A 67790-2021")</f>
        <v/>
      </c>
      <c r="W46">
        <f>HYPERLINK("https://klasma.github.io/Logging_2425/klagomålsmail/A 67790-2021 FSC-klagomål mail.docx", "A 67790-2021")</f>
        <v/>
      </c>
      <c r="X46">
        <f>HYPERLINK("https://klasma.github.io/Logging_2425/tillsyn/A 67790-2021 tillsynsbegäran.docx", "A 67790-2021")</f>
        <v/>
      </c>
      <c r="Y46">
        <f>HYPERLINK("https://klasma.github.io/Logging_2425/tillsynsmail/A 67790-2021 tillsynsbegäran mail.docx", "A 67790-2021")</f>
        <v/>
      </c>
      <c r="Z46">
        <f>HYPERLINK("https://klasma.github.io/Logging_2425/fåglar/A 67790-2021 prioriterade fågelarter.docx", "A 67790-2021")</f>
        <v/>
      </c>
    </row>
    <row r="47" ht="15" customHeight="1">
      <c r="A47" t="inlineStr">
        <is>
          <t>A 44036-2022</t>
        </is>
      </c>
      <c r="B47" s="1" t="n">
        <v>44838</v>
      </c>
      <c r="C47" s="1" t="n">
        <v>45702</v>
      </c>
      <c r="D47" t="inlineStr">
        <is>
          <t>VÄSTERBOTTENS LÄN</t>
        </is>
      </c>
      <c r="E47" t="inlineStr">
        <is>
          <t>DOROTEA</t>
        </is>
      </c>
      <c r="F47" t="inlineStr">
        <is>
          <t>SCA</t>
        </is>
      </c>
      <c r="G47" t="n">
        <v>6.3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Ullticka</t>
        </is>
      </c>
      <c r="S47">
        <f>HYPERLINK("https://klasma.github.io/Logging_2425/artfynd/A 44036-2022 artfynd.xlsx", "A 44036-2022")</f>
        <v/>
      </c>
      <c r="T47">
        <f>HYPERLINK("https://klasma.github.io/Logging_2425/kartor/A 44036-2022 karta.png", "A 44036-2022")</f>
        <v/>
      </c>
      <c r="V47">
        <f>HYPERLINK("https://klasma.github.io/Logging_2425/klagomål/A 44036-2022 FSC-klagomål.docx", "A 44036-2022")</f>
        <v/>
      </c>
      <c r="W47">
        <f>HYPERLINK("https://klasma.github.io/Logging_2425/klagomålsmail/A 44036-2022 FSC-klagomål mail.docx", "A 44036-2022")</f>
        <v/>
      </c>
      <c r="X47">
        <f>HYPERLINK("https://klasma.github.io/Logging_2425/tillsyn/A 44036-2022 tillsynsbegäran.docx", "A 44036-2022")</f>
        <v/>
      </c>
      <c r="Y47">
        <f>HYPERLINK("https://klasma.github.io/Logging_2425/tillsynsmail/A 44036-2022 tillsynsbegäran mail.docx", "A 44036-2022")</f>
        <v/>
      </c>
    </row>
    <row r="48" ht="15" customHeight="1">
      <c r="A48" t="inlineStr">
        <is>
          <t>A 44389-2022</t>
        </is>
      </c>
      <c r="B48" s="1" t="n">
        <v>44838</v>
      </c>
      <c r="C48" s="1" t="n">
        <v>45702</v>
      </c>
      <c r="D48" t="inlineStr">
        <is>
          <t>VÄSTERBOTTENS LÄN</t>
        </is>
      </c>
      <c r="E48" t="inlineStr">
        <is>
          <t>DOROTEA</t>
        </is>
      </c>
      <c r="G48" t="n">
        <v>1.8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Granticka</t>
        </is>
      </c>
      <c r="S48">
        <f>HYPERLINK("https://klasma.github.io/Logging_2425/artfynd/A 44389-2022 artfynd.xlsx", "A 44389-2022")</f>
        <v/>
      </c>
      <c r="T48">
        <f>HYPERLINK("https://klasma.github.io/Logging_2425/kartor/A 44389-2022 karta.png", "A 44389-2022")</f>
        <v/>
      </c>
      <c r="V48">
        <f>HYPERLINK("https://klasma.github.io/Logging_2425/klagomål/A 44389-2022 FSC-klagomål.docx", "A 44389-2022")</f>
        <v/>
      </c>
      <c r="W48">
        <f>HYPERLINK("https://klasma.github.io/Logging_2425/klagomålsmail/A 44389-2022 FSC-klagomål mail.docx", "A 44389-2022")</f>
        <v/>
      </c>
      <c r="X48">
        <f>HYPERLINK("https://klasma.github.io/Logging_2425/tillsyn/A 44389-2022 tillsynsbegäran.docx", "A 44389-2022")</f>
        <v/>
      </c>
      <c r="Y48">
        <f>HYPERLINK("https://klasma.github.io/Logging_2425/tillsynsmail/A 44389-2022 tillsynsbegäran mail.docx", "A 44389-2022")</f>
        <v/>
      </c>
    </row>
    <row r="49" ht="15" customHeight="1">
      <c r="A49" t="inlineStr">
        <is>
          <t>A 48089-2022</t>
        </is>
      </c>
      <c r="B49" s="1" t="n">
        <v>44855</v>
      </c>
      <c r="C49" s="1" t="n">
        <v>45702</v>
      </c>
      <c r="D49" t="inlineStr">
        <is>
          <t>VÄSTERBOTTENS LÄN</t>
        </is>
      </c>
      <c r="E49" t="inlineStr">
        <is>
          <t>DOROTEA</t>
        </is>
      </c>
      <c r="F49" t="inlineStr">
        <is>
          <t>SCA</t>
        </is>
      </c>
      <c r="G49" t="n">
        <v>9.199999999999999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Gammelgransskål</t>
        </is>
      </c>
      <c r="S49">
        <f>HYPERLINK("https://klasma.github.io/Logging_2425/artfynd/A 48089-2022 artfynd.xlsx", "A 48089-2022")</f>
        <v/>
      </c>
      <c r="T49">
        <f>HYPERLINK("https://klasma.github.io/Logging_2425/kartor/A 48089-2022 karta.png", "A 48089-2022")</f>
        <v/>
      </c>
      <c r="V49">
        <f>HYPERLINK("https://klasma.github.io/Logging_2425/klagomål/A 48089-2022 FSC-klagomål.docx", "A 48089-2022")</f>
        <v/>
      </c>
      <c r="W49">
        <f>HYPERLINK("https://klasma.github.io/Logging_2425/klagomålsmail/A 48089-2022 FSC-klagomål mail.docx", "A 48089-2022")</f>
        <v/>
      </c>
      <c r="X49">
        <f>HYPERLINK("https://klasma.github.io/Logging_2425/tillsyn/A 48089-2022 tillsynsbegäran.docx", "A 48089-2022")</f>
        <v/>
      </c>
      <c r="Y49">
        <f>HYPERLINK("https://klasma.github.io/Logging_2425/tillsynsmail/A 48089-2022 tillsynsbegäran mail.docx", "A 48089-2022")</f>
        <v/>
      </c>
    </row>
    <row r="50" ht="15" customHeight="1">
      <c r="A50" t="inlineStr">
        <is>
          <t>A 4341-2023</t>
        </is>
      </c>
      <c r="B50" s="1" t="n">
        <v>44953</v>
      </c>
      <c r="C50" s="1" t="n">
        <v>45702</v>
      </c>
      <c r="D50" t="inlineStr">
        <is>
          <t>VÄSTERBOTTENS LÄN</t>
        </is>
      </c>
      <c r="E50" t="inlineStr">
        <is>
          <t>DOROTEA</t>
        </is>
      </c>
      <c r="F50" t="inlineStr">
        <is>
          <t>SCA</t>
        </is>
      </c>
      <c r="G50" t="n">
        <v>1.7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Luddlav</t>
        </is>
      </c>
      <c r="S50">
        <f>HYPERLINK("https://klasma.github.io/Logging_2425/artfynd/A 4341-2023 artfynd.xlsx", "A 4341-2023")</f>
        <v/>
      </c>
      <c r="T50">
        <f>HYPERLINK("https://klasma.github.io/Logging_2425/kartor/A 4341-2023 karta.png", "A 4341-2023")</f>
        <v/>
      </c>
      <c r="V50">
        <f>HYPERLINK("https://klasma.github.io/Logging_2425/klagomål/A 4341-2023 FSC-klagomål.docx", "A 4341-2023")</f>
        <v/>
      </c>
      <c r="W50">
        <f>HYPERLINK("https://klasma.github.io/Logging_2425/klagomålsmail/A 4341-2023 FSC-klagomål mail.docx", "A 4341-2023")</f>
        <v/>
      </c>
      <c r="X50">
        <f>HYPERLINK("https://klasma.github.io/Logging_2425/tillsyn/A 4341-2023 tillsynsbegäran.docx", "A 4341-2023")</f>
        <v/>
      </c>
      <c r="Y50">
        <f>HYPERLINK("https://klasma.github.io/Logging_2425/tillsynsmail/A 4341-2023 tillsynsbegäran mail.docx", "A 4341-2023")</f>
        <v/>
      </c>
    </row>
    <row r="51" ht="15" customHeight="1">
      <c r="A51" t="inlineStr">
        <is>
          <t>A 28716-2023</t>
        </is>
      </c>
      <c r="B51" s="1" t="n">
        <v>45103</v>
      </c>
      <c r="C51" s="1" t="n">
        <v>45702</v>
      </c>
      <c r="D51" t="inlineStr">
        <is>
          <t>VÄSTERBOTTENS LÄN</t>
        </is>
      </c>
      <c r="E51" t="inlineStr">
        <is>
          <t>DOROTEA</t>
        </is>
      </c>
      <c r="F51" t="inlineStr">
        <is>
          <t>Sveaskog</t>
        </is>
      </c>
      <c r="G51" t="n">
        <v>10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Bårdlav</t>
        </is>
      </c>
      <c r="S51">
        <f>HYPERLINK("https://klasma.github.io/Logging_2425/artfynd/A 28716-2023 artfynd.xlsx", "A 28716-2023")</f>
        <v/>
      </c>
      <c r="T51">
        <f>HYPERLINK("https://klasma.github.io/Logging_2425/kartor/A 28716-2023 karta.png", "A 28716-2023")</f>
        <v/>
      </c>
      <c r="V51">
        <f>HYPERLINK("https://klasma.github.io/Logging_2425/klagomål/A 28716-2023 FSC-klagomål.docx", "A 28716-2023")</f>
        <v/>
      </c>
      <c r="W51">
        <f>HYPERLINK("https://klasma.github.io/Logging_2425/klagomålsmail/A 28716-2023 FSC-klagomål mail.docx", "A 28716-2023")</f>
        <v/>
      </c>
      <c r="X51">
        <f>HYPERLINK("https://klasma.github.io/Logging_2425/tillsyn/A 28716-2023 tillsynsbegäran.docx", "A 28716-2023")</f>
        <v/>
      </c>
      <c r="Y51">
        <f>HYPERLINK("https://klasma.github.io/Logging_2425/tillsynsmail/A 28716-2023 tillsynsbegäran mail.docx", "A 28716-2023")</f>
        <v/>
      </c>
    </row>
    <row r="52" ht="15" customHeight="1">
      <c r="A52" t="inlineStr">
        <is>
          <t>A 46815-2023</t>
        </is>
      </c>
      <c r="B52" s="1" t="n">
        <v>45198</v>
      </c>
      <c r="C52" s="1" t="n">
        <v>45702</v>
      </c>
      <c r="D52" t="inlineStr">
        <is>
          <t>VÄSTERBOTTENS LÄN</t>
        </is>
      </c>
      <c r="E52" t="inlineStr">
        <is>
          <t>DOROTEA</t>
        </is>
      </c>
      <c r="F52" t="inlineStr">
        <is>
          <t>SCA</t>
        </is>
      </c>
      <c r="G52" t="n">
        <v>3.7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Harticka</t>
        </is>
      </c>
      <c r="S52">
        <f>HYPERLINK("https://klasma.github.io/Logging_2425/artfynd/A 46815-2023 artfynd.xlsx", "A 46815-2023")</f>
        <v/>
      </c>
      <c r="T52">
        <f>HYPERLINK("https://klasma.github.io/Logging_2425/kartor/A 46815-2023 karta.png", "A 46815-2023")</f>
        <v/>
      </c>
      <c r="V52">
        <f>HYPERLINK("https://klasma.github.io/Logging_2425/klagomål/A 46815-2023 FSC-klagomål.docx", "A 46815-2023")</f>
        <v/>
      </c>
      <c r="W52">
        <f>HYPERLINK("https://klasma.github.io/Logging_2425/klagomålsmail/A 46815-2023 FSC-klagomål mail.docx", "A 46815-2023")</f>
        <v/>
      </c>
      <c r="X52">
        <f>HYPERLINK("https://klasma.github.io/Logging_2425/tillsyn/A 46815-2023 tillsynsbegäran.docx", "A 46815-2023")</f>
        <v/>
      </c>
      <c r="Y52">
        <f>HYPERLINK("https://klasma.github.io/Logging_2425/tillsynsmail/A 46815-2023 tillsynsbegäran mail.docx", "A 46815-2023")</f>
        <v/>
      </c>
    </row>
    <row r="53" ht="15" customHeight="1">
      <c r="A53" t="inlineStr">
        <is>
          <t>A 18973-2024</t>
        </is>
      </c>
      <c r="B53" s="1" t="n">
        <v>45427</v>
      </c>
      <c r="C53" s="1" t="n">
        <v>45702</v>
      </c>
      <c r="D53" t="inlineStr">
        <is>
          <t>VÄSTERBOTTENS LÄN</t>
        </is>
      </c>
      <c r="E53" t="inlineStr">
        <is>
          <t>DOROTEA</t>
        </is>
      </c>
      <c r="G53" t="n">
        <v>19.7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Brudsporre</t>
        </is>
      </c>
      <c r="S53">
        <f>HYPERLINK("https://klasma.github.io/Logging_2425/artfynd/A 18973-2024 artfynd.xlsx", "A 18973-2024")</f>
        <v/>
      </c>
      <c r="T53">
        <f>HYPERLINK("https://klasma.github.io/Logging_2425/kartor/A 18973-2024 karta.png", "A 18973-2024")</f>
        <v/>
      </c>
      <c r="V53">
        <f>HYPERLINK("https://klasma.github.io/Logging_2425/klagomål/A 18973-2024 FSC-klagomål.docx", "A 18973-2024")</f>
        <v/>
      </c>
      <c r="W53">
        <f>HYPERLINK("https://klasma.github.io/Logging_2425/klagomålsmail/A 18973-2024 FSC-klagomål mail.docx", "A 18973-2024")</f>
        <v/>
      </c>
      <c r="X53">
        <f>HYPERLINK("https://klasma.github.io/Logging_2425/tillsyn/A 18973-2024 tillsynsbegäran.docx", "A 18973-2024")</f>
        <v/>
      </c>
      <c r="Y53">
        <f>HYPERLINK("https://klasma.github.io/Logging_2425/tillsynsmail/A 18973-2024 tillsynsbegäran mail.docx", "A 18973-2024")</f>
        <v/>
      </c>
    </row>
    <row r="54" ht="15" customHeight="1">
      <c r="A54" t="inlineStr">
        <is>
          <t>A 27234-2024</t>
        </is>
      </c>
      <c r="B54" s="1" t="n">
        <v>45471</v>
      </c>
      <c r="C54" s="1" t="n">
        <v>45702</v>
      </c>
      <c r="D54" t="inlineStr">
        <is>
          <t>VÄSTERBOTTENS LÄN</t>
        </is>
      </c>
      <c r="E54" t="inlineStr">
        <is>
          <t>DOROTEA</t>
        </is>
      </c>
      <c r="F54" t="inlineStr">
        <is>
          <t>SCA</t>
        </is>
      </c>
      <c r="G54" t="n">
        <v>2.2</v>
      </c>
      <c r="H54" t="n">
        <v>0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Rynkskinn</t>
        </is>
      </c>
      <c r="S54">
        <f>HYPERLINK("https://klasma.github.io/Logging_2425/artfynd/A 27234-2024 artfynd.xlsx", "A 27234-2024")</f>
        <v/>
      </c>
      <c r="T54">
        <f>HYPERLINK("https://klasma.github.io/Logging_2425/kartor/A 27234-2024 karta.png", "A 27234-2024")</f>
        <v/>
      </c>
      <c r="V54">
        <f>HYPERLINK("https://klasma.github.io/Logging_2425/klagomål/A 27234-2024 FSC-klagomål.docx", "A 27234-2024")</f>
        <v/>
      </c>
      <c r="W54">
        <f>HYPERLINK("https://klasma.github.io/Logging_2425/klagomålsmail/A 27234-2024 FSC-klagomål mail.docx", "A 27234-2024")</f>
        <v/>
      </c>
      <c r="X54">
        <f>HYPERLINK("https://klasma.github.io/Logging_2425/tillsyn/A 27234-2024 tillsynsbegäran.docx", "A 27234-2024")</f>
        <v/>
      </c>
      <c r="Y54">
        <f>HYPERLINK("https://klasma.github.io/Logging_2425/tillsynsmail/A 27234-2024 tillsynsbegäran mail.docx", "A 27234-2024")</f>
        <v/>
      </c>
    </row>
    <row r="55" ht="15" customHeight="1">
      <c r="A55" t="inlineStr">
        <is>
          <t>A 30373-2024</t>
        </is>
      </c>
      <c r="B55" s="1" t="n">
        <v>45491</v>
      </c>
      <c r="C55" s="1" t="n">
        <v>45702</v>
      </c>
      <c r="D55" t="inlineStr">
        <is>
          <t>VÄSTERBOTTENS LÄN</t>
        </is>
      </c>
      <c r="E55" t="inlineStr">
        <is>
          <t>DOROTEA</t>
        </is>
      </c>
      <c r="F55" t="inlineStr">
        <is>
          <t>Sveaskog</t>
        </is>
      </c>
      <c r="G55" t="n">
        <v>13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Utter</t>
        </is>
      </c>
      <c r="S55">
        <f>HYPERLINK("https://klasma.github.io/Logging_2425/artfynd/A 30373-2024 artfynd.xlsx", "A 30373-2024")</f>
        <v/>
      </c>
      <c r="T55">
        <f>HYPERLINK("https://klasma.github.io/Logging_2425/kartor/A 30373-2024 karta.png", "A 30373-2024")</f>
        <v/>
      </c>
      <c r="V55">
        <f>HYPERLINK("https://klasma.github.io/Logging_2425/klagomål/A 30373-2024 FSC-klagomål.docx", "A 30373-2024")</f>
        <v/>
      </c>
      <c r="W55">
        <f>HYPERLINK("https://klasma.github.io/Logging_2425/klagomålsmail/A 30373-2024 FSC-klagomål mail.docx", "A 30373-2024")</f>
        <v/>
      </c>
      <c r="X55">
        <f>HYPERLINK("https://klasma.github.io/Logging_2425/tillsyn/A 30373-2024 tillsynsbegäran.docx", "A 30373-2024")</f>
        <v/>
      </c>
      <c r="Y55">
        <f>HYPERLINK("https://klasma.github.io/Logging_2425/tillsynsmail/A 30373-2024 tillsynsbegäran mail.docx", "A 30373-2024")</f>
        <v/>
      </c>
    </row>
    <row r="56" ht="15" customHeight="1">
      <c r="A56" t="inlineStr">
        <is>
          <t>A 34750-2024</t>
        </is>
      </c>
      <c r="B56" s="1" t="n">
        <v>45526</v>
      </c>
      <c r="C56" s="1" t="n">
        <v>45702</v>
      </c>
      <c r="D56" t="inlineStr">
        <is>
          <t>VÄSTERBOTTENS LÄN</t>
        </is>
      </c>
      <c r="E56" t="inlineStr">
        <is>
          <t>DOROTEA</t>
        </is>
      </c>
      <c r="F56" t="inlineStr">
        <is>
          <t>SCA</t>
        </is>
      </c>
      <c r="G56" t="n">
        <v>4.6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Ullticka</t>
        </is>
      </c>
      <c r="S56">
        <f>HYPERLINK("https://klasma.github.io/Logging_2425/artfynd/A 34750-2024 artfynd.xlsx", "A 34750-2024")</f>
        <v/>
      </c>
      <c r="T56">
        <f>HYPERLINK("https://klasma.github.io/Logging_2425/kartor/A 34750-2024 karta.png", "A 34750-2024")</f>
        <v/>
      </c>
      <c r="V56">
        <f>HYPERLINK("https://klasma.github.io/Logging_2425/klagomål/A 34750-2024 FSC-klagomål.docx", "A 34750-2024")</f>
        <v/>
      </c>
      <c r="W56">
        <f>HYPERLINK("https://klasma.github.io/Logging_2425/klagomålsmail/A 34750-2024 FSC-klagomål mail.docx", "A 34750-2024")</f>
        <v/>
      </c>
      <c r="X56">
        <f>HYPERLINK("https://klasma.github.io/Logging_2425/tillsyn/A 34750-2024 tillsynsbegäran.docx", "A 34750-2024")</f>
        <v/>
      </c>
      <c r="Y56">
        <f>HYPERLINK("https://klasma.github.io/Logging_2425/tillsynsmail/A 34750-2024 tillsynsbegäran mail.docx", "A 34750-2024")</f>
        <v/>
      </c>
    </row>
    <row r="57" ht="15" customHeight="1">
      <c r="A57" t="inlineStr">
        <is>
          <t>A 36318-2024</t>
        </is>
      </c>
      <c r="B57" s="1" t="n">
        <v>45534</v>
      </c>
      <c r="C57" s="1" t="n">
        <v>45702</v>
      </c>
      <c r="D57" t="inlineStr">
        <is>
          <t>VÄSTERBOTTENS LÄN</t>
        </is>
      </c>
      <c r="E57" t="inlineStr">
        <is>
          <t>DOROTEA</t>
        </is>
      </c>
      <c r="F57" t="inlineStr">
        <is>
          <t>SCA</t>
        </is>
      </c>
      <c r="G57" t="n">
        <v>2.5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Garnlav</t>
        </is>
      </c>
      <c r="S57">
        <f>HYPERLINK("https://klasma.github.io/Logging_2425/artfynd/A 36318-2024 artfynd.xlsx", "A 36318-2024")</f>
        <v/>
      </c>
      <c r="T57">
        <f>HYPERLINK("https://klasma.github.io/Logging_2425/kartor/A 36318-2024 karta.png", "A 36318-2024")</f>
        <v/>
      </c>
      <c r="V57">
        <f>HYPERLINK("https://klasma.github.io/Logging_2425/klagomål/A 36318-2024 FSC-klagomål.docx", "A 36318-2024")</f>
        <v/>
      </c>
      <c r="W57">
        <f>HYPERLINK("https://klasma.github.io/Logging_2425/klagomålsmail/A 36318-2024 FSC-klagomål mail.docx", "A 36318-2024")</f>
        <v/>
      </c>
      <c r="X57">
        <f>HYPERLINK("https://klasma.github.io/Logging_2425/tillsyn/A 36318-2024 tillsynsbegäran.docx", "A 36318-2024")</f>
        <v/>
      </c>
      <c r="Y57">
        <f>HYPERLINK("https://klasma.github.io/Logging_2425/tillsynsmail/A 36318-2024 tillsynsbegäran mail.docx", "A 36318-2024")</f>
        <v/>
      </c>
    </row>
    <row r="58" ht="15" customHeight="1">
      <c r="A58" t="inlineStr">
        <is>
          <t>A 46836-2024</t>
        </is>
      </c>
      <c r="B58" s="1" t="n">
        <v>45583</v>
      </c>
      <c r="C58" s="1" t="n">
        <v>45702</v>
      </c>
      <c r="D58" t="inlineStr">
        <is>
          <t>VÄSTERBOTTENS LÄN</t>
        </is>
      </c>
      <c r="E58" t="inlineStr">
        <is>
          <t>DOROTEA</t>
        </is>
      </c>
      <c r="F58" t="inlineStr">
        <is>
          <t>SCA</t>
        </is>
      </c>
      <c r="G58" t="n">
        <v>3.1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Lunglav</t>
        </is>
      </c>
      <c r="S58">
        <f>HYPERLINK("https://klasma.github.io/Logging_2425/artfynd/A 46836-2024 artfynd.xlsx", "A 46836-2024")</f>
        <v/>
      </c>
      <c r="T58">
        <f>HYPERLINK("https://klasma.github.io/Logging_2425/kartor/A 46836-2024 karta.png", "A 46836-2024")</f>
        <v/>
      </c>
      <c r="V58">
        <f>HYPERLINK("https://klasma.github.io/Logging_2425/klagomål/A 46836-2024 FSC-klagomål.docx", "A 46836-2024")</f>
        <v/>
      </c>
      <c r="W58">
        <f>HYPERLINK("https://klasma.github.io/Logging_2425/klagomålsmail/A 46836-2024 FSC-klagomål mail.docx", "A 46836-2024")</f>
        <v/>
      </c>
      <c r="X58">
        <f>HYPERLINK("https://klasma.github.io/Logging_2425/tillsyn/A 46836-2024 tillsynsbegäran.docx", "A 46836-2024")</f>
        <v/>
      </c>
      <c r="Y58">
        <f>HYPERLINK("https://klasma.github.io/Logging_2425/tillsynsmail/A 46836-2024 tillsynsbegäran mail.docx", "A 46836-2024")</f>
        <v/>
      </c>
    </row>
    <row r="59" ht="15" customHeight="1">
      <c r="A59" t="inlineStr">
        <is>
          <t>A 55658-2024</t>
        </is>
      </c>
      <c r="B59" s="1" t="n">
        <v>45622</v>
      </c>
      <c r="C59" s="1" t="n">
        <v>45702</v>
      </c>
      <c r="D59" t="inlineStr">
        <is>
          <t>VÄSTERBOTTENS LÄN</t>
        </is>
      </c>
      <c r="E59" t="inlineStr">
        <is>
          <t>DOROTEA</t>
        </is>
      </c>
      <c r="F59" t="inlineStr">
        <is>
          <t>Övriga Aktiebolag</t>
        </is>
      </c>
      <c r="G59" t="n">
        <v>9.4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Källpraktmossa</t>
        </is>
      </c>
      <c r="S59">
        <f>HYPERLINK("https://klasma.github.io/Logging_2425/artfynd/A 55658-2024 artfynd.xlsx", "A 55658-2024")</f>
        <v/>
      </c>
      <c r="T59">
        <f>HYPERLINK("https://klasma.github.io/Logging_2425/kartor/A 55658-2024 karta.png", "A 55658-2024")</f>
        <v/>
      </c>
      <c r="V59">
        <f>HYPERLINK("https://klasma.github.io/Logging_2425/klagomål/A 55658-2024 FSC-klagomål.docx", "A 55658-2024")</f>
        <v/>
      </c>
      <c r="W59">
        <f>HYPERLINK("https://klasma.github.io/Logging_2425/klagomålsmail/A 55658-2024 FSC-klagomål mail.docx", "A 55658-2024")</f>
        <v/>
      </c>
      <c r="X59">
        <f>HYPERLINK("https://klasma.github.io/Logging_2425/tillsyn/A 55658-2024 tillsynsbegäran.docx", "A 55658-2024")</f>
        <v/>
      </c>
      <c r="Y59">
        <f>HYPERLINK("https://klasma.github.io/Logging_2425/tillsynsmail/A 55658-2024 tillsynsbegäran mail.docx", "A 55658-2024")</f>
        <v/>
      </c>
    </row>
    <row r="60" ht="15" customHeight="1">
      <c r="A60" t="inlineStr">
        <is>
          <t>A 56202-2024</t>
        </is>
      </c>
      <c r="B60" s="1" t="n">
        <v>45624</v>
      </c>
      <c r="C60" s="1" t="n">
        <v>45702</v>
      </c>
      <c r="D60" t="inlineStr">
        <is>
          <t>VÄSTERBOTTENS LÄN</t>
        </is>
      </c>
      <c r="E60" t="inlineStr">
        <is>
          <t>DOROTEA</t>
        </is>
      </c>
      <c r="F60" t="inlineStr">
        <is>
          <t>SCA</t>
        </is>
      </c>
      <c r="G60" t="n">
        <v>6.2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Ullticka</t>
        </is>
      </c>
      <c r="S60">
        <f>HYPERLINK("https://klasma.github.io/Logging_2425/artfynd/A 56202-2024 artfynd.xlsx", "A 56202-2024")</f>
        <v/>
      </c>
      <c r="T60">
        <f>HYPERLINK("https://klasma.github.io/Logging_2425/kartor/A 56202-2024 karta.png", "A 56202-2024")</f>
        <v/>
      </c>
      <c r="V60">
        <f>HYPERLINK("https://klasma.github.io/Logging_2425/klagomål/A 56202-2024 FSC-klagomål.docx", "A 56202-2024")</f>
        <v/>
      </c>
      <c r="W60">
        <f>HYPERLINK("https://klasma.github.io/Logging_2425/klagomålsmail/A 56202-2024 FSC-klagomål mail.docx", "A 56202-2024")</f>
        <v/>
      </c>
      <c r="X60">
        <f>HYPERLINK("https://klasma.github.io/Logging_2425/tillsyn/A 56202-2024 tillsynsbegäran.docx", "A 56202-2024")</f>
        <v/>
      </c>
      <c r="Y60">
        <f>HYPERLINK("https://klasma.github.io/Logging_2425/tillsynsmail/A 56202-2024 tillsynsbegäran mail.docx", "A 56202-2024")</f>
        <v/>
      </c>
    </row>
    <row r="61" ht="15" customHeight="1">
      <c r="A61" t="inlineStr">
        <is>
          <t>A 57058-2024</t>
        </is>
      </c>
      <c r="B61" s="1" t="n">
        <v>45629</v>
      </c>
      <c r="C61" s="1" t="n">
        <v>45702</v>
      </c>
      <c r="D61" t="inlineStr">
        <is>
          <t>VÄSTERBOTTENS LÄN</t>
        </is>
      </c>
      <c r="E61" t="inlineStr">
        <is>
          <t>DOROTEA</t>
        </is>
      </c>
      <c r="F61" t="inlineStr">
        <is>
          <t>SCA</t>
        </is>
      </c>
      <c r="G61" t="n">
        <v>2.4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Granticka</t>
        </is>
      </c>
      <c r="S61">
        <f>HYPERLINK("https://klasma.github.io/Logging_2425/artfynd/A 57058-2024 artfynd.xlsx", "A 57058-2024")</f>
        <v/>
      </c>
      <c r="T61">
        <f>HYPERLINK("https://klasma.github.io/Logging_2425/kartor/A 57058-2024 karta.png", "A 57058-2024")</f>
        <v/>
      </c>
      <c r="V61">
        <f>HYPERLINK("https://klasma.github.io/Logging_2425/klagomål/A 57058-2024 FSC-klagomål.docx", "A 57058-2024")</f>
        <v/>
      </c>
      <c r="W61">
        <f>HYPERLINK("https://klasma.github.io/Logging_2425/klagomålsmail/A 57058-2024 FSC-klagomål mail.docx", "A 57058-2024")</f>
        <v/>
      </c>
      <c r="X61">
        <f>HYPERLINK("https://klasma.github.io/Logging_2425/tillsyn/A 57058-2024 tillsynsbegäran.docx", "A 57058-2024")</f>
        <v/>
      </c>
      <c r="Y61">
        <f>HYPERLINK("https://klasma.github.io/Logging_2425/tillsynsmail/A 57058-2024 tillsynsbegäran mail.docx", "A 57058-2024")</f>
        <v/>
      </c>
    </row>
    <row r="62" ht="15" customHeight="1">
      <c r="A62" t="inlineStr">
        <is>
          <t>A 18757-2019</t>
        </is>
      </c>
      <c r="B62" s="1" t="n">
        <v>43560</v>
      </c>
      <c r="C62" s="1" t="n">
        <v>45702</v>
      </c>
      <c r="D62" t="inlineStr">
        <is>
          <t>VÄSTERBOTTENS LÄN</t>
        </is>
      </c>
      <c r="E62" t="inlineStr">
        <is>
          <t>DOROTEA</t>
        </is>
      </c>
      <c r="G62" t="n">
        <v>5.2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19709-2019</t>
        </is>
      </c>
      <c r="B63" s="1" t="n">
        <v>43566</v>
      </c>
      <c r="C63" s="1" t="n">
        <v>45702</v>
      </c>
      <c r="D63" t="inlineStr">
        <is>
          <t>VÄSTERBOTTENS LÄN</t>
        </is>
      </c>
      <c r="E63" t="inlineStr">
        <is>
          <t>DOROTEA</t>
        </is>
      </c>
      <c r="G63" t="n">
        <v>2.5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22272-2019</t>
        </is>
      </c>
      <c r="B64" s="1" t="n">
        <v>43585</v>
      </c>
      <c r="C64" s="1" t="n">
        <v>45702</v>
      </c>
      <c r="D64" t="inlineStr">
        <is>
          <t>VÄSTERBOTTENS LÄN</t>
        </is>
      </c>
      <c r="E64" t="inlineStr">
        <is>
          <t>DOROTEA</t>
        </is>
      </c>
      <c r="F64" t="inlineStr">
        <is>
          <t>SCA</t>
        </is>
      </c>
      <c r="G64" t="n">
        <v>21.6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22590-2019</t>
        </is>
      </c>
      <c r="B65" s="1" t="n">
        <v>43587</v>
      </c>
      <c r="C65" s="1" t="n">
        <v>45702</v>
      </c>
      <c r="D65" t="inlineStr">
        <is>
          <t>VÄSTERBOTTENS LÄN</t>
        </is>
      </c>
      <c r="E65" t="inlineStr">
        <is>
          <t>DOROTEA</t>
        </is>
      </c>
      <c r="F65" t="inlineStr">
        <is>
          <t>SCA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23508-2019</t>
        </is>
      </c>
      <c r="B66" s="1" t="n">
        <v>43593</v>
      </c>
      <c r="C66" s="1" t="n">
        <v>45702</v>
      </c>
      <c r="D66" t="inlineStr">
        <is>
          <t>VÄSTERBOTTENS LÄN</t>
        </is>
      </c>
      <c r="E66" t="inlineStr">
        <is>
          <t>DOROTEA</t>
        </is>
      </c>
      <c r="F66" t="inlineStr">
        <is>
          <t>SCA</t>
        </is>
      </c>
      <c r="G66" t="n">
        <v>2.6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25717-2019</t>
        </is>
      </c>
      <c r="B67" s="1" t="n">
        <v>43607</v>
      </c>
      <c r="C67" s="1" t="n">
        <v>45702</v>
      </c>
      <c r="D67" t="inlineStr">
        <is>
          <t>VÄSTERBOTTENS LÄN</t>
        </is>
      </c>
      <c r="E67" t="inlineStr">
        <is>
          <t>DOROTEA</t>
        </is>
      </c>
      <c r="F67" t="inlineStr">
        <is>
          <t>SCA</t>
        </is>
      </c>
      <c r="G67" t="n">
        <v>3.7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26020-2019</t>
        </is>
      </c>
      <c r="B68" s="1" t="n">
        <v>43608</v>
      </c>
      <c r="C68" s="1" t="n">
        <v>45702</v>
      </c>
      <c r="D68" t="inlineStr">
        <is>
          <t>VÄSTERBOTTENS LÄN</t>
        </is>
      </c>
      <c r="E68" t="inlineStr">
        <is>
          <t>DOROTEA</t>
        </is>
      </c>
      <c r="F68" t="inlineStr">
        <is>
          <t>SCA</t>
        </is>
      </c>
      <c r="G68" t="n">
        <v>0.3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26019-2019</t>
        </is>
      </c>
      <c r="B69" s="1" t="n">
        <v>43608</v>
      </c>
      <c r="C69" s="1" t="n">
        <v>45702</v>
      </c>
      <c r="D69" t="inlineStr">
        <is>
          <t>VÄSTERBOTTENS LÄN</t>
        </is>
      </c>
      <c r="E69" t="inlineStr">
        <is>
          <t>DOROTEA</t>
        </is>
      </c>
      <c r="F69" t="inlineStr">
        <is>
          <t>SCA</t>
        </is>
      </c>
      <c r="G69" t="n">
        <v>3.7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26942-2019</t>
        </is>
      </c>
      <c r="B70" s="1" t="n">
        <v>43613</v>
      </c>
      <c r="C70" s="1" t="n">
        <v>45702</v>
      </c>
      <c r="D70" t="inlineStr">
        <is>
          <t>VÄSTERBOTTENS LÄN</t>
        </is>
      </c>
      <c r="E70" t="inlineStr">
        <is>
          <t>DOROTEA</t>
        </is>
      </c>
      <c r="F70" t="inlineStr">
        <is>
          <t>SCA</t>
        </is>
      </c>
      <c r="G70" t="n">
        <v>3.7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28219-2019</t>
        </is>
      </c>
      <c r="B71" s="1" t="n">
        <v>43621</v>
      </c>
      <c r="C71" s="1" t="n">
        <v>45702</v>
      </c>
      <c r="D71" t="inlineStr">
        <is>
          <t>VÄSTERBOTTENS LÄN</t>
        </is>
      </c>
      <c r="E71" t="inlineStr">
        <is>
          <t>DOROTEA</t>
        </is>
      </c>
      <c r="F71" t="inlineStr">
        <is>
          <t>SCA</t>
        </is>
      </c>
      <c r="G71" t="n">
        <v>3.7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30300-2019</t>
        </is>
      </c>
      <c r="B72" s="1" t="n">
        <v>43633</v>
      </c>
      <c r="C72" s="1" t="n">
        <v>45702</v>
      </c>
      <c r="D72" t="inlineStr">
        <is>
          <t>VÄSTERBOTTENS LÄN</t>
        </is>
      </c>
      <c r="E72" t="inlineStr">
        <is>
          <t>DOROTEA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32374-2019</t>
        </is>
      </c>
      <c r="B73" s="1" t="n">
        <v>43636</v>
      </c>
      <c r="C73" s="1" t="n">
        <v>45702</v>
      </c>
      <c r="D73" t="inlineStr">
        <is>
          <t>VÄSTERBOTTENS LÄN</t>
        </is>
      </c>
      <c r="E73" t="inlineStr">
        <is>
          <t>DOROTEA</t>
        </is>
      </c>
      <c r="F73" t="inlineStr">
        <is>
          <t>SCA</t>
        </is>
      </c>
      <c r="G73" t="n">
        <v>9.9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32496-2019</t>
        </is>
      </c>
      <c r="B74" s="1" t="n">
        <v>43644</v>
      </c>
      <c r="C74" s="1" t="n">
        <v>45702</v>
      </c>
      <c r="D74" t="inlineStr">
        <is>
          <t>VÄSTERBOTTENS LÄN</t>
        </is>
      </c>
      <c r="E74" t="inlineStr">
        <is>
          <t>DOROTEA</t>
        </is>
      </c>
      <c r="F74" t="inlineStr">
        <is>
          <t>SCA</t>
        </is>
      </c>
      <c r="G74" t="n">
        <v>2.8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35571-2019</t>
        </is>
      </c>
      <c r="B75" s="1" t="n">
        <v>43664</v>
      </c>
      <c r="C75" s="1" t="n">
        <v>45702</v>
      </c>
      <c r="D75" t="inlineStr">
        <is>
          <t>VÄSTERBOTTENS LÄN</t>
        </is>
      </c>
      <c r="E75" t="inlineStr">
        <is>
          <t>DOROTEA</t>
        </is>
      </c>
      <c r="F75" t="inlineStr">
        <is>
          <t>Sveaskog</t>
        </is>
      </c>
      <c r="G75" t="n">
        <v>30.2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35732-2019</t>
        </is>
      </c>
      <c r="B76" s="1" t="n">
        <v>43664</v>
      </c>
      <c r="C76" s="1" t="n">
        <v>45702</v>
      </c>
      <c r="D76" t="inlineStr">
        <is>
          <t>VÄSTERBOTTENS LÄN</t>
        </is>
      </c>
      <c r="E76" t="inlineStr">
        <is>
          <t>DOROTEA</t>
        </is>
      </c>
      <c r="G76" t="n">
        <v>9.6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37844-2019</t>
        </is>
      </c>
      <c r="B77" s="1" t="n">
        <v>43682</v>
      </c>
      <c r="C77" s="1" t="n">
        <v>45702</v>
      </c>
      <c r="D77" t="inlineStr">
        <is>
          <t>VÄSTERBOTTENS LÄN</t>
        </is>
      </c>
      <c r="E77" t="inlineStr">
        <is>
          <t>DOROTEA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40501-2019</t>
        </is>
      </c>
      <c r="B78" s="1" t="n">
        <v>43696</v>
      </c>
      <c r="C78" s="1" t="n">
        <v>45702</v>
      </c>
      <c r="D78" t="inlineStr">
        <is>
          <t>VÄSTERBOTTENS LÄN</t>
        </is>
      </c>
      <c r="E78" t="inlineStr">
        <is>
          <t>DOROTEA</t>
        </is>
      </c>
      <c r="F78" t="inlineStr">
        <is>
          <t>SCA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43176-2019</t>
        </is>
      </c>
      <c r="B79" s="1" t="n">
        <v>43705</v>
      </c>
      <c r="C79" s="1" t="n">
        <v>45702</v>
      </c>
      <c r="D79" t="inlineStr">
        <is>
          <t>VÄSTERBOTTENS LÄN</t>
        </is>
      </c>
      <c r="E79" t="inlineStr">
        <is>
          <t>DOROTEA</t>
        </is>
      </c>
      <c r="F79" t="inlineStr">
        <is>
          <t>Allmännings- och besparingsskogar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43175-2019</t>
        </is>
      </c>
      <c r="B80" s="1" t="n">
        <v>43705</v>
      </c>
      <c r="C80" s="1" t="n">
        <v>45702</v>
      </c>
      <c r="D80" t="inlineStr">
        <is>
          <t>VÄSTERBOTTENS LÄN</t>
        </is>
      </c>
      <c r="E80" t="inlineStr">
        <is>
          <t>DOROTEA</t>
        </is>
      </c>
      <c r="F80" t="inlineStr">
        <is>
          <t>Allmännings- och besparingsskogar</t>
        </is>
      </c>
      <c r="G80" t="n">
        <v>19.3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43177-2019</t>
        </is>
      </c>
      <c r="B81" s="1" t="n">
        <v>43705</v>
      </c>
      <c r="C81" s="1" t="n">
        <v>45702</v>
      </c>
      <c r="D81" t="inlineStr">
        <is>
          <t>VÄSTERBOTTENS LÄN</t>
        </is>
      </c>
      <c r="E81" t="inlineStr">
        <is>
          <t>DOROTEA</t>
        </is>
      </c>
      <c r="F81" t="inlineStr">
        <is>
          <t>Allmännings- och besparingsskogar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44555-2019</t>
        </is>
      </c>
      <c r="B82" s="1" t="n">
        <v>43706</v>
      </c>
      <c r="C82" s="1" t="n">
        <v>45702</v>
      </c>
      <c r="D82" t="inlineStr">
        <is>
          <t>VÄSTERBOTTENS LÄN</t>
        </is>
      </c>
      <c r="E82" t="inlineStr">
        <is>
          <t>DOROTEA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43952-2019</t>
        </is>
      </c>
      <c r="B83" s="1" t="n">
        <v>43707</v>
      </c>
      <c r="C83" s="1" t="n">
        <v>45702</v>
      </c>
      <c r="D83" t="inlineStr">
        <is>
          <t>VÄSTERBOTTENS LÄN</t>
        </is>
      </c>
      <c r="E83" t="inlineStr">
        <is>
          <t>DOROTEA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45921-2019</t>
        </is>
      </c>
      <c r="B84" s="1" t="n">
        <v>43717</v>
      </c>
      <c r="C84" s="1" t="n">
        <v>45702</v>
      </c>
      <c r="D84" t="inlineStr">
        <is>
          <t>VÄSTERBOTTENS LÄN</t>
        </is>
      </c>
      <c r="E84" t="inlineStr">
        <is>
          <t>DOROTEA</t>
        </is>
      </c>
      <c r="F84" t="inlineStr">
        <is>
          <t>SCA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46748-2019</t>
        </is>
      </c>
      <c r="B85" s="1" t="n">
        <v>43719</v>
      </c>
      <c r="C85" s="1" t="n">
        <v>45702</v>
      </c>
      <c r="D85" t="inlineStr">
        <is>
          <t>VÄSTERBOTTENS LÄN</t>
        </is>
      </c>
      <c r="E85" t="inlineStr">
        <is>
          <t>DOROTEA</t>
        </is>
      </c>
      <c r="F85" t="inlineStr">
        <is>
          <t>SCA</t>
        </is>
      </c>
      <c r="G85" t="n">
        <v>6.2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46746-2019</t>
        </is>
      </c>
      <c r="B86" s="1" t="n">
        <v>43719</v>
      </c>
      <c r="C86" s="1" t="n">
        <v>45702</v>
      </c>
      <c r="D86" t="inlineStr">
        <is>
          <t>VÄSTERBOTTENS LÄN</t>
        </is>
      </c>
      <c r="E86" t="inlineStr">
        <is>
          <t>DOROTEA</t>
        </is>
      </c>
      <c r="F86" t="inlineStr">
        <is>
          <t>SCA</t>
        </is>
      </c>
      <c r="G86" t="n">
        <v>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47784-2019</t>
        </is>
      </c>
      <c r="B87" s="1" t="n">
        <v>43724</v>
      </c>
      <c r="C87" s="1" t="n">
        <v>45702</v>
      </c>
      <c r="D87" t="inlineStr">
        <is>
          <t>VÄSTERBOTTENS LÄN</t>
        </is>
      </c>
      <c r="E87" t="inlineStr">
        <is>
          <t>DOROTEA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48506-2019</t>
        </is>
      </c>
      <c r="B88" s="1" t="n">
        <v>43727</v>
      </c>
      <c r="C88" s="1" t="n">
        <v>45702</v>
      </c>
      <c r="D88" t="inlineStr">
        <is>
          <t>VÄSTERBOTTENS LÄN</t>
        </is>
      </c>
      <c r="E88" t="inlineStr">
        <is>
          <t>DOROTEA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49360-2019</t>
        </is>
      </c>
      <c r="B89" s="1" t="n">
        <v>43731</v>
      </c>
      <c r="C89" s="1" t="n">
        <v>45702</v>
      </c>
      <c r="D89" t="inlineStr">
        <is>
          <t>VÄSTERBOTTENS LÄN</t>
        </is>
      </c>
      <c r="E89" t="inlineStr">
        <is>
          <t>DOROTEA</t>
        </is>
      </c>
      <c r="G89" t="n">
        <v>3.4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53754-2019</t>
        </is>
      </c>
      <c r="B90" s="1" t="n">
        <v>43749</v>
      </c>
      <c r="C90" s="1" t="n">
        <v>45702</v>
      </c>
      <c r="D90" t="inlineStr">
        <is>
          <t>VÄSTERBOTTENS LÄN</t>
        </is>
      </c>
      <c r="E90" t="inlineStr">
        <is>
          <t>DOROTEA</t>
        </is>
      </c>
      <c r="F90" t="inlineStr">
        <is>
          <t>SCA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54426-2019</t>
        </is>
      </c>
      <c r="B91" s="1" t="n">
        <v>43754</v>
      </c>
      <c r="C91" s="1" t="n">
        <v>45702</v>
      </c>
      <c r="D91" t="inlineStr">
        <is>
          <t>VÄSTERBOTTENS LÄN</t>
        </is>
      </c>
      <c r="E91" t="inlineStr">
        <is>
          <t>DOROTEA</t>
        </is>
      </c>
      <c r="G91" t="n">
        <v>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55251-2019</t>
        </is>
      </c>
      <c r="B92" s="1" t="n">
        <v>43755</v>
      </c>
      <c r="C92" s="1" t="n">
        <v>45702</v>
      </c>
      <c r="D92" t="inlineStr">
        <is>
          <t>VÄSTERBOTTENS LÄN</t>
        </is>
      </c>
      <c r="E92" t="inlineStr">
        <is>
          <t>DOROTEA</t>
        </is>
      </c>
      <c r="F92" t="inlineStr">
        <is>
          <t>SCA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57264-2019</t>
        </is>
      </c>
      <c r="B93" s="1" t="n">
        <v>43759</v>
      </c>
      <c r="C93" s="1" t="n">
        <v>45702</v>
      </c>
      <c r="D93" t="inlineStr">
        <is>
          <t>VÄSTERBOTTENS LÄN</t>
        </is>
      </c>
      <c r="E93" t="inlineStr">
        <is>
          <t>DOROTEA</t>
        </is>
      </c>
      <c r="F93" t="inlineStr">
        <is>
          <t>SCA</t>
        </is>
      </c>
      <c r="G93" t="n">
        <v>41.4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57129-2019</t>
        </is>
      </c>
      <c r="B94" s="1" t="n">
        <v>43759</v>
      </c>
      <c r="C94" s="1" t="n">
        <v>45702</v>
      </c>
      <c r="D94" t="inlineStr">
        <is>
          <t>VÄSTERBOTTENS LÄN</t>
        </is>
      </c>
      <c r="E94" t="inlineStr">
        <is>
          <t>DOROTEA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55899-2019</t>
        </is>
      </c>
      <c r="B95" s="1" t="n">
        <v>43761</v>
      </c>
      <c r="C95" s="1" t="n">
        <v>45702</v>
      </c>
      <c r="D95" t="inlineStr">
        <is>
          <t>VÄSTERBOTTENS LÄN</t>
        </is>
      </c>
      <c r="E95" t="inlineStr">
        <is>
          <t>DOROTEA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55895-2019</t>
        </is>
      </c>
      <c r="B96" s="1" t="n">
        <v>43761</v>
      </c>
      <c r="C96" s="1" t="n">
        <v>45702</v>
      </c>
      <c r="D96" t="inlineStr">
        <is>
          <t>VÄSTERBOTTENS LÄN</t>
        </is>
      </c>
      <c r="E96" t="inlineStr">
        <is>
          <t>DOROTEA</t>
        </is>
      </c>
      <c r="G96" t="n">
        <v>8.1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56120-2019</t>
        </is>
      </c>
      <c r="B97" s="1" t="n">
        <v>43761</v>
      </c>
      <c r="C97" s="1" t="n">
        <v>45702</v>
      </c>
      <c r="D97" t="inlineStr">
        <is>
          <t>VÄSTERBOTTENS LÄN</t>
        </is>
      </c>
      <c r="E97" t="inlineStr">
        <is>
          <t>DOROTEA</t>
        </is>
      </c>
      <c r="G97" t="n">
        <v>8.9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59008-2019</t>
        </is>
      </c>
      <c r="B98" s="1" t="n">
        <v>43768</v>
      </c>
      <c r="C98" s="1" t="n">
        <v>45702</v>
      </c>
      <c r="D98" t="inlineStr">
        <is>
          <t>VÄSTERBOTTENS LÄN</t>
        </is>
      </c>
      <c r="E98" t="inlineStr">
        <is>
          <t>DOROTEA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59071-2019</t>
        </is>
      </c>
      <c r="B99" s="1" t="n">
        <v>43774</v>
      </c>
      <c r="C99" s="1" t="n">
        <v>45702</v>
      </c>
      <c r="D99" t="inlineStr">
        <is>
          <t>VÄSTERBOTTENS LÄN</t>
        </is>
      </c>
      <c r="E99" t="inlineStr">
        <is>
          <t>DOROTEA</t>
        </is>
      </c>
      <c r="F99" t="inlineStr">
        <is>
          <t>SCA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62526-2019</t>
        </is>
      </c>
      <c r="B100" s="1" t="n">
        <v>43783</v>
      </c>
      <c r="C100" s="1" t="n">
        <v>45702</v>
      </c>
      <c r="D100" t="inlineStr">
        <is>
          <t>VÄSTERBOTTENS LÄN</t>
        </is>
      </c>
      <c r="E100" t="inlineStr">
        <is>
          <t>DOROTEA</t>
        </is>
      </c>
      <c r="G100" t="n">
        <v>3.7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63896-2019</t>
        </is>
      </c>
      <c r="B101" s="1" t="n">
        <v>43795</v>
      </c>
      <c r="C101" s="1" t="n">
        <v>45702</v>
      </c>
      <c r="D101" t="inlineStr">
        <is>
          <t>VÄSTERBOTTENS LÄN</t>
        </is>
      </c>
      <c r="E101" t="inlineStr">
        <is>
          <t>DOROTEA</t>
        </is>
      </c>
      <c r="G101" t="n">
        <v>4.8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64464-2019</t>
        </is>
      </c>
      <c r="B102" s="1" t="n">
        <v>43797</v>
      </c>
      <c r="C102" s="1" t="n">
        <v>45702</v>
      </c>
      <c r="D102" t="inlineStr">
        <is>
          <t>VÄSTERBOTTENS LÄN</t>
        </is>
      </c>
      <c r="E102" t="inlineStr">
        <is>
          <t>DOROTEA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66150-2019</t>
        </is>
      </c>
      <c r="B103" s="1" t="n">
        <v>43801</v>
      </c>
      <c r="C103" s="1" t="n">
        <v>45702</v>
      </c>
      <c r="D103" t="inlineStr">
        <is>
          <t>VÄSTERBOTTENS LÄN</t>
        </is>
      </c>
      <c r="E103" t="inlineStr">
        <is>
          <t>DOROTEA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65557-2019</t>
        </is>
      </c>
      <c r="B104" s="1" t="n">
        <v>43803</v>
      </c>
      <c r="C104" s="1" t="n">
        <v>45702</v>
      </c>
      <c r="D104" t="inlineStr">
        <is>
          <t>VÄSTERBOTTENS LÄN</t>
        </is>
      </c>
      <c r="E104" t="inlineStr">
        <is>
          <t>DOROTEA</t>
        </is>
      </c>
      <c r="F104" t="inlineStr">
        <is>
          <t>SCA</t>
        </is>
      </c>
      <c r="G104" t="n">
        <v>2.4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65556-2019</t>
        </is>
      </c>
      <c r="B105" s="1" t="n">
        <v>43803</v>
      </c>
      <c r="C105" s="1" t="n">
        <v>45702</v>
      </c>
      <c r="D105" t="inlineStr">
        <is>
          <t>VÄSTERBOTTENS LÄN</t>
        </is>
      </c>
      <c r="E105" t="inlineStr">
        <is>
          <t>DOROTEA</t>
        </is>
      </c>
      <c r="F105" t="inlineStr">
        <is>
          <t>SCA</t>
        </is>
      </c>
      <c r="G105" t="n">
        <v>10.2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66922-2019</t>
        </is>
      </c>
      <c r="B106" s="1" t="n">
        <v>43804</v>
      </c>
      <c r="C106" s="1" t="n">
        <v>45702</v>
      </c>
      <c r="D106" t="inlineStr">
        <is>
          <t>VÄSTERBOTTENS LÄN</t>
        </is>
      </c>
      <c r="E106" t="inlineStr">
        <is>
          <t>DOROTEA</t>
        </is>
      </c>
      <c r="G106" t="n">
        <v>11.2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66382-2019</t>
        </is>
      </c>
      <c r="B107" s="1" t="n">
        <v>43808</v>
      </c>
      <c r="C107" s="1" t="n">
        <v>45702</v>
      </c>
      <c r="D107" t="inlineStr">
        <is>
          <t>VÄSTERBOTTENS LÄN</t>
        </is>
      </c>
      <c r="E107" t="inlineStr">
        <is>
          <t>DOROTEA</t>
        </is>
      </c>
      <c r="F107" t="inlineStr">
        <is>
          <t>SCA</t>
        </is>
      </c>
      <c r="G107" t="n">
        <v>2.7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67223-2019</t>
        </is>
      </c>
      <c r="B108" s="1" t="n">
        <v>43811</v>
      </c>
      <c r="C108" s="1" t="n">
        <v>45702</v>
      </c>
      <c r="D108" t="inlineStr">
        <is>
          <t>VÄSTERBOTTENS LÄN</t>
        </is>
      </c>
      <c r="E108" t="inlineStr">
        <is>
          <t>DOROTEA</t>
        </is>
      </c>
      <c r="G108" t="n">
        <v>5.4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293-2020</t>
        </is>
      </c>
      <c r="B109" s="1" t="n">
        <v>43837</v>
      </c>
      <c r="C109" s="1" t="n">
        <v>45702</v>
      </c>
      <c r="D109" t="inlineStr">
        <is>
          <t>VÄSTERBOTTENS LÄN</t>
        </is>
      </c>
      <c r="E109" t="inlineStr">
        <is>
          <t>DOROTEA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1276-2020</t>
        </is>
      </c>
      <c r="B110" s="1" t="n">
        <v>43841</v>
      </c>
      <c r="C110" s="1" t="n">
        <v>45702</v>
      </c>
      <c r="D110" t="inlineStr">
        <is>
          <t>VÄSTERBOTTENS LÄN</t>
        </is>
      </c>
      <c r="E110" t="inlineStr">
        <is>
          <t>DOROTEA</t>
        </is>
      </c>
      <c r="G110" t="n">
        <v>10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3770-2020</t>
        </is>
      </c>
      <c r="B111" s="1" t="n">
        <v>43854</v>
      </c>
      <c r="C111" s="1" t="n">
        <v>45702</v>
      </c>
      <c r="D111" t="inlineStr">
        <is>
          <t>VÄSTERBOTTENS LÄN</t>
        </is>
      </c>
      <c r="E111" t="inlineStr">
        <is>
          <t>DOROTEA</t>
        </is>
      </c>
      <c r="G111" t="n">
        <v>2.4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6570-2020</t>
        </is>
      </c>
      <c r="B112" s="1" t="n">
        <v>43864</v>
      </c>
      <c r="C112" s="1" t="n">
        <v>45702</v>
      </c>
      <c r="D112" t="inlineStr">
        <is>
          <t>VÄSTERBOTTENS LÄN</t>
        </is>
      </c>
      <c r="E112" t="inlineStr">
        <is>
          <t>DOROTEA</t>
        </is>
      </c>
      <c r="G112" t="n">
        <v>5.4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10073-2020</t>
        </is>
      </c>
      <c r="B113" s="1" t="n">
        <v>43884</v>
      </c>
      <c r="C113" s="1" t="n">
        <v>45702</v>
      </c>
      <c r="D113" t="inlineStr">
        <is>
          <t>VÄSTERBOTTENS LÄN</t>
        </is>
      </c>
      <c r="E113" t="inlineStr">
        <is>
          <t>DOROTEA</t>
        </is>
      </c>
      <c r="G113" t="n">
        <v>0.1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12589-2020</t>
        </is>
      </c>
      <c r="B114" s="1" t="n">
        <v>43899</v>
      </c>
      <c r="C114" s="1" t="n">
        <v>45702</v>
      </c>
      <c r="D114" t="inlineStr">
        <is>
          <t>VÄSTERBOTTENS LÄN</t>
        </is>
      </c>
      <c r="E114" t="inlineStr">
        <is>
          <t>DOROTEA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12870-2020</t>
        </is>
      </c>
      <c r="B115" s="1" t="n">
        <v>43899</v>
      </c>
      <c r="C115" s="1" t="n">
        <v>45702</v>
      </c>
      <c r="D115" t="inlineStr">
        <is>
          <t>VÄSTERBOTTENS LÄN</t>
        </is>
      </c>
      <c r="E115" t="inlineStr">
        <is>
          <t>DOROTEA</t>
        </is>
      </c>
      <c r="G115" t="n">
        <v>22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21025-2020</t>
        </is>
      </c>
      <c r="B116" s="1" t="n">
        <v>43950</v>
      </c>
      <c r="C116" s="1" t="n">
        <v>45702</v>
      </c>
      <c r="D116" t="inlineStr">
        <is>
          <t>VÄSTERBOTTENS LÄN</t>
        </is>
      </c>
      <c r="E116" t="inlineStr">
        <is>
          <t>DOROTEA</t>
        </is>
      </c>
      <c r="F116" t="inlineStr">
        <is>
          <t>SCA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21398-2020</t>
        </is>
      </c>
      <c r="B117" s="1" t="n">
        <v>43955</v>
      </c>
      <c r="C117" s="1" t="n">
        <v>45702</v>
      </c>
      <c r="D117" t="inlineStr">
        <is>
          <t>VÄSTERBOTTENS LÄN</t>
        </is>
      </c>
      <c r="E117" t="inlineStr">
        <is>
          <t>DOROTEA</t>
        </is>
      </c>
      <c r="G117" t="n">
        <v>17.4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28210-2020</t>
        </is>
      </c>
      <c r="B118" s="1" t="n">
        <v>43997</v>
      </c>
      <c r="C118" s="1" t="n">
        <v>45702</v>
      </c>
      <c r="D118" t="inlineStr">
        <is>
          <t>VÄSTERBOTTENS LÄN</t>
        </is>
      </c>
      <c r="E118" t="inlineStr">
        <is>
          <t>DOROTEA</t>
        </is>
      </c>
      <c r="F118" t="inlineStr">
        <is>
          <t>SCA</t>
        </is>
      </c>
      <c r="G118" t="n">
        <v>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28790-2020</t>
        </is>
      </c>
      <c r="B119" s="1" t="n">
        <v>44000</v>
      </c>
      <c r="C119" s="1" t="n">
        <v>45702</v>
      </c>
      <c r="D119" t="inlineStr">
        <is>
          <t>VÄSTERBOTTENS LÄN</t>
        </is>
      </c>
      <c r="E119" t="inlineStr">
        <is>
          <t>DOROTEA</t>
        </is>
      </c>
      <c r="G119" t="n">
        <v>11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29468-2020</t>
        </is>
      </c>
      <c r="B120" s="1" t="n">
        <v>44004</v>
      </c>
      <c r="C120" s="1" t="n">
        <v>45702</v>
      </c>
      <c r="D120" t="inlineStr">
        <is>
          <t>VÄSTERBOTTENS LÄN</t>
        </is>
      </c>
      <c r="E120" t="inlineStr">
        <is>
          <t>DOROTEA</t>
        </is>
      </c>
      <c r="F120" t="inlineStr">
        <is>
          <t>SCA</t>
        </is>
      </c>
      <c r="G120" t="n">
        <v>3.5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29778-2020</t>
        </is>
      </c>
      <c r="B121" s="1" t="n">
        <v>44005</v>
      </c>
      <c r="C121" s="1" t="n">
        <v>45702</v>
      </c>
      <c r="D121" t="inlineStr">
        <is>
          <t>VÄSTERBOTTENS LÄN</t>
        </is>
      </c>
      <c r="E121" t="inlineStr">
        <is>
          <t>DOROTEA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29799-2020</t>
        </is>
      </c>
      <c r="B122" s="1" t="n">
        <v>44005</v>
      </c>
      <c r="C122" s="1" t="n">
        <v>45702</v>
      </c>
      <c r="D122" t="inlineStr">
        <is>
          <t>VÄSTERBOTTENS LÄN</t>
        </is>
      </c>
      <c r="E122" t="inlineStr">
        <is>
          <t>DOROTEA</t>
        </is>
      </c>
      <c r="F122" t="inlineStr">
        <is>
          <t>SCA</t>
        </is>
      </c>
      <c r="G122" t="n">
        <v>4.1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31019-2020</t>
        </is>
      </c>
      <c r="B123" s="1" t="n">
        <v>44011</v>
      </c>
      <c r="C123" s="1" t="n">
        <v>45702</v>
      </c>
      <c r="D123" t="inlineStr">
        <is>
          <t>VÄSTERBOTTENS LÄN</t>
        </is>
      </c>
      <c r="E123" t="inlineStr">
        <is>
          <t>DOROTEA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31017-2020</t>
        </is>
      </c>
      <c r="B124" s="1" t="n">
        <v>44011</v>
      </c>
      <c r="C124" s="1" t="n">
        <v>45702</v>
      </c>
      <c r="D124" t="inlineStr">
        <is>
          <t>VÄSTERBOTTENS LÄN</t>
        </is>
      </c>
      <c r="E124" t="inlineStr">
        <is>
          <t>DOROTEA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31296-2020</t>
        </is>
      </c>
      <c r="B125" s="1" t="n">
        <v>44012</v>
      </c>
      <c r="C125" s="1" t="n">
        <v>45702</v>
      </c>
      <c r="D125" t="inlineStr">
        <is>
          <t>VÄSTERBOTTENS LÄN</t>
        </is>
      </c>
      <c r="E125" t="inlineStr">
        <is>
          <t>DOROTEA</t>
        </is>
      </c>
      <c r="G125" t="n">
        <v>31.1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32298-2020</t>
        </is>
      </c>
      <c r="B126" s="1" t="n">
        <v>44015</v>
      </c>
      <c r="C126" s="1" t="n">
        <v>45702</v>
      </c>
      <c r="D126" t="inlineStr">
        <is>
          <t>VÄSTERBOTTENS LÄN</t>
        </is>
      </c>
      <c r="E126" t="inlineStr">
        <is>
          <t>DOROTEA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40417-2020</t>
        </is>
      </c>
      <c r="B127" s="1" t="n">
        <v>44068</v>
      </c>
      <c r="C127" s="1" t="n">
        <v>45702</v>
      </c>
      <c r="D127" t="inlineStr">
        <is>
          <t>VÄSTERBOTTENS LÄN</t>
        </is>
      </c>
      <c r="E127" t="inlineStr">
        <is>
          <t>DOROTEA</t>
        </is>
      </c>
      <c r="F127" t="inlineStr">
        <is>
          <t>SCA</t>
        </is>
      </c>
      <c r="G127" t="n">
        <v>3.5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43616-2020</t>
        </is>
      </c>
      <c r="B128" s="1" t="n">
        <v>44078</v>
      </c>
      <c r="C128" s="1" t="n">
        <v>45702</v>
      </c>
      <c r="D128" t="inlineStr">
        <is>
          <t>VÄSTERBOTTENS LÄN</t>
        </is>
      </c>
      <c r="E128" t="inlineStr">
        <is>
          <t>DOROTEA</t>
        </is>
      </c>
      <c r="G128" t="n">
        <v>4.4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44250-2020</t>
        </is>
      </c>
      <c r="B129" s="1" t="n">
        <v>44082</v>
      </c>
      <c r="C129" s="1" t="n">
        <v>45702</v>
      </c>
      <c r="D129" t="inlineStr">
        <is>
          <t>VÄSTERBOTTENS LÄN</t>
        </is>
      </c>
      <c r="E129" t="inlineStr">
        <is>
          <t>DOROTEA</t>
        </is>
      </c>
      <c r="F129" t="inlineStr">
        <is>
          <t>Övriga statliga verk och myndigheter</t>
        </is>
      </c>
      <c r="G129" t="n">
        <v>11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46761-2020</t>
        </is>
      </c>
      <c r="B130" s="1" t="n">
        <v>44095</v>
      </c>
      <c r="C130" s="1" t="n">
        <v>45702</v>
      </c>
      <c r="D130" t="inlineStr">
        <is>
          <t>VÄSTERBOTTENS LÄN</t>
        </is>
      </c>
      <c r="E130" t="inlineStr">
        <is>
          <t>DOROTEA</t>
        </is>
      </c>
      <c r="F130" t="inlineStr">
        <is>
          <t>SCA</t>
        </is>
      </c>
      <c r="G130" t="n">
        <v>19.6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46762-2020</t>
        </is>
      </c>
      <c r="B131" s="1" t="n">
        <v>44095</v>
      </c>
      <c r="C131" s="1" t="n">
        <v>45702</v>
      </c>
      <c r="D131" t="inlineStr">
        <is>
          <t>VÄSTERBOTTENS LÄN</t>
        </is>
      </c>
      <c r="E131" t="inlineStr">
        <is>
          <t>DOROTEA</t>
        </is>
      </c>
      <c r="F131" t="inlineStr">
        <is>
          <t>SCA</t>
        </is>
      </c>
      <c r="G131" t="n">
        <v>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49150-2020</t>
        </is>
      </c>
      <c r="B132" s="1" t="n">
        <v>44104</v>
      </c>
      <c r="C132" s="1" t="n">
        <v>45702</v>
      </c>
      <c r="D132" t="inlineStr">
        <is>
          <t>VÄSTERBOTTENS LÄN</t>
        </is>
      </c>
      <c r="E132" t="inlineStr">
        <is>
          <t>DOROTEA</t>
        </is>
      </c>
      <c r="F132" t="inlineStr">
        <is>
          <t>SCA</t>
        </is>
      </c>
      <c r="G132" t="n">
        <v>4.5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49675-2020</t>
        </is>
      </c>
      <c r="B133" s="1" t="n">
        <v>44104</v>
      </c>
      <c r="C133" s="1" t="n">
        <v>45702</v>
      </c>
      <c r="D133" t="inlineStr">
        <is>
          <t>VÄSTERBOTTENS LÄN</t>
        </is>
      </c>
      <c r="E133" t="inlineStr">
        <is>
          <t>DOROTEA</t>
        </is>
      </c>
      <c r="F133" t="inlineStr">
        <is>
          <t>SCA</t>
        </is>
      </c>
      <c r="G133" t="n">
        <v>2.2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52575-2020</t>
        </is>
      </c>
      <c r="B134" s="1" t="n">
        <v>44118</v>
      </c>
      <c r="C134" s="1" t="n">
        <v>45702</v>
      </c>
      <c r="D134" t="inlineStr">
        <is>
          <t>VÄSTERBOTTENS LÄN</t>
        </is>
      </c>
      <c r="E134" t="inlineStr">
        <is>
          <t>DOROTEA</t>
        </is>
      </c>
      <c r="G134" t="n">
        <v>12.5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52969-2020</t>
        </is>
      </c>
      <c r="B135" s="1" t="n">
        <v>44120</v>
      </c>
      <c r="C135" s="1" t="n">
        <v>45702</v>
      </c>
      <c r="D135" t="inlineStr">
        <is>
          <t>VÄSTERBOTTENS LÄN</t>
        </is>
      </c>
      <c r="E135" t="inlineStr">
        <is>
          <t>DOROTEA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55930-2020</t>
        </is>
      </c>
      <c r="B136" s="1" t="n">
        <v>44132</v>
      </c>
      <c r="C136" s="1" t="n">
        <v>45702</v>
      </c>
      <c r="D136" t="inlineStr">
        <is>
          <t>VÄSTERBOTTENS LÄN</t>
        </is>
      </c>
      <c r="E136" t="inlineStr">
        <is>
          <t>DOROTEA</t>
        </is>
      </c>
      <c r="F136" t="inlineStr">
        <is>
          <t>SCA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56560-2020</t>
        </is>
      </c>
      <c r="B137" s="1" t="n">
        <v>44133</v>
      </c>
      <c r="C137" s="1" t="n">
        <v>45702</v>
      </c>
      <c r="D137" t="inlineStr">
        <is>
          <t>VÄSTERBOTTENS LÄN</t>
        </is>
      </c>
      <c r="E137" t="inlineStr">
        <is>
          <t>DOROTEA</t>
        </is>
      </c>
      <c r="G137" t="n">
        <v>14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60041-2020</t>
        </is>
      </c>
      <c r="B138" s="1" t="n">
        <v>44151</v>
      </c>
      <c r="C138" s="1" t="n">
        <v>45702</v>
      </c>
      <c r="D138" t="inlineStr">
        <is>
          <t>VÄSTERBOTTENS LÄN</t>
        </is>
      </c>
      <c r="E138" t="inlineStr">
        <is>
          <t>DOROTEA</t>
        </is>
      </c>
      <c r="F138" t="inlineStr">
        <is>
          <t>SCA</t>
        </is>
      </c>
      <c r="G138" t="n">
        <v>2.3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60399-2020</t>
        </is>
      </c>
      <c r="B139" s="1" t="n">
        <v>44152</v>
      </c>
      <c r="C139" s="1" t="n">
        <v>45702</v>
      </c>
      <c r="D139" t="inlineStr">
        <is>
          <t>VÄSTERBOTTENS LÄN</t>
        </is>
      </c>
      <c r="E139" t="inlineStr">
        <is>
          <t>DOROTEA</t>
        </is>
      </c>
      <c r="F139" t="inlineStr">
        <is>
          <t>SCA</t>
        </is>
      </c>
      <c r="G139" t="n">
        <v>9.9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60398-2020</t>
        </is>
      </c>
      <c r="B140" s="1" t="n">
        <v>44152</v>
      </c>
      <c r="C140" s="1" t="n">
        <v>45702</v>
      </c>
      <c r="D140" t="inlineStr">
        <is>
          <t>VÄSTERBOTTENS LÄN</t>
        </is>
      </c>
      <c r="E140" t="inlineStr">
        <is>
          <t>DOROTEA</t>
        </is>
      </c>
      <c r="F140" t="inlineStr">
        <is>
          <t>SCA</t>
        </is>
      </c>
      <c r="G140" t="n">
        <v>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64473-2020</t>
        </is>
      </c>
      <c r="B141" s="1" t="n">
        <v>44168</v>
      </c>
      <c r="C141" s="1" t="n">
        <v>45702</v>
      </c>
      <c r="D141" t="inlineStr">
        <is>
          <t>VÄSTERBOTTENS LÄN</t>
        </is>
      </c>
      <c r="E141" t="inlineStr">
        <is>
          <t>DOROTEA</t>
        </is>
      </c>
      <c r="G141" t="n">
        <v>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64497-2020</t>
        </is>
      </c>
      <c r="B142" s="1" t="n">
        <v>44168</v>
      </c>
      <c r="C142" s="1" t="n">
        <v>45702</v>
      </c>
      <c r="D142" t="inlineStr">
        <is>
          <t>VÄSTERBOTTENS LÄN</t>
        </is>
      </c>
      <c r="E142" t="inlineStr">
        <is>
          <t>DOROTEA</t>
        </is>
      </c>
      <c r="F142" t="inlineStr">
        <is>
          <t>SCA</t>
        </is>
      </c>
      <c r="G142" t="n">
        <v>2.6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64496-2020</t>
        </is>
      </c>
      <c r="B143" s="1" t="n">
        <v>44168</v>
      </c>
      <c r="C143" s="1" t="n">
        <v>45702</v>
      </c>
      <c r="D143" t="inlineStr">
        <is>
          <t>VÄSTERBOTTENS LÄN</t>
        </is>
      </c>
      <c r="E143" t="inlineStr">
        <is>
          <t>DOROTEA</t>
        </is>
      </c>
      <c r="F143" t="inlineStr">
        <is>
          <t>SCA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65441-2020</t>
        </is>
      </c>
      <c r="B144" s="1" t="n">
        <v>44169</v>
      </c>
      <c r="C144" s="1" t="n">
        <v>45702</v>
      </c>
      <c r="D144" t="inlineStr">
        <is>
          <t>VÄSTERBOTTENS LÄN</t>
        </is>
      </c>
      <c r="E144" t="inlineStr">
        <is>
          <t>DOROTEA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4164-2021</t>
        </is>
      </c>
      <c r="B145" s="1" t="n">
        <v>44223</v>
      </c>
      <c r="C145" s="1" t="n">
        <v>45702</v>
      </c>
      <c r="D145" t="inlineStr">
        <is>
          <t>VÄSTERBOTTENS LÄN</t>
        </is>
      </c>
      <c r="E145" t="inlineStr">
        <is>
          <t>DOROTEA</t>
        </is>
      </c>
      <c r="G145" t="n">
        <v>4.1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6489-2021</t>
        </is>
      </c>
      <c r="B146" s="1" t="n">
        <v>44235</v>
      </c>
      <c r="C146" s="1" t="n">
        <v>45702</v>
      </c>
      <c r="D146" t="inlineStr">
        <is>
          <t>VÄSTERBOTTENS LÄN</t>
        </is>
      </c>
      <c r="E146" t="inlineStr">
        <is>
          <t>DOROTEA</t>
        </is>
      </c>
      <c r="F146" t="inlineStr">
        <is>
          <t>SCA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11707-2021</t>
        </is>
      </c>
      <c r="B147" s="1" t="n">
        <v>44264</v>
      </c>
      <c r="C147" s="1" t="n">
        <v>45702</v>
      </c>
      <c r="D147" t="inlineStr">
        <is>
          <t>VÄSTERBOTTENS LÄN</t>
        </is>
      </c>
      <c r="E147" t="inlineStr">
        <is>
          <t>DOROTEA</t>
        </is>
      </c>
      <c r="F147" t="inlineStr">
        <is>
          <t>SCA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13059-2021</t>
        </is>
      </c>
      <c r="B148" s="1" t="n">
        <v>44271</v>
      </c>
      <c r="C148" s="1" t="n">
        <v>45702</v>
      </c>
      <c r="D148" t="inlineStr">
        <is>
          <t>VÄSTERBOTTENS LÄN</t>
        </is>
      </c>
      <c r="E148" t="inlineStr">
        <is>
          <t>DOROTEA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16777-2021</t>
        </is>
      </c>
      <c r="B149" s="1" t="n">
        <v>44294</v>
      </c>
      <c r="C149" s="1" t="n">
        <v>45702</v>
      </c>
      <c r="D149" t="inlineStr">
        <is>
          <t>VÄSTERBOTTENS LÄN</t>
        </is>
      </c>
      <c r="E149" t="inlineStr">
        <is>
          <t>DOROTEA</t>
        </is>
      </c>
      <c r="G149" t="n">
        <v>2.8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24203-2021</t>
        </is>
      </c>
      <c r="B150" s="1" t="n">
        <v>44336</v>
      </c>
      <c r="C150" s="1" t="n">
        <v>45702</v>
      </c>
      <c r="D150" t="inlineStr">
        <is>
          <t>VÄSTERBOTTENS LÄN</t>
        </is>
      </c>
      <c r="E150" t="inlineStr">
        <is>
          <t>DOROTEA</t>
        </is>
      </c>
      <c r="G150" t="n">
        <v>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24207-2021</t>
        </is>
      </c>
      <c r="B151" s="1" t="n">
        <v>44336</v>
      </c>
      <c r="C151" s="1" t="n">
        <v>45702</v>
      </c>
      <c r="D151" t="inlineStr">
        <is>
          <t>VÄSTERBOTTENS LÄN</t>
        </is>
      </c>
      <c r="E151" t="inlineStr">
        <is>
          <t>DOROTEA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24206-2021</t>
        </is>
      </c>
      <c r="B152" s="1" t="n">
        <v>44336</v>
      </c>
      <c r="C152" s="1" t="n">
        <v>45702</v>
      </c>
      <c r="D152" t="inlineStr">
        <is>
          <t>VÄSTERBOTTENS LÄN</t>
        </is>
      </c>
      <c r="E152" t="inlineStr">
        <is>
          <t>DOROTEA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24364-2021</t>
        </is>
      </c>
      <c r="B153" s="1" t="n">
        <v>44337</v>
      </c>
      <c r="C153" s="1" t="n">
        <v>45702</v>
      </c>
      <c r="D153" t="inlineStr">
        <is>
          <t>VÄSTERBOTTENS LÄN</t>
        </is>
      </c>
      <c r="E153" t="inlineStr">
        <is>
          <t>DOROTEA</t>
        </is>
      </c>
      <c r="F153" t="inlineStr">
        <is>
          <t>SCA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27506-2021</t>
        </is>
      </c>
      <c r="B154" s="1" t="n">
        <v>44351</v>
      </c>
      <c r="C154" s="1" t="n">
        <v>45702</v>
      </c>
      <c r="D154" t="inlineStr">
        <is>
          <t>VÄSTERBOTTENS LÄN</t>
        </is>
      </c>
      <c r="E154" t="inlineStr">
        <is>
          <t>DOROTEA</t>
        </is>
      </c>
      <c r="F154" t="inlineStr">
        <is>
          <t>Kommuner</t>
        </is>
      </c>
      <c r="G154" t="n">
        <v>0.2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27511-2021</t>
        </is>
      </c>
      <c r="B155" s="1" t="n">
        <v>44351</v>
      </c>
      <c r="C155" s="1" t="n">
        <v>45702</v>
      </c>
      <c r="D155" t="inlineStr">
        <is>
          <t>VÄSTERBOTTENS LÄN</t>
        </is>
      </c>
      <c r="E155" t="inlineStr">
        <is>
          <t>DOROTEA</t>
        </is>
      </c>
      <c r="F155" t="inlineStr">
        <is>
          <t>Kommuner</t>
        </is>
      </c>
      <c r="G155" t="n">
        <v>0.2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27503-2021</t>
        </is>
      </c>
      <c r="B156" s="1" t="n">
        <v>44351</v>
      </c>
      <c r="C156" s="1" t="n">
        <v>45702</v>
      </c>
      <c r="D156" t="inlineStr">
        <is>
          <t>VÄSTERBOTTENS LÄN</t>
        </is>
      </c>
      <c r="E156" t="inlineStr">
        <is>
          <t>DOROTEA</t>
        </is>
      </c>
      <c r="F156" t="inlineStr">
        <is>
          <t>Kommuner</t>
        </is>
      </c>
      <c r="G156" t="n">
        <v>0.2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27509-2021</t>
        </is>
      </c>
      <c r="B157" s="1" t="n">
        <v>44351</v>
      </c>
      <c r="C157" s="1" t="n">
        <v>45702</v>
      </c>
      <c r="D157" t="inlineStr">
        <is>
          <t>VÄSTERBOTTENS LÄN</t>
        </is>
      </c>
      <c r="E157" t="inlineStr">
        <is>
          <t>DOROTEA</t>
        </is>
      </c>
      <c r="G157" t="n">
        <v>0.3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27508-2021</t>
        </is>
      </c>
      <c r="B158" s="1" t="n">
        <v>44351</v>
      </c>
      <c r="C158" s="1" t="n">
        <v>45702</v>
      </c>
      <c r="D158" t="inlineStr">
        <is>
          <t>VÄSTERBOTTENS LÄN</t>
        </is>
      </c>
      <c r="E158" t="inlineStr">
        <is>
          <t>DOROTEA</t>
        </is>
      </c>
      <c r="F158" t="inlineStr">
        <is>
          <t>Kommuner</t>
        </is>
      </c>
      <c r="G158" t="n">
        <v>0.2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27514-2021</t>
        </is>
      </c>
      <c r="B159" s="1" t="n">
        <v>44351</v>
      </c>
      <c r="C159" s="1" t="n">
        <v>45702</v>
      </c>
      <c r="D159" t="inlineStr">
        <is>
          <t>VÄSTERBOTTENS LÄN</t>
        </is>
      </c>
      <c r="E159" t="inlineStr">
        <is>
          <t>DOROTEA</t>
        </is>
      </c>
      <c r="F159" t="inlineStr">
        <is>
          <t>Kommuner</t>
        </is>
      </c>
      <c r="G159" t="n">
        <v>0.1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33218-2021</t>
        </is>
      </c>
      <c r="B160" s="1" t="n">
        <v>44377</v>
      </c>
      <c r="C160" s="1" t="n">
        <v>45702</v>
      </c>
      <c r="D160" t="inlineStr">
        <is>
          <t>VÄSTERBOTTENS LÄN</t>
        </is>
      </c>
      <c r="E160" t="inlineStr">
        <is>
          <t>DOROTEA</t>
        </is>
      </c>
      <c r="F160" t="inlineStr">
        <is>
          <t>SCA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33286-2021</t>
        </is>
      </c>
      <c r="B161" s="1" t="n">
        <v>44377</v>
      </c>
      <c r="C161" s="1" t="n">
        <v>45702</v>
      </c>
      <c r="D161" t="inlineStr">
        <is>
          <t>VÄSTERBOTTENS LÄN</t>
        </is>
      </c>
      <c r="E161" t="inlineStr">
        <is>
          <t>DOROTEA</t>
        </is>
      </c>
      <c r="G161" t="n">
        <v>0.2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33292-2021</t>
        </is>
      </c>
      <c r="B162" s="1" t="n">
        <v>44377</v>
      </c>
      <c r="C162" s="1" t="n">
        <v>45702</v>
      </c>
      <c r="D162" t="inlineStr">
        <is>
          <t>VÄSTERBOTTENS LÄN</t>
        </is>
      </c>
      <c r="E162" t="inlineStr">
        <is>
          <t>DOROTEA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33294-2021</t>
        </is>
      </c>
      <c r="B163" s="1" t="n">
        <v>44377</v>
      </c>
      <c r="C163" s="1" t="n">
        <v>45702</v>
      </c>
      <c r="D163" t="inlineStr">
        <is>
          <t>VÄSTERBOTTENS LÄN</t>
        </is>
      </c>
      <c r="E163" t="inlineStr">
        <is>
          <t>DOROTEA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35040-2021</t>
        </is>
      </c>
      <c r="B164" s="1" t="n">
        <v>44383</v>
      </c>
      <c r="C164" s="1" t="n">
        <v>45702</v>
      </c>
      <c r="D164" t="inlineStr">
        <is>
          <t>VÄSTERBOTTENS LÄN</t>
        </is>
      </c>
      <c r="E164" t="inlineStr">
        <is>
          <t>DOROTEA</t>
        </is>
      </c>
      <c r="G164" t="n">
        <v>0.2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38781-2021</t>
        </is>
      </c>
      <c r="B165" s="1" t="n">
        <v>44410</v>
      </c>
      <c r="C165" s="1" t="n">
        <v>45702</v>
      </c>
      <c r="D165" t="inlineStr">
        <is>
          <t>VÄSTERBOTTENS LÄN</t>
        </is>
      </c>
      <c r="E165" t="inlineStr">
        <is>
          <t>DOROTEA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39603-2021</t>
        </is>
      </c>
      <c r="B166" s="1" t="n">
        <v>44417</v>
      </c>
      <c r="C166" s="1" t="n">
        <v>45702</v>
      </c>
      <c r="D166" t="inlineStr">
        <is>
          <t>VÄSTERBOTTENS LÄN</t>
        </is>
      </c>
      <c r="E166" t="inlineStr">
        <is>
          <t>DOROTEA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43210-2021</t>
        </is>
      </c>
      <c r="B167" s="1" t="n">
        <v>44432</v>
      </c>
      <c r="C167" s="1" t="n">
        <v>45702</v>
      </c>
      <c r="D167" t="inlineStr">
        <is>
          <t>VÄSTERBOTTENS LÄN</t>
        </is>
      </c>
      <c r="E167" t="inlineStr">
        <is>
          <t>DOROTEA</t>
        </is>
      </c>
      <c r="F167" t="inlineStr">
        <is>
          <t>SCA</t>
        </is>
      </c>
      <c r="G167" t="n">
        <v>5.9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43211-2021</t>
        </is>
      </c>
      <c r="B168" s="1" t="n">
        <v>44431</v>
      </c>
      <c r="C168" s="1" t="n">
        <v>45702</v>
      </c>
      <c r="D168" t="inlineStr">
        <is>
          <t>VÄSTERBOTTENS LÄN</t>
        </is>
      </c>
      <c r="E168" t="inlineStr">
        <is>
          <t>DOROTEA</t>
        </is>
      </c>
      <c r="F168" t="inlineStr">
        <is>
          <t>SCA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52361-2021</t>
        </is>
      </c>
      <c r="B169" s="1" t="n">
        <v>44465</v>
      </c>
      <c r="C169" s="1" t="n">
        <v>45702</v>
      </c>
      <c r="D169" t="inlineStr">
        <is>
          <t>VÄSTERBOTTENS LÄN</t>
        </is>
      </c>
      <c r="E169" t="inlineStr">
        <is>
          <t>DOROTEA</t>
        </is>
      </c>
      <c r="G169" t="n">
        <v>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52362-2021</t>
        </is>
      </c>
      <c r="B170" s="1" t="n">
        <v>44465</v>
      </c>
      <c r="C170" s="1" t="n">
        <v>45702</v>
      </c>
      <c r="D170" t="inlineStr">
        <is>
          <t>VÄSTERBOTTENS LÄN</t>
        </is>
      </c>
      <c r="E170" t="inlineStr">
        <is>
          <t>DOROTEA</t>
        </is>
      </c>
      <c r="G170" t="n">
        <v>4.2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52363-2021</t>
        </is>
      </c>
      <c r="B171" s="1" t="n">
        <v>44465</v>
      </c>
      <c r="C171" s="1" t="n">
        <v>45702</v>
      </c>
      <c r="D171" t="inlineStr">
        <is>
          <t>VÄSTERBOTTENS LÄN</t>
        </is>
      </c>
      <c r="E171" t="inlineStr">
        <is>
          <t>DOROTEA</t>
        </is>
      </c>
      <c r="G171" t="n">
        <v>7.7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56807-2021</t>
        </is>
      </c>
      <c r="B172" s="1" t="n">
        <v>44481</v>
      </c>
      <c r="C172" s="1" t="n">
        <v>45702</v>
      </c>
      <c r="D172" t="inlineStr">
        <is>
          <t>VÄSTERBOTTENS LÄN</t>
        </is>
      </c>
      <c r="E172" t="inlineStr">
        <is>
          <t>DOROTEA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57573-2021</t>
        </is>
      </c>
      <c r="B173" s="1" t="n">
        <v>44482</v>
      </c>
      <c r="C173" s="1" t="n">
        <v>45702</v>
      </c>
      <c r="D173" t="inlineStr">
        <is>
          <t>VÄSTERBOTTENS LÄN</t>
        </is>
      </c>
      <c r="E173" t="inlineStr">
        <is>
          <t>DOROTEA</t>
        </is>
      </c>
      <c r="F173" t="inlineStr">
        <is>
          <t>Övriga statliga verk och myndigheter</t>
        </is>
      </c>
      <c r="G173" t="n">
        <v>12.3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57580-2021</t>
        </is>
      </c>
      <c r="B174" s="1" t="n">
        <v>44482</v>
      </c>
      <c r="C174" s="1" t="n">
        <v>45702</v>
      </c>
      <c r="D174" t="inlineStr">
        <is>
          <t>VÄSTERBOTTENS LÄN</t>
        </is>
      </c>
      <c r="E174" t="inlineStr">
        <is>
          <t>DOROTEA</t>
        </is>
      </c>
      <c r="F174" t="inlineStr">
        <is>
          <t>Övriga statliga verk och myndigheter</t>
        </is>
      </c>
      <c r="G174" t="n">
        <v>7.5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57585-2021</t>
        </is>
      </c>
      <c r="B175" s="1" t="n">
        <v>44483</v>
      </c>
      <c r="C175" s="1" t="n">
        <v>45702</v>
      </c>
      <c r="D175" t="inlineStr">
        <is>
          <t>VÄSTERBOTTENS LÄN</t>
        </is>
      </c>
      <c r="E175" t="inlineStr">
        <is>
          <t>DOROTEA</t>
        </is>
      </c>
      <c r="F175" t="inlineStr">
        <is>
          <t>Övriga statliga verk och myndigheter</t>
        </is>
      </c>
      <c r="G175" t="n">
        <v>18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57579-2021</t>
        </is>
      </c>
      <c r="B176" s="1" t="n">
        <v>44483</v>
      </c>
      <c r="C176" s="1" t="n">
        <v>45702</v>
      </c>
      <c r="D176" t="inlineStr">
        <is>
          <t>VÄSTERBOTTENS LÄN</t>
        </is>
      </c>
      <c r="E176" t="inlineStr">
        <is>
          <t>DOROTEA</t>
        </is>
      </c>
      <c r="F176" t="inlineStr">
        <is>
          <t>Övriga statliga verk och myndigheter</t>
        </is>
      </c>
      <c r="G176" t="n">
        <v>22.9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57955-2021</t>
        </is>
      </c>
      <c r="B177" s="1" t="n">
        <v>44484</v>
      </c>
      <c r="C177" s="1" t="n">
        <v>45702</v>
      </c>
      <c r="D177" t="inlineStr">
        <is>
          <t>VÄSTERBOTTENS LÄN</t>
        </is>
      </c>
      <c r="E177" t="inlineStr">
        <is>
          <t>DOROTEA</t>
        </is>
      </c>
      <c r="G177" t="n">
        <v>3.1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57974-2021</t>
        </is>
      </c>
      <c r="B178" s="1" t="n">
        <v>44487</v>
      </c>
      <c r="C178" s="1" t="n">
        <v>45702</v>
      </c>
      <c r="D178" t="inlineStr">
        <is>
          <t>VÄSTERBOTTENS LÄN</t>
        </is>
      </c>
      <c r="E178" t="inlineStr">
        <is>
          <t>DOROTEA</t>
        </is>
      </c>
      <c r="F178" t="inlineStr">
        <is>
          <t>Övriga statliga verk och myndigheter</t>
        </is>
      </c>
      <c r="G178" t="n">
        <v>3.6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60145-2021</t>
        </is>
      </c>
      <c r="B179" s="1" t="n">
        <v>44494</v>
      </c>
      <c r="C179" s="1" t="n">
        <v>45702</v>
      </c>
      <c r="D179" t="inlineStr">
        <is>
          <t>VÄSTERBOTTENS LÄN</t>
        </is>
      </c>
      <c r="E179" t="inlineStr">
        <is>
          <t>DOROTEA</t>
        </is>
      </c>
      <c r="G179" t="n">
        <v>13.3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63152-2021</t>
        </is>
      </c>
      <c r="B180" s="1" t="n">
        <v>44505</v>
      </c>
      <c r="C180" s="1" t="n">
        <v>45702</v>
      </c>
      <c r="D180" t="inlineStr">
        <is>
          <t>VÄSTERBOTTENS LÄN</t>
        </is>
      </c>
      <c r="E180" t="inlineStr">
        <is>
          <t>DOROTEA</t>
        </is>
      </c>
      <c r="F180" t="inlineStr">
        <is>
          <t>SCA</t>
        </is>
      </c>
      <c r="G180" t="n">
        <v>2.8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64077-2021</t>
        </is>
      </c>
      <c r="B181" s="1" t="n">
        <v>44509</v>
      </c>
      <c r="C181" s="1" t="n">
        <v>45702</v>
      </c>
      <c r="D181" t="inlineStr">
        <is>
          <t>VÄSTERBOTTENS LÄN</t>
        </is>
      </c>
      <c r="E181" t="inlineStr">
        <is>
          <t>DOROTEA</t>
        </is>
      </c>
      <c r="G181" t="n">
        <v>4.7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64063-2021</t>
        </is>
      </c>
      <c r="B182" s="1" t="n">
        <v>44509</v>
      </c>
      <c r="C182" s="1" t="n">
        <v>45702</v>
      </c>
      <c r="D182" t="inlineStr">
        <is>
          <t>VÄSTERBOTTENS LÄN</t>
        </is>
      </c>
      <c r="E182" t="inlineStr">
        <is>
          <t>DOROTEA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65903-2021</t>
        </is>
      </c>
      <c r="B183" s="1" t="n">
        <v>44517</v>
      </c>
      <c r="C183" s="1" t="n">
        <v>45702</v>
      </c>
      <c r="D183" t="inlineStr">
        <is>
          <t>VÄSTERBOTTENS LÄN</t>
        </is>
      </c>
      <c r="E183" t="inlineStr">
        <is>
          <t>DOROTEA</t>
        </is>
      </c>
      <c r="G183" t="n">
        <v>15.9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67686-2021</t>
        </is>
      </c>
      <c r="B184" s="1" t="n">
        <v>44524</v>
      </c>
      <c r="C184" s="1" t="n">
        <v>45702</v>
      </c>
      <c r="D184" t="inlineStr">
        <is>
          <t>VÄSTERBOTTENS LÄN</t>
        </is>
      </c>
      <c r="E184" t="inlineStr">
        <is>
          <t>DOROTEA</t>
        </is>
      </c>
      <c r="F184" t="inlineStr">
        <is>
          <t>SCA</t>
        </is>
      </c>
      <c r="G184" t="n">
        <v>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70182-2021</t>
        </is>
      </c>
      <c r="B185" s="1" t="n">
        <v>44533</v>
      </c>
      <c r="C185" s="1" t="n">
        <v>45702</v>
      </c>
      <c r="D185" t="inlineStr">
        <is>
          <t>VÄSTERBOTTENS LÄN</t>
        </is>
      </c>
      <c r="E185" t="inlineStr">
        <is>
          <t>DOROTEA</t>
        </is>
      </c>
      <c r="F185" t="inlineStr">
        <is>
          <t>SCA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70519-2021</t>
        </is>
      </c>
      <c r="B186" s="1" t="n">
        <v>44536</v>
      </c>
      <c r="C186" s="1" t="n">
        <v>45702</v>
      </c>
      <c r="D186" t="inlineStr">
        <is>
          <t>VÄSTERBOTTENS LÄN</t>
        </is>
      </c>
      <c r="E186" t="inlineStr">
        <is>
          <t>DOROTEA</t>
        </is>
      </c>
      <c r="F186" t="inlineStr">
        <is>
          <t>SCA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74013-2021</t>
        </is>
      </c>
      <c r="B187" s="1" t="n">
        <v>44557</v>
      </c>
      <c r="C187" s="1" t="n">
        <v>45702</v>
      </c>
      <c r="D187" t="inlineStr">
        <is>
          <t>VÄSTERBOTTENS LÄN</t>
        </is>
      </c>
      <c r="E187" t="inlineStr">
        <is>
          <t>DOROTEA</t>
        </is>
      </c>
      <c r="G187" t="n">
        <v>3.7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745-2022</t>
        </is>
      </c>
      <c r="B188" s="1" t="n">
        <v>44568</v>
      </c>
      <c r="C188" s="1" t="n">
        <v>45702</v>
      </c>
      <c r="D188" t="inlineStr">
        <is>
          <t>VÄSTERBOTTENS LÄN</t>
        </is>
      </c>
      <c r="E188" t="inlineStr">
        <is>
          <t>DOROTEA</t>
        </is>
      </c>
      <c r="G188" t="n">
        <v>5.4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2474-2022</t>
        </is>
      </c>
      <c r="B189" s="1" t="n">
        <v>44579</v>
      </c>
      <c r="C189" s="1" t="n">
        <v>45702</v>
      </c>
      <c r="D189" t="inlineStr">
        <is>
          <t>VÄSTERBOTTENS LÄN</t>
        </is>
      </c>
      <c r="E189" t="inlineStr">
        <is>
          <t>DOROTEA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3241-2022</t>
        </is>
      </c>
      <c r="B190" s="1" t="n">
        <v>44582</v>
      </c>
      <c r="C190" s="1" t="n">
        <v>45702</v>
      </c>
      <c r="D190" t="inlineStr">
        <is>
          <t>VÄSTERBOTTENS LÄN</t>
        </is>
      </c>
      <c r="E190" t="inlineStr">
        <is>
          <t>DOROTEA</t>
        </is>
      </c>
      <c r="F190" t="inlineStr">
        <is>
          <t>SCA</t>
        </is>
      </c>
      <c r="G190" t="n">
        <v>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3240-2022</t>
        </is>
      </c>
      <c r="B191" s="1" t="n">
        <v>44582</v>
      </c>
      <c r="C191" s="1" t="n">
        <v>45702</v>
      </c>
      <c r="D191" t="inlineStr">
        <is>
          <t>VÄSTERBOTTENS LÄN</t>
        </is>
      </c>
      <c r="E191" t="inlineStr">
        <is>
          <t>DOROTEA</t>
        </is>
      </c>
      <c r="F191" t="inlineStr">
        <is>
          <t>SCA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4019-2022</t>
        </is>
      </c>
      <c r="B192" s="1" t="n">
        <v>44587</v>
      </c>
      <c r="C192" s="1" t="n">
        <v>45702</v>
      </c>
      <c r="D192" t="inlineStr">
        <is>
          <t>VÄSTERBOTTENS LÄN</t>
        </is>
      </c>
      <c r="E192" t="inlineStr">
        <is>
          <t>DOROTEA</t>
        </is>
      </c>
      <c r="F192" t="inlineStr">
        <is>
          <t>SCA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4518-2022</t>
        </is>
      </c>
      <c r="B193" s="1" t="n">
        <v>44589</v>
      </c>
      <c r="C193" s="1" t="n">
        <v>45702</v>
      </c>
      <c r="D193" t="inlineStr">
        <is>
          <t>VÄSTERBOTTENS LÄN</t>
        </is>
      </c>
      <c r="E193" t="inlineStr">
        <is>
          <t>DOROTEA</t>
        </is>
      </c>
      <c r="G193" t="n">
        <v>10.9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8983-2022</t>
        </is>
      </c>
      <c r="B194" s="1" t="n">
        <v>44614</v>
      </c>
      <c r="C194" s="1" t="n">
        <v>45702</v>
      </c>
      <c r="D194" t="inlineStr">
        <is>
          <t>VÄSTERBOTTENS LÄN</t>
        </is>
      </c>
      <c r="E194" t="inlineStr">
        <is>
          <t>DOROTEA</t>
        </is>
      </c>
      <c r="F194" t="inlineStr">
        <is>
          <t>SCA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8982-2022</t>
        </is>
      </c>
      <c r="B195" s="1" t="n">
        <v>44614</v>
      </c>
      <c r="C195" s="1" t="n">
        <v>45702</v>
      </c>
      <c r="D195" t="inlineStr">
        <is>
          <t>VÄSTERBOTTENS LÄN</t>
        </is>
      </c>
      <c r="E195" t="inlineStr">
        <is>
          <t>DOROTEA</t>
        </is>
      </c>
      <c r="F195" t="inlineStr">
        <is>
          <t>SCA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10316-2022</t>
        </is>
      </c>
      <c r="B196" s="1" t="n">
        <v>44622</v>
      </c>
      <c r="C196" s="1" t="n">
        <v>45702</v>
      </c>
      <c r="D196" t="inlineStr">
        <is>
          <t>VÄSTERBOTTENS LÄN</t>
        </is>
      </c>
      <c r="E196" t="inlineStr">
        <is>
          <t>DOROTEA</t>
        </is>
      </c>
      <c r="F196" t="inlineStr">
        <is>
          <t>SCA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10318-2022</t>
        </is>
      </c>
      <c r="B197" s="1" t="n">
        <v>44622</v>
      </c>
      <c r="C197" s="1" t="n">
        <v>45702</v>
      </c>
      <c r="D197" t="inlineStr">
        <is>
          <t>VÄSTERBOTTENS LÄN</t>
        </is>
      </c>
      <c r="E197" t="inlineStr">
        <is>
          <t>DOROTEA</t>
        </is>
      </c>
      <c r="F197" t="inlineStr">
        <is>
          <t>SCA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11309-2022</t>
        </is>
      </c>
      <c r="B198" s="1" t="n">
        <v>44629</v>
      </c>
      <c r="C198" s="1" t="n">
        <v>45702</v>
      </c>
      <c r="D198" t="inlineStr">
        <is>
          <t>VÄSTERBOTTENS LÄN</t>
        </is>
      </c>
      <c r="E198" t="inlineStr">
        <is>
          <t>DOROTEA</t>
        </is>
      </c>
      <c r="F198" t="inlineStr">
        <is>
          <t>SCA</t>
        </is>
      </c>
      <c r="G198" t="n">
        <v>16.8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13451-2022</t>
        </is>
      </c>
      <c r="B199" s="1" t="n">
        <v>44645</v>
      </c>
      <c r="C199" s="1" t="n">
        <v>45702</v>
      </c>
      <c r="D199" t="inlineStr">
        <is>
          <t>VÄSTERBOTTENS LÄN</t>
        </is>
      </c>
      <c r="E199" t="inlineStr">
        <is>
          <t>DOROTEA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13749-2022</t>
        </is>
      </c>
      <c r="B200" s="1" t="n">
        <v>44648</v>
      </c>
      <c r="C200" s="1" t="n">
        <v>45702</v>
      </c>
      <c r="D200" t="inlineStr">
        <is>
          <t>VÄSTERBOTTENS LÄN</t>
        </is>
      </c>
      <c r="E200" t="inlineStr">
        <is>
          <t>DOROTEA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18004-2022</t>
        </is>
      </c>
      <c r="B201" s="1" t="n">
        <v>44684</v>
      </c>
      <c r="C201" s="1" t="n">
        <v>45702</v>
      </c>
      <c r="D201" t="inlineStr">
        <is>
          <t>VÄSTERBOTTENS LÄN</t>
        </is>
      </c>
      <c r="E201" t="inlineStr">
        <is>
          <t>DOROTEA</t>
        </is>
      </c>
      <c r="F201" t="inlineStr">
        <is>
          <t>SCA</t>
        </is>
      </c>
      <c r="G201" t="n">
        <v>3.3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19204-2022</t>
        </is>
      </c>
      <c r="B202" s="1" t="n">
        <v>44692</v>
      </c>
      <c r="C202" s="1" t="n">
        <v>45702</v>
      </c>
      <c r="D202" t="inlineStr">
        <is>
          <t>VÄSTERBOTTENS LÄN</t>
        </is>
      </c>
      <c r="E202" t="inlineStr">
        <is>
          <t>DOROTEA</t>
        </is>
      </c>
      <c r="F202" t="inlineStr">
        <is>
          <t>SCA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19406-2022</t>
        </is>
      </c>
      <c r="B203" s="1" t="n">
        <v>44692</v>
      </c>
      <c r="C203" s="1" t="n">
        <v>45702</v>
      </c>
      <c r="D203" t="inlineStr">
        <is>
          <t>VÄSTERBOTTENS LÄN</t>
        </is>
      </c>
      <c r="E203" t="inlineStr">
        <is>
          <t>DOROTEA</t>
        </is>
      </c>
      <c r="F203" t="inlineStr">
        <is>
          <t>SCA</t>
        </is>
      </c>
      <c r="G203" t="n">
        <v>4.8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23213-2022</t>
        </is>
      </c>
      <c r="B204" s="1" t="n">
        <v>44720</v>
      </c>
      <c r="C204" s="1" t="n">
        <v>45702</v>
      </c>
      <c r="D204" t="inlineStr">
        <is>
          <t>VÄSTERBOTTENS LÄN</t>
        </is>
      </c>
      <c r="E204" t="inlineStr">
        <is>
          <t>DOROTEA</t>
        </is>
      </c>
      <c r="F204" t="inlineStr">
        <is>
          <t>SCA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23187-2022</t>
        </is>
      </c>
      <c r="B205" s="1" t="n">
        <v>44719</v>
      </c>
      <c r="C205" s="1" t="n">
        <v>45702</v>
      </c>
      <c r="D205" t="inlineStr">
        <is>
          <t>VÄSTERBOTTENS LÄN</t>
        </is>
      </c>
      <c r="E205" t="inlineStr">
        <is>
          <t>DOROTEA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23522-2022</t>
        </is>
      </c>
      <c r="B206" s="1" t="n">
        <v>44721</v>
      </c>
      <c r="C206" s="1" t="n">
        <v>45702</v>
      </c>
      <c r="D206" t="inlineStr">
        <is>
          <t>VÄSTERBOTTENS LÄN</t>
        </is>
      </c>
      <c r="E206" t="inlineStr">
        <is>
          <t>DOROTEA</t>
        </is>
      </c>
      <c r="F206" t="inlineStr">
        <is>
          <t>Övriga statliga verk och myndigheter</t>
        </is>
      </c>
      <c r="G206" t="n">
        <v>8.6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24183-2022</t>
        </is>
      </c>
      <c r="B207" s="1" t="n">
        <v>44725</v>
      </c>
      <c r="C207" s="1" t="n">
        <v>45702</v>
      </c>
      <c r="D207" t="inlineStr">
        <is>
          <t>VÄSTERBOTTENS LÄN</t>
        </is>
      </c>
      <c r="E207" t="inlineStr">
        <is>
          <t>DOROTEA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26419-2022</t>
        </is>
      </c>
      <c r="B208" s="1" t="n">
        <v>44736</v>
      </c>
      <c r="C208" s="1" t="n">
        <v>45702</v>
      </c>
      <c r="D208" t="inlineStr">
        <is>
          <t>VÄSTERBOTTENS LÄN</t>
        </is>
      </c>
      <c r="E208" t="inlineStr">
        <is>
          <t>DOROTEA</t>
        </is>
      </c>
      <c r="F208" t="inlineStr">
        <is>
          <t>SCA</t>
        </is>
      </c>
      <c r="G208" t="n">
        <v>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27138-2022</t>
        </is>
      </c>
      <c r="B209" s="1" t="n">
        <v>44741</v>
      </c>
      <c r="C209" s="1" t="n">
        <v>45702</v>
      </c>
      <c r="D209" t="inlineStr">
        <is>
          <t>VÄSTERBOTTENS LÄN</t>
        </is>
      </c>
      <c r="E209" t="inlineStr">
        <is>
          <t>DOROTEA</t>
        </is>
      </c>
      <c r="F209" t="inlineStr">
        <is>
          <t>Sveaskog</t>
        </is>
      </c>
      <c r="G209" t="n">
        <v>4.8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27558-2022</t>
        </is>
      </c>
      <c r="B210" s="1" t="n">
        <v>44742</v>
      </c>
      <c r="C210" s="1" t="n">
        <v>45702</v>
      </c>
      <c r="D210" t="inlineStr">
        <is>
          <t>VÄSTERBOTTENS LÄN</t>
        </is>
      </c>
      <c r="E210" t="inlineStr">
        <is>
          <t>DOROTEA</t>
        </is>
      </c>
      <c r="G210" t="n">
        <v>7.4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27590-2022</t>
        </is>
      </c>
      <c r="B211" s="1" t="n">
        <v>44742</v>
      </c>
      <c r="C211" s="1" t="n">
        <v>45702</v>
      </c>
      <c r="D211" t="inlineStr">
        <is>
          <t>VÄSTERBOTTENS LÄN</t>
        </is>
      </c>
      <c r="E211" t="inlineStr">
        <is>
          <t>DOROTEA</t>
        </is>
      </c>
      <c r="F211" t="inlineStr">
        <is>
          <t>SCA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27589-2022</t>
        </is>
      </c>
      <c r="B212" s="1" t="n">
        <v>44742</v>
      </c>
      <c r="C212" s="1" t="n">
        <v>45702</v>
      </c>
      <c r="D212" t="inlineStr">
        <is>
          <t>VÄSTERBOTTENS LÄN</t>
        </is>
      </c>
      <c r="E212" t="inlineStr">
        <is>
          <t>DOROTEA</t>
        </is>
      </c>
      <c r="F212" t="inlineStr">
        <is>
          <t>SCA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28717-2022</t>
        </is>
      </c>
      <c r="B213" s="1" t="n">
        <v>44749</v>
      </c>
      <c r="C213" s="1" t="n">
        <v>45702</v>
      </c>
      <c r="D213" t="inlineStr">
        <is>
          <t>VÄSTERBOTTENS LÄN</t>
        </is>
      </c>
      <c r="E213" t="inlineStr">
        <is>
          <t>DOROTEA</t>
        </is>
      </c>
      <c r="F213" t="inlineStr">
        <is>
          <t>SCA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29048-2022</t>
        </is>
      </c>
      <c r="B214" s="1" t="n">
        <v>44750</v>
      </c>
      <c r="C214" s="1" t="n">
        <v>45702</v>
      </c>
      <c r="D214" t="inlineStr">
        <is>
          <t>VÄSTERBOTTENS LÄN</t>
        </is>
      </c>
      <c r="E214" t="inlineStr">
        <is>
          <t>DOROTEA</t>
        </is>
      </c>
      <c r="F214" t="inlineStr">
        <is>
          <t>SCA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29862-2022</t>
        </is>
      </c>
      <c r="B215" s="1" t="n">
        <v>44756</v>
      </c>
      <c r="C215" s="1" t="n">
        <v>45702</v>
      </c>
      <c r="D215" t="inlineStr">
        <is>
          <t>VÄSTERBOTTENS LÄN</t>
        </is>
      </c>
      <c r="E215" t="inlineStr">
        <is>
          <t>DOROTEA</t>
        </is>
      </c>
      <c r="G215" t="n">
        <v>13.6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30050-2022</t>
        </is>
      </c>
      <c r="B216" s="1" t="n">
        <v>44756</v>
      </c>
      <c r="C216" s="1" t="n">
        <v>45702</v>
      </c>
      <c r="D216" t="inlineStr">
        <is>
          <t>VÄSTERBOTTENS LÄN</t>
        </is>
      </c>
      <c r="E216" t="inlineStr">
        <is>
          <t>DOROTEA</t>
        </is>
      </c>
      <c r="F216" t="inlineStr">
        <is>
          <t>SCA</t>
        </is>
      </c>
      <c r="G216" t="n">
        <v>12.9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30049-2022</t>
        </is>
      </c>
      <c r="B217" s="1" t="n">
        <v>44757</v>
      </c>
      <c r="C217" s="1" t="n">
        <v>45702</v>
      </c>
      <c r="D217" t="inlineStr">
        <is>
          <t>VÄSTERBOTTENS LÄN</t>
        </is>
      </c>
      <c r="E217" t="inlineStr">
        <is>
          <t>DOROTEA</t>
        </is>
      </c>
      <c r="F217" t="inlineStr">
        <is>
          <t>SCA</t>
        </is>
      </c>
      <c r="G217" t="n">
        <v>5.1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30245-2022</t>
        </is>
      </c>
      <c r="B218" s="1" t="n">
        <v>44757</v>
      </c>
      <c r="C218" s="1" t="n">
        <v>45702</v>
      </c>
      <c r="D218" t="inlineStr">
        <is>
          <t>VÄSTERBOTTENS LÄN</t>
        </is>
      </c>
      <c r="E218" t="inlineStr">
        <is>
          <t>DOROTEA</t>
        </is>
      </c>
      <c r="F218" t="inlineStr">
        <is>
          <t>SCA</t>
        </is>
      </c>
      <c r="G218" t="n">
        <v>4.7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30456-2022</t>
        </is>
      </c>
      <c r="B219" s="1" t="n">
        <v>44761</v>
      </c>
      <c r="C219" s="1" t="n">
        <v>45702</v>
      </c>
      <c r="D219" t="inlineStr">
        <is>
          <t>VÄSTERBOTTENS LÄN</t>
        </is>
      </c>
      <c r="E219" t="inlineStr">
        <is>
          <t>DOROTEA</t>
        </is>
      </c>
      <c r="G219" t="n">
        <v>10.6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33521-2022</t>
        </is>
      </c>
      <c r="B220" s="1" t="n">
        <v>44789</v>
      </c>
      <c r="C220" s="1" t="n">
        <v>45702</v>
      </c>
      <c r="D220" t="inlineStr">
        <is>
          <t>VÄSTERBOTTENS LÄN</t>
        </is>
      </c>
      <c r="E220" t="inlineStr">
        <is>
          <t>DOROTEA</t>
        </is>
      </c>
      <c r="F220" t="inlineStr">
        <is>
          <t>SCA</t>
        </is>
      </c>
      <c r="G220" t="n">
        <v>7.4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34006-2022</t>
        </is>
      </c>
      <c r="B221" s="1" t="n">
        <v>44791</v>
      </c>
      <c r="C221" s="1" t="n">
        <v>45702</v>
      </c>
      <c r="D221" t="inlineStr">
        <is>
          <t>VÄSTERBOTTENS LÄN</t>
        </is>
      </c>
      <c r="E221" t="inlineStr">
        <is>
          <t>DOROTEA</t>
        </is>
      </c>
      <c r="F221" t="inlineStr">
        <is>
          <t>SCA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35476-2022</t>
        </is>
      </c>
      <c r="B222" s="1" t="n">
        <v>44799</v>
      </c>
      <c r="C222" s="1" t="n">
        <v>45702</v>
      </c>
      <c r="D222" t="inlineStr">
        <is>
          <t>VÄSTERBOTTENS LÄN</t>
        </is>
      </c>
      <c r="E222" t="inlineStr">
        <is>
          <t>DOROTEA</t>
        </is>
      </c>
      <c r="G222" t="n">
        <v>6.3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35748-2022</t>
        </is>
      </c>
      <c r="B223" s="1" t="n">
        <v>44799</v>
      </c>
      <c r="C223" s="1" t="n">
        <v>45702</v>
      </c>
      <c r="D223" t="inlineStr">
        <is>
          <t>VÄSTERBOTTENS LÄN</t>
        </is>
      </c>
      <c r="E223" t="inlineStr">
        <is>
          <t>DOROTEA</t>
        </is>
      </c>
      <c r="F223" t="inlineStr">
        <is>
          <t>SCA</t>
        </is>
      </c>
      <c r="G223" t="n">
        <v>5.5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36102-2022</t>
        </is>
      </c>
      <c r="B224" s="1" t="n">
        <v>44803</v>
      </c>
      <c r="C224" s="1" t="n">
        <v>45702</v>
      </c>
      <c r="D224" t="inlineStr">
        <is>
          <t>VÄSTERBOTTENS LÄN</t>
        </is>
      </c>
      <c r="E224" t="inlineStr">
        <is>
          <t>DOROTEA</t>
        </is>
      </c>
      <c r="F224" t="inlineStr">
        <is>
          <t>SCA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36103-2022</t>
        </is>
      </c>
      <c r="B225" s="1" t="n">
        <v>44802</v>
      </c>
      <c r="C225" s="1" t="n">
        <v>45702</v>
      </c>
      <c r="D225" t="inlineStr">
        <is>
          <t>VÄSTERBOTTENS LÄN</t>
        </is>
      </c>
      <c r="E225" t="inlineStr">
        <is>
          <t>DOROTEA</t>
        </is>
      </c>
      <c r="F225" t="inlineStr">
        <is>
          <t>SCA</t>
        </is>
      </c>
      <c r="G225" t="n">
        <v>5.4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37833-2022</t>
        </is>
      </c>
      <c r="B226" s="1" t="n">
        <v>44811</v>
      </c>
      <c r="C226" s="1" t="n">
        <v>45702</v>
      </c>
      <c r="D226" t="inlineStr">
        <is>
          <t>VÄSTERBOTTENS LÄN</t>
        </is>
      </c>
      <c r="E226" t="inlineStr">
        <is>
          <t>DOROTEA</t>
        </is>
      </c>
      <c r="F226" t="inlineStr">
        <is>
          <t>SCA</t>
        </is>
      </c>
      <c r="G226" t="n">
        <v>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38469-2022</t>
        </is>
      </c>
      <c r="B227" s="1" t="n">
        <v>44813</v>
      </c>
      <c r="C227" s="1" t="n">
        <v>45702</v>
      </c>
      <c r="D227" t="inlineStr">
        <is>
          <t>VÄSTERBOTTENS LÄN</t>
        </is>
      </c>
      <c r="E227" t="inlineStr">
        <is>
          <t>DOROTEA</t>
        </is>
      </c>
      <c r="G227" t="n">
        <v>18.9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38968-2022</t>
        </is>
      </c>
      <c r="B228" s="1" t="n">
        <v>44816</v>
      </c>
      <c r="C228" s="1" t="n">
        <v>45702</v>
      </c>
      <c r="D228" t="inlineStr">
        <is>
          <t>VÄSTERBOTTENS LÄN</t>
        </is>
      </c>
      <c r="E228" t="inlineStr">
        <is>
          <t>DOROTEA</t>
        </is>
      </c>
      <c r="F228" t="inlineStr">
        <is>
          <t>Sveaskog</t>
        </is>
      </c>
      <c r="G228" t="n">
        <v>2.9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39375-2022</t>
        </is>
      </c>
      <c r="B229" s="1" t="n">
        <v>44817</v>
      </c>
      <c r="C229" s="1" t="n">
        <v>45702</v>
      </c>
      <c r="D229" t="inlineStr">
        <is>
          <t>VÄSTERBOTTENS LÄN</t>
        </is>
      </c>
      <c r="E229" t="inlineStr">
        <is>
          <t>DOROTEA</t>
        </is>
      </c>
      <c r="F229" t="inlineStr">
        <is>
          <t>SCA</t>
        </is>
      </c>
      <c r="G229" t="n">
        <v>11.3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41353-2022</t>
        </is>
      </c>
      <c r="B230" s="1" t="n">
        <v>44824</v>
      </c>
      <c r="C230" s="1" t="n">
        <v>45702</v>
      </c>
      <c r="D230" t="inlineStr">
        <is>
          <t>VÄSTERBOTTENS LÄN</t>
        </is>
      </c>
      <c r="E230" t="inlineStr">
        <is>
          <t>DOROTEA</t>
        </is>
      </c>
      <c r="F230" t="inlineStr">
        <is>
          <t>SCA</t>
        </is>
      </c>
      <c r="G230" t="n">
        <v>7.1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43138-2022</t>
        </is>
      </c>
      <c r="B231" s="1" t="n">
        <v>44834</v>
      </c>
      <c r="C231" s="1" t="n">
        <v>45702</v>
      </c>
      <c r="D231" t="inlineStr">
        <is>
          <t>VÄSTERBOTTENS LÄN</t>
        </is>
      </c>
      <c r="E231" t="inlineStr">
        <is>
          <t>DOROTEA</t>
        </is>
      </c>
      <c r="F231" t="inlineStr">
        <is>
          <t>SCA</t>
        </is>
      </c>
      <c r="G231" t="n">
        <v>3.6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43403-2022</t>
        </is>
      </c>
      <c r="B232" s="1" t="n">
        <v>44834</v>
      </c>
      <c r="C232" s="1" t="n">
        <v>45702</v>
      </c>
      <c r="D232" t="inlineStr">
        <is>
          <t>VÄSTERBOTTENS LÄN</t>
        </is>
      </c>
      <c r="E232" t="inlineStr">
        <is>
          <t>DOROTEA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43508-2022</t>
        </is>
      </c>
      <c r="B233" s="1" t="n">
        <v>44837</v>
      </c>
      <c r="C233" s="1" t="n">
        <v>45702</v>
      </c>
      <c r="D233" t="inlineStr">
        <is>
          <t>VÄSTERBOTTENS LÄN</t>
        </is>
      </c>
      <c r="E233" t="inlineStr">
        <is>
          <t>DOROTEA</t>
        </is>
      </c>
      <c r="F233" t="inlineStr">
        <is>
          <t>Kyrkan</t>
        </is>
      </c>
      <c r="G233" t="n">
        <v>17.6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43503-2022</t>
        </is>
      </c>
      <c r="B234" s="1" t="n">
        <v>44837</v>
      </c>
      <c r="C234" s="1" t="n">
        <v>45702</v>
      </c>
      <c r="D234" t="inlineStr">
        <is>
          <t>VÄSTERBOTTENS LÄN</t>
        </is>
      </c>
      <c r="E234" t="inlineStr">
        <is>
          <t>DOROTEA</t>
        </is>
      </c>
      <c r="F234" t="inlineStr">
        <is>
          <t>Kyrkan</t>
        </is>
      </c>
      <c r="G234" t="n">
        <v>13.9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43776-2022</t>
        </is>
      </c>
      <c r="B235" s="1" t="n">
        <v>44837</v>
      </c>
      <c r="C235" s="1" t="n">
        <v>45702</v>
      </c>
      <c r="D235" t="inlineStr">
        <is>
          <t>VÄSTERBOTTENS LÄN</t>
        </is>
      </c>
      <c r="E235" t="inlineStr">
        <is>
          <t>DOROTEA</t>
        </is>
      </c>
      <c r="F235" t="inlineStr">
        <is>
          <t>SCA</t>
        </is>
      </c>
      <c r="G235" t="n">
        <v>21.3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44037-2022</t>
        </is>
      </c>
      <c r="B236" s="1" t="n">
        <v>44838</v>
      </c>
      <c r="C236" s="1" t="n">
        <v>45702</v>
      </c>
      <c r="D236" t="inlineStr">
        <is>
          <t>VÄSTERBOTTENS LÄN</t>
        </is>
      </c>
      <c r="E236" t="inlineStr">
        <is>
          <t>DOROTEA</t>
        </is>
      </c>
      <c r="F236" t="inlineStr">
        <is>
          <t>SCA</t>
        </is>
      </c>
      <c r="G236" t="n">
        <v>5.1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44386-2022</t>
        </is>
      </c>
      <c r="B237" s="1" t="n">
        <v>44838</v>
      </c>
      <c r="C237" s="1" t="n">
        <v>45702</v>
      </c>
      <c r="D237" t="inlineStr">
        <is>
          <t>VÄSTERBOTTENS LÄN</t>
        </is>
      </c>
      <c r="E237" t="inlineStr">
        <is>
          <t>DOROTEA</t>
        </is>
      </c>
      <c r="G237" t="n">
        <v>3.2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44392-2022</t>
        </is>
      </c>
      <c r="B238" s="1" t="n">
        <v>44838</v>
      </c>
      <c r="C238" s="1" t="n">
        <v>45702</v>
      </c>
      <c r="D238" t="inlineStr">
        <is>
          <t>VÄSTERBOTTENS LÄN</t>
        </is>
      </c>
      <c r="E238" t="inlineStr">
        <is>
          <t>DOROTEA</t>
        </is>
      </c>
      <c r="G238" t="n">
        <v>3.3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44380-2022</t>
        </is>
      </c>
      <c r="B239" s="1" t="n">
        <v>44838</v>
      </c>
      <c r="C239" s="1" t="n">
        <v>45702</v>
      </c>
      <c r="D239" t="inlineStr">
        <is>
          <t>VÄSTERBOTTENS LÄN</t>
        </is>
      </c>
      <c r="E239" t="inlineStr">
        <is>
          <t>DOROTEA</t>
        </is>
      </c>
      <c r="G239" t="n">
        <v>12.5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44440-2022</t>
        </is>
      </c>
      <c r="B240" s="1" t="n">
        <v>44839</v>
      </c>
      <c r="C240" s="1" t="n">
        <v>45702</v>
      </c>
      <c r="D240" t="inlineStr">
        <is>
          <t>VÄSTERBOTTENS LÄN</t>
        </is>
      </c>
      <c r="E240" t="inlineStr">
        <is>
          <t>DOROTEA</t>
        </is>
      </c>
      <c r="F240" t="inlineStr">
        <is>
          <t>SCA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45080-2022</t>
        </is>
      </c>
      <c r="B241" s="1" t="n">
        <v>44841</v>
      </c>
      <c r="C241" s="1" t="n">
        <v>45702</v>
      </c>
      <c r="D241" t="inlineStr">
        <is>
          <t>VÄSTERBOTTENS LÄN</t>
        </is>
      </c>
      <c r="E241" t="inlineStr">
        <is>
          <t>DOROTEA</t>
        </is>
      </c>
      <c r="F241" t="inlineStr">
        <is>
          <t>SCA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46163-2022</t>
        </is>
      </c>
      <c r="B242" s="1" t="n">
        <v>44845</v>
      </c>
      <c r="C242" s="1" t="n">
        <v>45702</v>
      </c>
      <c r="D242" t="inlineStr">
        <is>
          <t>VÄSTERBOTTENS LÄN</t>
        </is>
      </c>
      <c r="E242" t="inlineStr">
        <is>
          <t>DOROTEA</t>
        </is>
      </c>
      <c r="G242" t="n">
        <v>4.5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45834-2022</t>
        </is>
      </c>
      <c r="B243" s="1" t="n">
        <v>44846</v>
      </c>
      <c r="C243" s="1" t="n">
        <v>45702</v>
      </c>
      <c r="D243" t="inlineStr">
        <is>
          <t>VÄSTERBOTTENS LÄN</t>
        </is>
      </c>
      <c r="E243" t="inlineStr">
        <is>
          <t>DOROTEA</t>
        </is>
      </c>
      <c r="F243" t="inlineStr">
        <is>
          <t>Sveaskog</t>
        </is>
      </c>
      <c r="G243" t="n">
        <v>3.4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46817-2022</t>
        </is>
      </c>
      <c r="B244" s="1" t="n">
        <v>44848</v>
      </c>
      <c r="C244" s="1" t="n">
        <v>45702</v>
      </c>
      <c r="D244" t="inlineStr">
        <is>
          <t>VÄSTERBOTTENS LÄN</t>
        </is>
      </c>
      <c r="E244" t="inlineStr">
        <is>
          <t>DOROTEA</t>
        </is>
      </c>
      <c r="G244" t="n">
        <v>29.8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46978-2022</t>
        </is>
      </c>
      <c r="B245" s="1" t="n">
        <v>44851</v>
      </c>
      <c r="C245" s="1" t="n">
        <v>45702</v>
      </c>
      <c r="D245" t="inlineStr">
        <is>
          <t>VÄSTERBOTTENS LÄN</t>
        </is>
      </c>
      <c r="E245" t="inlineStr">
        <is>
          <t>DOROTEA</t>
        </is>
      </c>
      <c r="F245" t="inlineStr">
        <is>
          <t>SCA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46982-2022</t>
        </is>
      </c>
      <c r="B246" s="1" t="n">
        <v>44851</v>
      </c>
      <c r="C246" s="1" t="n">
        <v>45702</v>
      </c>
      <c r="D246" t="inlineStr">
        <is>
          <t>VÄSTERBOTTENS LÄN</t>
        </is>
      </c>
      <c r="E246" t="inlineStr">
        <is>
          <t>DOROTEA</t>
        </is>
      </c>
      <c r="F246" t="inlineStr">
        <is>
          <t>SCA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47266-2022</t>
        </is>
      </c>
      <c r="B247" s="1" t="n">
        <v>44852</v>
      </c>
      <c r="C247" s="1" t="n">
        <v>45702</v>
      </c>
      <c r="D247" t="inlineStr">
        <is>
          <t>VÄSTERBOTTENS LÄN</t>
        </is>
      </c>
      <c r="E247" t="inlineStr">
        <is>
          <t>DOROTEA</t>
        </is>
      </c>
      <c r="F247" t="inlineStr">
        <is>
          <t>SCA</t>
        </is>
      </c>
      <c r="G247" t="n">
        <v>2.5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47263-2022</t>
        </is>
      </c>
      <c r="B248" s="1" t="n">
        <v>44853</v>
      </c>
      <c r="C248" s="1" t="n">
        <v>45702</v>
      </c>
      <c r="D248" t="inlineStr">
        <is>
          <t>VÄSTERBOTTENS LÄN</t>
        </is>
      </c>
      <c r="E248" t="inlineStr">
        <is>
          <t>DOROTEA</t>
        </is>
      </c>
      <c r="F248" t="inlineStr">
        <is>
          <t>SCA</t>
        </is>
      </c>
      <c r="G248" t="n">
        <v>2.4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47572-2022</t>
        </is>
      </c>
      <c r="B249" s="1" t="n">
        <v>44853</v>
      </c>
      <c r="C249" s="1" t="n">
        <v>45702</v>
      </c>
      <c r="D249" t="inlineStr">
        <is>
          <t>VÄSTERBOTTENS LÄN</t>
        </is>
      </c>
      <c r="E249" t="inlineStr">
        <is>
          <t>DOROTEA</t>
        </is>
      </c>
      <c r="F249" t="inlineStr">
        <is>
          <t>SCA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48087-2022</t>
        </is>
      </c>
      <c r="B250" s="1" t="n">
        <v>44856</v>
      </c>
      <c r="C250" s="1" t="n">
        <v>45702</v>
      </c>
      <c r="D250" t="inlineStr">
        <is>
          <t>VÄSTERBOTTENS LÄN</t>
        </is>
      </c>
      <c r="E250" t="inlineStr">
        <is>
          <t>DOROTEA</t>
        </is>
      </c>
      <c r="F250" t="inlineStr">
        <is>
          <t>SCA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48935-2022</t>
        </is>
      </c>
      <c r="B251" s="1" t="n">
        <v>44859</v>
      </c>
      <c r="C251" s="1" t="n">
        <v>45702</v>
      </c>
      <c r="D251" t="inlineStr">
        <is>
          <t>VÄSTERBOTTENS LÄN</t>
        </is>
      </c>
      <c r="E251" t="inlineStr">
        <is>
          <t>DOROTEA</t>
        </is>
      </c>
      <c r="F251" t="inlineStr">
        <is>
          <t>SCA</t>
        </is>
      </c>
      <c r="G251" t="n">
        <v>7.7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49077-2022</t>
        </is>
      </c>
      <c r="B252" s="1" t="n">
        <v>44860</v>
      </c>
      <c r="C252" s="1" t="n">
        <v>45702</v>
      </c>
      <c r="D252" t="inlineStr">
        <is>
          <t>VÄSTERBOTTENS LÄN</t>
        </is>
      </c>
      <c r="E252" t="inlineStr">
        <is>
          <t>DOROTEA</t>
        </is>
      </c>
      <c r="F252" t="inlineStr">
        <is>
          <t>Sveaskog</t>
        </is>
      </c>
      <c r="G252" t="n">
        <v>3.2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49536-2022</t>
        </is>
      </c>
      <c r="B253" s="1" t="n">
        <v>44861</v>
      </c>
      <c r="C253" s="1" t="n">
        <v>45702</v>
      </c>
      <c r="D253" t="inlineStr">
        <is>
          <t>VÄSTERBOTTENS LÄN</t>
        </is>
      </c>
      <c r="E253" t="inlineStr">
        <is>
          <t>DOROTEA</t>
        </is>
      </c>
      <c r="F253" t="inlineStr">
        <is>
          <t>SCA</t>
        </is>
      </c>
      <c r="G253" t="n">
        <v>2.2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49517-2022</t>
        </is>
      </c>
      <c r="B254" s="1" t="n">
        <v>44862</v>
      </c>
      <c r="C254" s="1" t="n">
        <v>45702</v>
      </c>
      <c r="D254" t="inlineStr">
        <is>
          <t>VÄSTERBOTTENS LÄN</t>
        </is>
      </c>
      <c r="E254" t="inlineStr">
        <is>
          <t>DOROTEA</t>
        </is>
      </c>
      <c r="F254" t="inlineStr">
        <is>
          <t>SCA</t>
        </is>
      </c>
      <c r="G254" t="n">
        <v>10.6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49534-2022</t>
        </is>
      </c>
      <c r="B255" s="1" t="n">
        <v>44861</v>
      </c>
      <c r="C255" s="1" t="n">
        <v>45702</v>
      </c>
      <c r="D255" t="inlineStr">
        <is>
          <t>VÄSTERBOTTENS LÄN</t>
        </is>
      </c>
      <c r="E255" t="inlineStr">
        <is>
          <t>DOROTEA</t>
        </is>
      </c>
      <c r="F255" t="inlineStr">
        <is>
          <t>SCA</t>
        </is>
      </c>
      <c r="G255" t="n">
        <v>2.6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49535-2022</t>
        </is>
      </c>
      <c r="B256" s="1" t="n">
        <v>44861</v>
      </c>
      <c r="C256" s="1" t="n">
        <v>45702</v>
      </c>
      <c r="D256" t="inlineStr">
        <is>
          <t>VÄSTERBOTTENS LÄN</t>
        </is>
      </c>
      <c r="E256" t="inlineStr">
        <is>
          <t>DOROTEA</t>
        </is>
      </c>
      <c r="F256" t="inlineStr">
        <is>
          <t>SCA</t>
        </is>
      </c>
      <c r="G256" t="n">
        <v>6.3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50769-2022</t>
        </is>
      </c>
      <c r="B257" s="1" t="n">
        <v>44867</v>
      </c>
      <c r="C257" s="1" t="n">
        <v>45702</v>
      </c>
      <c r="D257" t="inlineStr">
        <is>
          <t>VÄSTERBOTTENS LÄN</t>
        </is>
      </c>
      <c r="E257" t="inlineStr">
        <is>
          <t>DOROTEA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52343-2022</t>
        </is>
      </c>
      <c r="B258" s="1" t="n">
        <v>44873</v>
      </c>
      <c r="C258" s="1" t="n">
        <v>45702</v>
      </c>
      <c r="D258" t="inlineStr">
        <is>
          <t>VÄSTERBOTTENS LÄN</t>
        </is>
      </c>
      <c r="E258" t="inlineStr">
        <is>
          <t>DOROTEA</t>
        </is>
      </c>
      <c r="F258" t="inlineStr">
        <is>
          <t>SCA</t>
        </is>
      </c>
      <c r="G258" t="n">
        <v>4.7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53795-2022</t>
        </is>
      </c>
      <c r="B259" s="1" t="n">
        <v>44876</v>
      </c>
      <c r="C259" s="1" t="n">
        <v>45702</v>
      </c>
      <c r="D259" t="inlineStr">
        <is>
          <t>VÄSTERBOTTENS LÄN</t>
        </is>
      </c>
      <c r="E259" t="inlineStr">
        <is>
          <t>DOROTEA</t>
        </is>
      </c>
      <c r="G259" t="n">
        <v>12.3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53309-2022</t>
        </is>
      </c>
      <c r="B260" s="1" t="n">
        <v>44878</v>
      </c>
      <c r="C260" s="1" t="n">
        <v>45702</v>
      </c>
      <c r="D260" t="inlineStr">
        <is>
          <t>VÄSTERBOTTENS LÄN</t>
        </is>
      </c>
      <c r="E260" t="inlineStr">
        <is>
          <t>DOROTEA</t>
        </is>
      </c>
      <c r="G260" t="n">
        <v>6.6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55210-2022</t>
        </is>
      </c>
      <c r="B261" s="1" t="n">
        <v>44886</v>
      </c>
      <c r="C261" s="1" t="n">
        <v>45702</v>
      </c>
      <c r="D261" t="inlineStr">
        <is>
          <t>VÄSTERBOTTENS LÄN</t>
        </is>
      </c>
      <c r="E261" t="inlineStr">
        <is>
          <t>DOROTEA</t>
        </is>
      </c>
      <c r="F261" t="inlineStr">
        <is>
          <t>SCA</t>
        </is>
      </c>
      <c r="G261" t="n">
        <v>3.6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55888-2022</t>
        </is>
      </c>
      <c r="B262" s="1" t="n">
        <v>44888</v>
      </c>
      <c r="C262" s="1" t="n">
        <v>45702</v>
      </c>
      <c r="D262" t="inlineStr">
        <is>
          <t>VÄSTERBOTTENS LÄN</t>
        </is>
      </c>
      <c r="E262" t="inlineStr">
        <is>
          <t>DOROTEA</t>
        </is>
      </c>
      <c r="G262" t="n">
        <v>7.6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55889-2022</t>
        </is>
      </c>
      <c r="B263" s="1" t="n">
        <v>44888</v>
      </c>
      <c r="C263" s="1" t="n">
        <v>45702</v>
      </c>
      <c r="D263" t="inlineStr">
        <is>
          <t>VÄSTERBOTTENS LÄN</t>
        </is>
      </c>
      <c r="E263" t="inlineStr">
        <is>
          <t>DOROTEA</t>
        </is>
      </c>
      <c r="G263" t="n">
        <v>15.8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57431-2022</t>
        </is>
      </c>
      <c r="B264" s="1" t="n">
        <v>44889</v>
      </c>
      <c r="C264" s="1" t="n">
        <v>45702</v>
      </c>
      <c r="D264" t="inlineStr">
        <is>
          <t>VÄSTERBOTTENS LÄN</t>
        </is>
      </c>
      <c r="E264" t="inlineStr">
        <is>
          <t>DOROTEA</t>
        </is>
      </c>
      <c r="G264" t="n">
        <v>15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57236-2022</t>
        </is>
      </c>
      <c r="B265" s="1" t="n">
        <v>44889</v>
      </c>
      <c r="C265" s="1" t="n">
        <v>45702</v>
      </c>
      <c r="D265" t="inlineStr">
        <is>
          <t>VÄSTERBOTTENS LÄN</t>
        </is>
      </c>
      <c r="E265" t="inlineStr">
        <is>
          <t>DOROTEA</t>
        </is>
      </c>
      <c r="G265" t="n">
        <v>3.3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57376-2022</t>
        </is>
      </c>
      <c r="B266" s="1" t="n">
        <v>44889</v>
      </c>
      <c r="C266" s="1" t="n">
        <v>45702</v>
      </c>
      <c r="D266" t="inlineStr">
        <is>
          <t>VÄSTERBOTTENS LÄN</t>
        </is>
      </c>
      <c r="E266" t="inlineStr">
        <is>
          <t>DOROTEA</t>
        </is>
      </c>
      <c r="G266" t="n">
        <v>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56738-2022</t>
        </is>
      </c>
      <c r="B267" s="1" t="n">
        <v>44893</v>
      </c>
      <c r="C267" s="1" t="n">
        <v>45702</v>
      </c>
      <c r="D267" t="inlineStr">
        <is>
          <t>VÄSTERBOTTENS LÄN</t>
        </is>
      </c>
      <c r="E267" t="inlineStr">
        <is>
          <t>DOROTEA</t>
        </is>
      </c>
      <c r="F267" t="inlineStr">
        <is>
          <t>SCA</t>
        </is>
      </c>
      <c r="G267" t="n">
        <v>73.2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58168-2022</t>
        </is>
      </c>
      <c r="B268" s="1" t="n">
        <v>44900</v>
      </c>
      <c r="C268" s="1" t="n">
        <v>45702</v>
      </c>
      <c r="D268" t="inlineStr">
        <is>
          <t>VÄSTERBOTTENS LÄN</t>
        </is>
      </c>
      <c r="E268" t="inlineStr">
        <is>
          <t>DOROTEA</t>
        </is>
      </c>
      <c r="F268" t="inlineStr">
        <is>
          <t>SCA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58719-2022</t>
        </is>
      </c>
      <c r="B269" s="1" t="n">
        <v>44902</v>
      </c>
      <c r="C269" s="1" t="n">
        <v>45702</v>
      </c>
      <c r="D269" t="inlineStr">
        <is>
          <t>VÄSTERBOTTENS LÄN</t>
        </is>
      </c>
      <c r="E269" t="inlineStr">
        <is>
          <t>DOROTEA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60304-2022</t>
        </is>
      </c>
      <c r="B270" s="1" t="n">
        <v>44910</v>
      </c>
      <c r="C270" s="1" t="n">
        <v>45702</v>
      </c>
      <c r="D270" t="inlineStr">
        <is>
          <t>VÄSTERBOTTENS LÄN</t>
        </is>
      </c>
      <c r="E270" t="inlineStr">
        <is>
          <t>DOROTEA</t>
        </is>
      </c>
      <c r="F270" t="inlineStr">
        <is>
          <t>SCA</t>
        </is>
      </c>
      <c r="G270" t="n">
        <v>4.9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60686-2022</t>
        </is>
      </c>
      <c r="B271" s="1" t="n">
        <v>44911</v>
      </c>
      <c r="C271" s="1" t="n">
        <v>45702</v>
      </c>
      <c r="D271" t="inlineStr">
        <is>
          <t>VÄSTERBOTTENS LÄN</t>
        </is>
      </c>
      <c r="E271" t="inlineStr">
        <is>
          <t>DOROTEA</t>
        </is>
      </c>
      <c r="F271" t="inlineStr">
        <is>
          <t>SCA</t>
        </is>
      </c>
      <c r="G271" t="n">
        <v>7.3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61393-2022</t>
        </is>
      </c>
      <c r="B272" s="1" t="n">
        <v>44915</v>
      </c>
      <c r="C272" s="1" t="n">
        <v>45702</v>
      </c>
      <c r="D272" t="inlineStr">
        <is>
          <t>VÄSTERBOTTENS LÄN</t>
        </is>
      </c>
      <c r="E272" t="inlineStr">
        <is>
          <t>DOROTEA</t>
        </is>
      </c>
      <c r="F272" t="inlineStr">
        <is>
          <t>SCA</t>
        </is>
      </c>
      <c r="G272" t="n">
        <v>51.9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62657-2022</t>
        </is>
      </c>
      <c r="B273" s="1" t="n">
        <v>44925</v>
      </c>
      <c r="C273" s="1" t="n">
        <v>45702</v>
      </c>
      <c r="D273" t="inlineStr">
        <is>
          <t>VÄSTERBOTTENS LÄN</t>
        </is>
      </c>
      <c r="E273" t="inlineStr">
        <is>
          <t>DOROTEA</t>
        </is>
      </c>
      <c r="G273" t="n">
        <v>22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711-2023</t>
        </is>
      </c>
      <c r="B274" s="1" t="n">
        <v>44930</v>
      </c>
      <c r="C274" s="1" t="n">
        <v>45702</v>
      </c>
      <c r="D274" t="inlineStr">
        <is>
          <t>VÄSTERBOTTENS LÄN</t>
        </is>
      </c>
      <c r="E274" t="inlineStr">
        <is>
          <t>DOROTEA</t>
        </is>
      </c>
      <c r="G274" t="n">
        <v>7.3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914-2023</t>
        </is>
      </c>
      <c r="B275" s="1" t="n">
        <v>44931</v>
      </c>
      <c r="C275" s="1" t="n">
        <v>45702</v>
      </c>
      <c r="D275" t="inlineStr">
        <is>
          <t>VÄSTERBOTTENS LÄN</t>
        </is>
      </c>
      <c r="E275" t="inlineStr">
        <is>
          <t>DOROTEA</t>
        </is>
      </c>
      <c r="G275" t="n">
        <v>2.5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912-2023</t>
        </is>
      </c>
      <c r="B276" s="1" t="n">
        <v>44931</v>
      </c>
      <c r="C276" s="1" t="n">
        <v>45702</v>
      </c>
      <c r="D276" t="inlineStr">
        <is>
          <t>VÄSTERBOTTENS LÄN</t>
        </is>
      </c>
      <c r="E276" t="inlineStr">
        <is>
          <t>DOROTEA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1218-2023</t>
        </is>
      </c>
      <c r="B277" s="1" t="n">
        <v>44935</v>
      </c>
      <c r="C277" s="1" t="n">
        <v>45702</v>
      </c>
      <c r="D277" t="inlineStr">
        <is>
          <t>VÄSTERBOTTENS LÄN</t>
        </is>
      </c>
      <c r="E277" t="inlineStr">
        <is>
          <t>DOROTEA</t>
        </is>
      </c>
      <c r="G277" t="n">
        <v>11.6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1648-2023</t>
        </is>
      </c>
      <c r="B278" s="1" t="n">
        <v>44937</v>
      </c>
      <c r="C278" s="1" t="n">
        <v>45702</v>
      </c>
      <c r="D278" t="inlineStr">
        <is>
          <t>VÄSTERBOTTENS LÄN</t>
        </is>
      </c>
      <c r="E278" t="inlineStr">
        <is>
          <t>DOROTEA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1862-2023</t>
        </is>
      </c>
      <c r="B279" s="1" t="n">
        <v>44938</v>
      </c>
      <c r="C279" s="1" t="n">
        <v>45702</v>
      </c>
      <c r="D279" t="inlineStr">
        <is>
          <t>VÄSTERBOTTENS LÄN</t>
        </is>
      </c>
      <c r="E279" t="inlineStr">
        <is>
          <t>DOROTEA</t>
        </is>
      </c>
      <c r="G279" t="n">
        <v>15.6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1865-2023</t>
        </is>
      </c>
      <c r="B280" s="1" t="n">
        <v>44938</v>
      </c>
      <c r="C280" s="1" t="n">
        <v>45702</v>
      </c>
      <c r="D280" t="inlineStr">
        <is>
          <t>VÄSTERBOTTENS LÄN</t>
        </is>
      </c>
      <c r="E280" t="inlineStr">
        <is>
          <t>DOROTEA</t>
        </is>
      </c>
      <c r="F280" t="inlineStr">
        <is>
          <t>SCA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1861-2023</t>
        </is>
      </c>
      <c r="B281" s="1" t="n">
        <v>44938</v>
      </c>
      <c r="C281" s="1" t="n">
        <v>45702</v>
      </c>
      <c r="D281" t="inlineStr">
        <is>
          <t>VÄSTERBOTTENS LÄN</t>
        </is>
      </c>
      <c r="E281" t="inlineStr">
        <is>
          <t>DOROTEA</t>
        </is>
      </c>
      <c r="G281" t="n">
        <v>11.6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2665-2023</t>
        </is>
      </c>
      <c r="B282" s="1" t="n">
        <v>44942</v>
      </c>
      <c r="C282" s="1" t="n">
        <v>45702</v>
      </c>
      <c r="D282" t="inlineStr">
        <is>
          <t>VÄSTERBOTTENS LÄN</t>
        </is>
      </c>
      <c r="E282" t="inlineStr">
        <is>
          <t>DOROTEA</t>
        </is>
      </c>
      <c r="G282" t="n">
        <v>7.8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2683-2023</t>
        </is>
      </c>
      <c r="B283" s="1" t="n">
        <v>44942</v>
      </c>
      <c r="C283" s="1" t="n">
        <v>45702</v>
      </c>
      <c r="D283" t="inlineStr">
        <is>
          <t>VÄSTERBOTTENS LÄN</t>
        </is>
      </c>
      <c r="E283" t="inlineStr">
        <is>
          <t>DOROTEA</t>
        </is>
      </c>
      <c r="G283" t="n">
        <v>22.7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4618-2023</t>
        </is>
      </c>
      <c r="B284" s="1" t="n">
        <v>44956</v>
      </c>
      <c r="C284" s="1" t="n">
        <v>45702</v>
      </c>
      <c r="D284" t="inlineStr">
        <is>
          <t>VÄSTERBOTTENS LÄN</t>
        </is>
      </c>
      <c r="E284" t="inlineStr">
        <is>
          <t>DOROTEA</t>
        </is>
      </c>
      <c r="F284" t="inlineStr">
        <is>
          <t>SCA</t>
        </is>
      </c>
      <c r="G284" t="n">
        <v>2.3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4616-2023</t>
        </is>
      </c>
      <c r="B285" s="1" t="n">
        <v>44956</v>
      </c>
      <c r="C285" s="1" t="n">
        <v>45702</v>
      </c>
      <c r="D285" t="inlineStr">
        <is>
          <t>VÄSTERBOTTENS LÄN</t>
        </is>
      </c>
      <c r="E285" t="inlineStr">
        <is>
          <t>DOROTEA</t>
        </is>
      </c>
      <c r="F285" t="inlineStr">
        <is>
          <t>SCA</t>
        </is>
      </c>
      <c r="G285" t="n">
        <v>3.5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4617-2023</t>
        </is>
      </c>
      <c r="B286" s="1" t="n">
        <v>44956</v>
      </c>
      <c r="C286" s="1" t="n">
        <v>45702</v>
      </c>
      <c r="D286" t="inlineStr">
        <is>
          <t>VÄSTERBOTTENS LÄN</t>
        </is>
      </c>
      <c r="E286" t="inlineStr">
        <is>
          <t>DOROTEA</t>
        </is>
      </c>
      <c r="F286" t="inlineStr">
        <is>
          <t>SCA</t>
        </is>
      </c>
      <c r="G286" t="n">
        <v>3.4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4958-2023</t>
        </is>
      </c>
      <c r="B287" s="1" t="n">
        <v>44956</v>
      </c>
      <c r="C287" s="1" t="n">
        <v>45702</v>
      </c>
      <c r="D287" t="inlineStr">
        <is>
          <t>VÄSTERBOTTENS LÄN</t>
        </is>
      </c>
      <c r="E287" t="inlineStr">
        <is>
          <t>DOROTEA</t>
        </is>
      </c>
      <c r="G287" t="n">
        <v>2.7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5834-2023</t>
        </is>
      </c>
      <c r="B288" s="1" t="n">
        <v>44958</v>
      </c>
      <c r="C288" s="1" t="n">
        <v>45702</v>
      </c>
      <c r="D288" t="inlineStr">
        <is>
          <t>VÄSTERBOTTENS LÄN</t>
        </is>
      </c>
      <c r="E288" t="inlineStr">
        <is>
          <t>DOROTEA</t>
        </is>
      </c>
      <c r="G288" t="n">
        <v>3.1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5716-2023</t>
        </is>
      </c>
      <c r="B289" s="1" t="n">
        <v>44960</v>
      </c>
      <c r="C289" s="1" t="n">
        <v>45702</v>
      </c>
      <c r="D289" t="inlineStr">
        <is>
          <t>VÄSTERBOTTENS LÄN</t>
        </is>
      </c>
      <c r="E289" t="inlineStr">
        <is>
          <t>DOROTEA</t>
        </is>
      </c>
      <c r="F289" t="inlineStr">
        <is>
          <t>SCA</t>
        </is>
      </c>
      <c r="G289" t="n">
        <v>15.2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5715-2023</t>
        </is>
      </c>
      <c r="B290" s="1" t="n">
        <v>44960</v>
      </c>
      <c r="C290" s="1" t="n">
        <v>45702</v>
      </c>
      <c r="D290" t="inlineStr">
        <is>
          <t>VÄSTERBOTTENS LÄN</t>
        </is>
      </c>
      <c r="E290" t="inlineStr">
        <is>
          <t>DOROTEA</t>
        </is>
      </c>
      <c r="F290" t="inlineStr">
        <is>
          <t>SCA</t>
        </is>
      </c>
      <c r="G290" t="n">
        <v>3.6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6621-2023</t>
        </is>
      </c>
      <c r="B291" s="1" t="n">
        <v>44960</v>
      </c>
      <c r="C291" s="1" t="n">
        <v>45702</v>
      </c>
      <c r="D291" t="inlineStr">
        <is>
          <t>VÄSTERBOTTENS LÄN</t>
        </is>
      </c>
      <c r="E291" t="inlineStr">
        <is>
          <t>DOROTEA</t>
        </is>
      </c>
      <c r="G291" t="n">
        <v>4.4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5733-2023</t>
        </is>
      </c>
      <c r="B292" s="1" t="n">
        <v>44962</v>
      </c>
      <c r="C292" s="1" t="n">
        <v>45702</v>
      </c>
      <c r="D292" t="inlineStr">
        <is>
          <t>VÄSTERBOTTENS LÄN</t>
        </is>
      </c>
      <c r="E292" t="inlineStr">
        <is>
          <t>DOROTEA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7329-2023</t>
        </is>
      </c>
      <c r="B293" s="1" t="n">
        <v>44970</v>
      </c>
      <c r="C293" s="1" t="n">
        <v>45702</v>
      </c>
      <c r="D293" t="inlineStr">
        <is>
          <t>VÄSTERBOTTENS LÄN</t>
        </is>
      </c>
      <c r="E293" t="inlineStr">
        <is>
          <t>DOROTEA</t>
        </is>
      </c>
      <c r="F293" t="inlineStr">
        <is>
          <t>SCA</t>
        </is>
      </c>
      <c r="G293" t="n">
        <v>2.8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7422-2023</t>
        </is>
      </c>
      <c r="B294" s="1" t="n">
        <v>44971</v>
      </c>
      <c r="C294" s="1" t="n">
        <v>45702</v>
      </c>
      <c r="D294" t="inlineStr">
        <is>
          <t>VÄSTERBOTTENS LÄN</t>
        </is>
      </c>
      <c r="E294" t="inlineStr">
        <is>
          <t>DOROTEA</t>
        </is>
      </c>
      <c r="F294" t="inlineStr">
        <is>
          <t>SCA</t>
        </is>
      </c>
      <c r="G294" t="n">
        <v>0.1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7429-2023</t>
        </is>
      </c>
      <c r="B295" s="1" t="n">
        <v>44971</v>
      </c>
      <c r="C295" s="1" t="n">
        <v>45702</v>
      </c>
      <c r="D295" t="inlineStr">
        <is>
          <t>VÄSTERBOTTENS LÄN</t>
        </is>
      </c>
      <c r="E295" t="inlineStr">
        <is>
          <t>DOROTEA</t>
        </is>
      </c>
      <c r="G295" t="n">
        <v>0.2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7719-2023</t>
        </is>
      </c>
      <c r="B296" s="1" t="n">
        <v>44972</v>
      </c>
      <c r="C296" s="1" t="n">
        <v>45702</v>
      </c>
      <c r="D296" t="inlineStr">
        <is>
          <t>VÄSTERBOTTENS LÄN</t>
        </is>
      </c>
      <c r="E296" t="inlineStr">
        <is>
          <t>DOROTEA</t>
        </is>
      </c>
      <c r="F296" t="inlineStr">
        <is>
          <t>SCA</t>
        </is>
      </c>
      <c r="G296" t="n">
        <v>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8095-2023</t>
        </is>
      </c>
      <c r="B297" s="1" t="n">
        <v>44974</v>
      </c>
      <c r="C297" s="1" t="n">
        <v>45702</v>
      </c>
      <c r="D297" t="inlineStr">
        <is>
          <t>VÄSTERBOTTENS LÄN</t>
        </is>
      </c>
      <c r="E297" t="inlineStr">
        <is>
          <t>DOROTEA</t>
        </is>
      </c>
      <c r="G297" t="n">
        <v>2.3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8088-2023</t>
        </is>
      </c>
      <c r="B298" s="1" t="n">
        <v>44974</v>
      </c>
      <c r="C298" s="1" t="n">
        <v>45702</v>
      </c>
      <c r="D298" t="inlineStr">
        <is>
          <t>VÄSTERBOTTENS LÄN</t>
        </is>
      </c>
      <c r="E298" t="inlineStr">
        <is>
          <t>DOROTEA</t>
        </is>
      </c>
      <c r="G298" t="n">
        <v>14.8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8092-2023</t>
        </is>
      </c>
      <c r="B299" s="1" t="n">
        <v>44974</v>
      </c>
      <c r="C299" s="1" t="n">
        <v>45702</v>
      </c>
      <c r="D299" t="inlineStr">
        <is>
          <t>VÄSTERBOTTENS LÄN</t>
        </is>
      </c>
      <c r="E299" t="inlineStr">
        <is>
          <t>DOROTEA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9046-2023</t>
        </is>
      </c>
      <c r="B300" s="1" t="n">
        <v>44979</v>
      </c>
      <c r="C300" s="1" t="n">
        <v>45702</v>
      </c>
      <c r="D300" t="inlineStr">
        <is>
          <t>VÄSTERBOTTENS LÄN</t>
        </is>
      </c>
      <c r="E300" t="inlineStr">
        <is>
          <t>DOROTEA</t>
        </is>
      </c>
      <c r="G300" t="n">
        <v>35.4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9103-2023</t>
        </is>
      </c>
      <c r="B301" s="1" t="n">
        <v>44979</v>
      </c>
      <c r="C301" s="1" t="n">
        <v>45702</v>
      </c>
      <c r="D301" t="inlineStr">
        <is>
          <t>VÄSTERBOTTENS LÄN</t>
        </is>
      </c>
      <c r="E301" t="inlineStr">
        <is>
          <t>DOROTEA</t>
        </is>
      </c>
      <c r="F301" t="inlineStr">
        <is>
          <t>SCA</t>
        </is>
      </c>
      <c r="G301" t="n">
        <v>7.7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9102-2023</t>
        </is>
      </c>
      <c r="B302" s="1" t="n">
        <v>44979</v>
      </c>
      <c r="C302" s="1" t="n">
        <v>45702</v>
      </c>
      <c r="D302" t="inlineStr">
        <is>
          <t>VÄSTERBOTTENS LÄN</t>
        </is>
      </c>
      <c r="E302" t="inlineStr">
        <is>
          <t>DOROTEA</t>
        </is>
      </c>
      <c r="F302" t="inlineStr">
        <is>
          <t>SCA</t>
        </is>
      </c>
      <c r="G302" t="n">
        <v>9.4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10360-2023</t>
        </is>
      </c>
      <c r="B303" s="1" t="n">
        <v>44980</v>
      </c>
      <c r="C303" s="1" t="n">
        <v>45702</v>
      </c>
      <c r="D303" t="inlineStr">
        <is>
          <t>VÄSTERBOTTENS LÄN</t>
        </is>
      </c>
      <c r="E303" t="inlineStr">
        <is>
          <t>DOROTEA</t>
        </is>
      </c>
      <c r="G303" t="n">
        <v>18.6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10300-2023</t>
        </is>
      </c>
      <c r="B304" s="1" t="n">
        <v>44986</v>
      </c>
      <c r="C304" s="1" t="n">
        <v>45702</v>
      </c>
      <c r="D304" t="inlineStr">
        <is>
          <t>VÄSTERBOTTENS LÄN</t>
        </is>
      </c>
      <c r="E304" t="inlineStr">
        <is>
          <t>DOROTEA</t>
        </is>
      </c>
      <c r="F304" t="inlineStr">
        <is>
          <t>SCA</t>
        </is>
      </c>
      <c r="G304" t="n">
        <v>5.9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10317-2023</t>
        </is>
      </c>
      <c r="B305" s="1" t="n">
        <v>44986</v>
      </c>
      <c r="C305" s="1" t="n">
        <v>45702</v>
      </c>
      <c r="D305" t="inlineStr">
        <is>
          <t>VÄSTERBOTTENS LÄN</t>
        </is>
      </c>
      <c r="E305" t="inlineStr">
        <is>
          <t>DOROTEA</t>
        </is>
      </c>
      <c r="F305" t="inlineStr">
        <is>
          <t>SCA</t>
        </is>
      </c>
      <c r="G305" t="n">
        <v>3.3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11037-2023</t>
        </is>
      </c>
      <c r="B306" s="1" t="n">
        <v>44991</v>
      </c>
      <c r="C306" s="1" t="n">
        <v>45702</v>
      </c>
      <c r="D306" t="inlineStr">
        <is>
          <t>VÄSTERBOTTENS LÄN</t>
        </is>
      </c>
      <c r="E306" t="inlineStr">
        <is>
          <t>DOROTEA</t>
        </is>
      </c>
      <c r="F306" t="inlineStr">
        <is>
          <t>SCA</t>
        </is>
      </c>
      <c r="G306" t="n">
        <v>3.7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11304-2023</t>
        </is>
      </c>
      <c r="B307" s="1" t="n">
        <v>44993</v>
      </c>
      <c r="C307" s="1" t="n">
        <v>45702</v>
      </c>
      <c r="D307" t="inlineStr">
        <is>
          <t>VÄSTERBOTTENS LÄN</t>
        </is>
      </c>
      <c r="E307" t="inlineStr">
        <is>
          <t>DOROTEA</t>
        </is>
      </c>
      <c r="F307" t="inlineStr">
        <is>
          <t>SCA</t>
        </is>
      </c>
      <c r="G307" t="n">
        <v>3.9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12005-2023</t>
        </is>
      </c>
      <c r="B308" s="1" t="n">
        <v>44994</v>
      </c>
      <c r="C308" s="1" t="n">
        <v>45702</v>
      </c>
      <c r="D308" t="inlineStr">
        <is>
          <t>VÄSTERBOTTENS LÄN</t>
        </is>
      </c>
      <c r="E308" t="inlineStr">
        <is>
          <t>DOROTEA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12278-2023</t>
        </is>
      </c>
      <c r="B309" s="1" t="n">
        <v>44998</v>
      </c>
      <c r="C309" s="1" t="n">
        <v>45702</v>
      </c>
      <c r="D309" t="inlineStr">
        <is>
          <t>VÄSTERBOTTENS LÄN</t>
        </is>
      </c>
      <c r="E309" t="inlineStr">
        <is>
          <t>DOROTEA</t>
        </is>
      </c>
      <c r="G309" t="n">
        <v>12.5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12740-2023</t>
        </is>
      </c>
      <c r="B310" s="1" t="n">
        <v>45000</v>
      </c>
      <c r="C310" s="1" t="n">
        <v>45702</v>
      </c>
      <c r="D310" t="inlineStr">
        <is>
          <t>VÄSTERBOTTENS LÄN</t>
        </is>
      </c>
      <c r="E310" t="inlineStr">
        <is>
          <t>DOROTEA</t>
        </is>
      </c>
      <c r="F310" t="inlineStr">
        <is>
          <t>SCA</t>
        </is>
      </c>
      <c r="G310" t="n">
        <v>7.6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12751-2023</t>
        </is>
      </c>
      <c r="B311" s="1" t="n">
        <v>45000</v>
      </c>
      <c r="C311" s="1" t="n">
        <v>45702</v>
      </c>
      <c r="D311" t="inlineStr">
        <is>
          <t>VÄSTERBOTTENS LÄN</t>
        </is>
      </c>
      <c r="E311" t="inlineStr">
        <is>
          <t>DOROTEA</t>
        </is>
      </c>
      <c r="F311" t="inlineStr">
        <is>
          <t>SCA</t>
        </is>
      </c>
      <c r="G311" t="n">
        <v>13.6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12992-2023</t>
        </is>
      </c>
      <c r="B312" s="1" t="n">
        <v>45002</v>
      </c>
      <c r="C312" s="1" t="n">
        <v>45702</v>
      </c>
      <c r="D312" t="inlineStr">
        <is>
          <t>VÄSTERBOTTENS LÄN</t>
        </is>
      </c>
      <c r="E312" t="inlineStr">
        <is>
          <t>DOROTEA</t>
        </is>
      </c>
      <c r="F312" t="inlineStr">
        <is>
          <t>SCA</t>
        </is>
      </c>
      <c r="G312" t="n">
        <v>4.1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13265-2023</t>
        </is>
      </c>
      <c r="B313" s="1" t="n">
        <v>45002</v>
      </c>
      <c r="C313" s="1" t="n">
        <v>45702</v>
      </c>
      <c r="D313" t="inlineStr">
        <is>
          <t>VÄSTERBOTTENS LÄN</t>
        </is>
      </c>
      <c r="E313" t="inlineStr">
        <is>
          <t>DOROTEA</t>
        </is>
      </c>
      <c r="F313" t="inlineStr">
        <is>
          <t>SCA</t>
        </is>
      </c>
      <c r="G313" t="n">
        <v>20.7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13257-2023</t>
        </is>
      </c>
      <c r="B314" s="1" t="n">
        <v>45002</v>
      </c>
      <c r="C314" s="1" t="n">
        <v>45702</v>
      </c>
      <c r="D314" t="inlineStr">
        <is>
          <t>VÄSTERBOTTENS LÄN</t>
        </is>
      </c>
      <c r="E314" t="inlineStr">
        <is>
          <t>DOROTEA</t>
        </is>
      </c>
      <c r="F314" t="inlineStr">
        <is>
          <t>SCA</t>
        </is>
      </c>
      <c r="G314" t="n">
        <v>23.3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13490-2023</t>
        </is>
      </c>
      <c r="B315" s="1" t="n">
        <v>45005</v>
      </c>
      <c r="C315" s="1" t="n">
        <v>45702</v>
      </c>
      <c r="D315" t="inlineStr">
        <is>
          <t>VÄSTERBOTTENS LÄN</t>
        </is>
      </c>
      <c r="E315" t="inlineStr">
        <is>
          <t>DOROTEA</t>
        </is>
      </c>
      <c r="F315" t="inlineStr">
        <is>
          <t>SCA</t>
        </is>
      </c>
      <c r="G315" t="n">
        <v>4.9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14264-2023</t>
        </is>
      </c>
      <c r="B316" s="1" t="n">
        <v>45009</v>
      </c>
      <c r="C316" s="1" t="n">
        <v>45702</v>
      </c>
      <c r="D316" t="inlineStr">
        <is>
          <t>VÄSTERBOTTENS LÄN</t>
        </is>
      </c>
      <c r="E316" t="inlineStr">
        <is>
          <t>DOROTEA</t>
        </is>
      </c>
      <c r="F316" t="inlineStr">
        <is>
          <t>SCA</t>
        </is>
      </c>
      <c r="G316" t="n">
        <v>23.9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14806-2023</t>
        </is>
      </c>
      <c r="B317" s="1" t="n">
        <v>45013</v>
      </c>
      <c r="C317" s="1" t="n">
        <v>45702</v>
      </c>
      <c r="D317" t="inlineStr">
        <is>
          <t>VÄSTERBOTTENS LÄN</t>
        </is>
      </c>
      <c r="E317" t="inlineStr">
        <is>
          <t>DOROTEA</t>
        </is>
      </c>
      <c r="G317" t="n">
        <v>5.2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14672-2023</t>
        </is>
      </c>
      <c r="B318" s="1" t="n">
        <v>45014</v>
      </c>
      <c r="C318" s="1" t="n">
        <v>45702</v>
      </c>
      <c r="D318" t="inlineStr">
        <is>
          <t>VÄSTERBOTTENS LÄN</t>
        </is>
      </c>
      <c r="E318" t="inlineStr">
        <is>
          <t>DOROTEA</t>
        </is>
      </c>
      <c r="F318" t="inlineStr">
        <is>
          <t>SCA</t>
        </is>
      </c>
      <c r="G318" t="n">
        <v>2.5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14673-2023</t>
        </is>
      </c>
      <c r="B319" s="1" t="n">
        <v>45013</v>
      </c>
      <c r="C319" s="1" t="n">
        <v>45702</v>
      </c>
      <c r="D319" t="inlineStr">
        <is>
          <t>VÄSTERBOTTENS LÄN</t>
        </is>
      </c>
      <c r="E319" t="inlineStr">
        <is>
          <t>DOROTEA</t>
        </is>
      </c>
      <c r="F319" t="inlineStr">
        <is>
          <t>SCA</t>
        </is>
      </c>
      <c r="G319" t="n">
        <v>16.1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14882-2023</t>
        </is>
      </c>
      <c r="B320" s="1" t="n">
        <v>45015</v>
      </c>
      <c r="C320" s="1" t="n">
        <v>45702</v>
      </c>
      <c r="D320" t="inlineStr">
        <is>
          <t>VÄSTERBOTTENS LÄN</t>
        </is>
      </c>
      <c r="E320" t="inlineStr">
        <is>
          <t>DOROTEA</t>
        </is>
      </c>
      <c r="F320" t="inlineStr">
        <is>
          <t>SCA</t>
        </is>
      </c>
      <c r="G320" t="n">
        <v>15.5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14881-2023</t>
        </is>
      </c>
      <c r="B321" s="1" t="n">
        <v>45015</v>
      </c>
      <c r="C321" s="1" t="n">
        <v>45702</v>
      </c>
      <c r="D321" t="inlineStr">
        <is>
          <t>VÄSTERBOTTENS LÄN</t>
        </is>
      </c>
      <c r="E321" t="inlineStr">
        <is>
          <t>DOROTEA</t>
        </is>
      </c>
      <c r="F321" t="inlineStr">
        <is>
          <t>SCA</t>
        </is>
      </c>
      <c r="G321" t="n">
        <v>11.7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14883-2023</t>
        </is>
      </c>
      <c r="B322" s="1" t="n">
        <v>45015</v>
      </c>
      <c r="C322" s="1" t="n">
        <v>45702</v>
      </c>
      <c r="D322" t="inlineStr">
        <is>
          <t>VÄSTERBOTTENS LÄN</t>
        </is>
      </c>
      <c r="E322" t="inlineStr">
        <is>
          <t>DOROTEA</t>
        </is>
      </c>
      <c r="F322" t="inlineStr">
        <is>
          <t>SCA</t>
        </is>
      </c>
      <c r="G322" t="n">
        <v>13.8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17658-2023</t>
        </is>
      </c>
      <c r="B323" s="1" t="n">
        <v>45036</v>
      </c>
      <c r="C323" s="1" t="n">
        <v>45702</v>
      </c>
      <c r="D323" t="inlineStr">
        <is>
          <t>VÄSTERBOTTENS LÄN</t>
        </is>
      </c>
      <c r="E323" t="inlineStr">
        <is>
          <t>DOROTEA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17783-2023</t>
        </is>
      </c>
      <c r="B324" s="1" t="n">
        <v>45036</v>
      </c>
      <c r="C324" s="1" t="n">
        <v>45702</v>
      </c>
      <c r="D324" t="inlineStr">
        <is>
          <t>VÄSTERBOTTENS LÄN</t>
        </is>
      </c>
      <c r="E324" t="inlineStr">
        <is>
          <t>DOROTEA</t>
        </is>
      </c>
      <c r="G324" t="n">
        <v>4.8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17776-2023</t>
        </is>
      </c>
      <c r="B325" s="1" t="n">
        <v>45036</v>
      </c>
      <c r="C325" s="1" t="n">
        <v>45702</v>
      </c>
      <c r="D325" t="inlineStr">
        <is>
          <t>VÄSTERBOTTENS LÄN</t>
        </is>
      </c>
      <c r="E325" t="inlineStr">
        <is>
          <t>DOROTEA</t>
        </is>
      </c>
      <c r="G325" t="n">
        <v>4.2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17787-2023</t>
        </is>
      </c>
      <c r="B326" s="1" t="n">
        <v>45036</v>
      </c>
      <c r="C326" s="1" t="n">
        <v>45702</v>
      </c>
      <c r="D326" t="inlineStr">
        <is>
          <t>VÄSTERBOTTENS LÄN</t>
        </is>
      </c>
      <c r="E326" t="inlineStr">
        <is>
          <t>DOROTEA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18982-2023</t>
        </is>
      </c>
      <c r="B327" s="1" t="n">
        <v>45044</v>
      </c>
      <c r="C327" s="1" t="n">
        <v>45702</v>
      </c>
      <c r="D327" t="inlineStr">
        <is>
          <t>VÄSTERBOTTENS LÄN</t>
        </is>
      </c>
      <c r="E327" t="inlineStr">
        <is>
          <t>DOROTEA</t>
        </is>
      </c>
      <c r="F327" t="inlineStr">
        <is>
          <t>SCA</t>
        </is>
      </c>
      <c r="G327" t="n">
        <v>15.9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20759-2023</t>
        </is>
      </c>
      <c r="B328" s="1" t="n">
        <v>45055</v>
      </c>
      <c r="C328" s="1" t="n">
        <v>45702</v>
      </c>
      <c r="D328" t="inlineStr">
        <is>
          <t>VÄSTERBOTTENS LÄN</t>
        </is>
      </c>
      <c r="E328" t="inlineStr">
        <is>
          <t>DOROTEA</t>
        </is>
      </c>
      <c r="F328" t="inlineStr">
        <is>
          <t>Övriga statliga verk och myndigheter</t>
        </is>
      </c>
      <c r="G328" t="n">
        <v>13.9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20618-2023</t>
        </is>
      </c>
      <c r="B329" s="1" t="n">
        <v>45057</v>
      </c>
      <c r="C329" s="1" t="n">
        <v>45702</v>
      </c>
      <c r="D329" t="inlineStr">
        <is>
          <t>VÄSTERBOTTENS LÄN</t>
        </is>
      </c>
      <c r="E329" t="inlineStr">
        <is>
          <t>DOROTEA</t>
        </is>
      </c>
      <c r="F329" t="inlineStr">
        <is>
          <t>SCA</t>
        </is>
      </c>
      <c r="G329" t="n">
        <v>28.6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20600-2023</t>
        </is>
      </c>
      <c r="B330" s="1" t="n">
        <v>45057</v>
      </c>
      <c r="C330" s="1" t="n">
        <v>45702</v>
      </c>
      <c r="D330" t="inlineStr">
        <is>
          <t>VÄSTERBOTTENS LÄN</t>
        </is>
      </c>
      <c r="E330" t="inlineStr">
        <is>
          <t>DOROTEA</t>
        </is>
      </c>
      <c r="F330" t="inlineStr">
        <is>
          <t>SCA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21712-2023</t>
        </is>
      </c>
      <c r="B331" s="1" t="n">
        <v>45064</v>
      </c>
      <c r="C331" s="1" t="n">
        <v>45702</v>
      </c>
      <c r="D331" t="inlineStr">
        <is>
          <t>VÄSTERBOTTENS LÄN</t>
        </is>
      </c>
      <c r="E331" t="inlineStr">
        <is>
          <t>DOROTEA</t>
        </is>
      </c>
      <c r="F331" t="inlineStr">
        <is>
          <t>SCA</t>
        </is>
      </c>
      <c r="G331" t="n">
        <v>13.2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22580-2023</t>
        </is>
      </c>
      <c r="B332" s="1" t="n">
        <v>45069</v>
      </c>
      <c r="C332" s="1" t="n">
        <v>45702</v>
      </c>
      <c r="D332" t="inlineStr">
        <is>
          <t>VÄSTERBOTTENS LÄN</t>
        </is>
      </c>
      <c r="E332" t="inlineStr">
        <is>
          <t>DOROTEA</t>
        </is>
      </c>
      <c r="G332" t="n">
        <v>5.7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22733-2023</t>
        </is>
      </c>
      <c r="B333" s="1" t="n">
        <v>45071</v>
      </c>
      <c r="C333" s="1" t="n">
        <v>45702</v>
      </c>
      <c r="D333" t="inlineStr">
        <is>
          <t>VÄSTERBOTTENS LÄN</t>
        </is>
      </c>
      <c r="E333" t="inlineStr">
        <is>
          <t>DOROTEA</t>
        </is>
      </c>
      <c r="G333" t="n">
        <v>5.2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23300-2023</t>
        </is>
      </c>
      <c r="B334" s="1" t="n">
        <v>45075</v>
      </c>
      <c r="C334" s="1" t="n">
        <v>45702</v>
      </c>
      <c r="D334" t="inlineStr">
        <is>
          <t>VÄSTERBOTTENS LÄN</t>
        </is>
      </c>
      <c r="E334" t="inlineStr">
        <is>
          <t>DOROTEA</t>
        </is>
      </c>
      <c r="F334" t="inlineStr">
        <is>
          <t>SCA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23557-2023</t>
        </is>
      </c>
      <c r="B335" s="1" t="n">
        <v>45077</v>
      </c>
      <c r="C335" s="1" t="n">
        <v>45702</v>
      </c>
      <c r="D335" t="inlineStr">
        <is>
          <t>VÄSTERBOTTENS LÄN</t>
        </is>
      </c>
      <c r="E335" t="inlineStr">
        <is>
          <t>DOROTEA</t>
        </is>
      </c>
      <c r="G335" t="n">
        <v>16.8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23553-2023</t>
        </is>
      </c>
      <c r="B336" s="1" t="n">
        <v>45077</v>
      </c>
      <c r="C336" s="1" t="n">
        <v>45702</v>
      </c>
      <c r="D336" t="inlineStr">
        <is>
          <t>VÄSTERBOTTENS LÄN</t>
        </is>
      </c>
      <c r="E336" t="inlineStr">
        <is>
          <t>DOROTEA</t>
        </is>
      </c>
      <c r="G336" t="n">
        <v>5.2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24297-2023</t>
        </is>
      </c>
      <c r="B337" s="1" t="n">
        <v>45079</v>
      </c>
      <c r="C337" s="1" t="n">
        <v>45702</v>
      </c>
      <c r="D337" t="inlineStr">
        <is>
          <t>VÄSTERBOTTENS LÄN</t>
        </is>
      </c>
      <c r="E337" t="inlineStr">
        <is>
          <t>DOROTEA</t>
        </is>
      </c>
      <c r="F337" t="inlineStr">
        <is>
          <t>SCA</t>
        </is>
      </c>
      <c r="G337" t="n">
        <v>8.1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25836-2023</t>
        </is>
      </c>
      <c r="B338" s="1" t="n">
        <v>45090</v>
      </c>
      <c r="C338" s="1" t="n">
        <v>45702</v>
      </c>
      <c r="D338" t="inlineStr">
        <is>
          <t>VÄSTERBOTTENS LÄN</t>
        </is>
      </c>
      <c r="E338" t="inlineStr">
        <is>
          <t>DOROTEA</t>
        </is>
      </c>
      <c r="G338" t="n">
        <v>7.9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26359-2023</t>
        </is>
      </c>
      <c r="B339" s="1" t="n">
        <v>45091</v>
      </c>
      <c r="C339" s="1" t="n">
        <v>45702</v>
      </c>
      <c r="D339" t="inlineStr">
        <is>
          <t>VÄSTERBOTTENS LÄN</t>
        </is>
      </c>
      <c r="E339" t="inlineStr">
        <is>
          <t>DOROTEA</t>
        </is>
      </c>
      <c r="F339" t="inlineStr">
        <is>
          <t>SCA</t>
        </is>
      </c>
      <c r="G339" t="n">
        <v>3.3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27477-2023</t>
        </is>
      </c>
      <c r="B340" s="1" t="n">
        <v>45097</v>
      </c>
      <c r="C340" s="1" t="n">
        <v>45702</v>
      </c>
      <c r="D340" t="inlineStr">
        <is>
          <t>VÄSTERBOTTENS LÄN</t>
        </is>
      </c>
      <c r="E340" t="inlineStr">
        <is>
          <t>DOROTEA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29641-2023</t>
        </is>
      </c>
      <c r="B341" s="1" t="n">
        <v>45098</v>
      </c>
      <c r="C341" s="1" t="n">
        <v>45702</v>
      </c>
      <c r="D341" t="inlineStr">
        <is>
          <t>VÄSTERBOTTENS LÄN</t>
        </is>
      </c>
      <c r="E341" t="inlineStr">
        <is>
          <t>DOROTEA</t>
        </is>
      </c>
      <c r="G341" t="n">
        <v>23.6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29643-2023</t>
        </is>
      </c>
      <c r="B342" s="1" t="n">
        <v>45098</v>
      </c>
      <c r="C342" s="1" t="n">
        <v>45702</v>
      </c>
      <c r="D342" t="inlineStr">
        <is>
          <t>VÄSTERBOTTENS LÄN</t>
        </is>
      </c>
      <c r="E342" t="inlineStr">
        <is>
          <t>DOROTEA</t>
        </is>
      </c>
      <c r="G342" t="n">
        <v>21.6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29645-2023</t>
        </is>
      </c>
      <c r="B343" s="1" t="n">
        <v>45098</v>
      </c>
      <c r="C343" s="1" t="n">
        <v>45702</v>
      </c>
      <c r="D343" t="inlineStr">
        <is>
          <t>VÄSTERBOTTENS LÄN</t>
        </is>
      </c>
      <c r="E343" t="inlineStr">
        <is>
          <t>DOROTEA</t>
        </is>
      </c>
      <c r="G343" t="n">
        <v>0.4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28386-2023</t>
        </is>
      </c>
      <c r="B344" s="1" t="n">
        <v>45100</v>
      </c>
      <c r="C344" s="1" t="n">
        <v>45702</v>
      </c>
      <c r="D344" t="inlineStr">
        <is>
          <t>VÄSTERBOTTENS LÄN</t>
        </is>
      </c>
      <c r="E344" t="inlineStr">
        <is>
          <t>DOROTEA</t>
        </is>
      </c>
      <c r="F344" t="inlineStr">
        <is>
          <t>SCA</t>
        </is>
      </c>
      <c r="G344" t="n">
        <v>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30166-2023</t>
        </is>
      </c>
      <c r="B345" s="1" t="n">
        <v>45099</v>
      </c>
      <c r="C345" s="1" t="n">
        <v>45702</v>
      </c>
      <c r="D345" t="inlineStr">
        <is>
          <t>VÄSTERBOTTENS LÄN</t>
        </is>
      </c>
      <c r="E345" t="inlineStr">
        <is>
          <t>DOROTEA</t>
        </is>
      </c>
      <c r="G345" t="n">
        <v>2.1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28549-2023</t>
        </is>
      </c>
      <c r="B346" s="1" t="n">
        <v>45103</v>
      </c>
      <c r="C346" s="1" t="n">
        <v>45702</v>
      </c>
      <c r="D346" t="inlineStr">
        <is>
          <t>VÄSTERBOTTENS LÄN</t>
        </is>
      </c>
      <c r="E346" t="inlineStr">
        <is>
          <t>DOROTEA</t>
        </is>
      </c>
      <c r="G346" t="n">
        <v>3.6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29953-2023</t>
        </is>
      </c>
      <c r="B347" s="1" t="n">
        <v>45107</v>
      </c>
      <c r="C347" s="1" t="n">
        <v>45702</v>
      </c>
      <c r="D347" t="inlineStr">
        <is>
          <t>VÄSTERBOTTENS LÄN</t>
        </is>
      </c>
      <c r="E347" t="inlineStr">
        <is>
          <t>DOROTEA</t>
        </is>
      </c>
      <c r="F347" t="inlineStr">
        <is>
          <t>SCA</t>
        </is>
      </c>
      <c r="G347" t="n">
        <v>9.800000000000001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30286-2023</t>
        </is>
      </c>
      <c r="B348" s="1" t="n">
        <v>45110</v>
      </c>
      <c r="C348" s="1" t="n">
        <v>45702</v>
      </c>
      <c r="D348" t="inlineStr">
        <is>
          <t>VÄSTERBOTTENS LÄN</t>
        </is>
      </c>
      <c r="E348" t="inlineStr">
        <is>
          <t>DOROTEA</t>
        </is>
      </c>
      <c r="G348" t="n">
        <v>21.2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30296-2023</t>
        </is>
      </c>
      <c r="B349" s="1" t="n">
        <v>45110</v>
      </c>
      <c r="C349" s="1" t="n">
        <v>45702</v>
      </c>
      <c r="D349" t="inlineStr">
        <is>
          <t>VÄSTERBOTTENS LÄN</t>
        </is>
      </c>
      <c r="E349" t="inlineStr">
        <is>
          <t>DOROTEA</t>
        </is>
      </c>
      <c r="F349" t="inlineStr">
        <is>
          <t>SCA</t>
        </is>
      </c>
      <c r="G349" t="n">
        <v>2.9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30561-2023</t>
        </is>
      </c>
      <c r="B350" s="1" t="n">
        <v>45112</v>
      </c>
      <c r="C350" s="1" t="n">
        <v>45702</v>
      </c>
      <c r="D350" t="inlineStr">
        <is>
          <t>VÄSTERBOTTENS LÄN</t>
        </is>
      </c>
      <c r="E350" t="inlineStr">
        <is>
          <t>DOROTEA</t>
        </is>
      </c>
      <c r="G350" t="n">
        <v>38.5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30570-2023</t>
        </is>
      </c>
      <c r="B351" s="1" t="n">
        <v>45111</v>
      </c>
      <c r="C351" s="1" t="n">
        <v>45702</v>
      </c>
      <c r="D351" t="inlineStr">
        <is>
          <t>VÄSTERBOTTENS LÄN</t>
        </is>
      </c>
      <c r="E351" t="inlineStr">
        <is>
          <t>DOROTEA</t>
        </is>
      </c>
      <c r="F351" t="inlineStr">
        <is>
          <t>SCA</t>
        </is>
      </c>
      <c r="G351" t="n">
        <v>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31494-2023</t>
        </is>
      </c>
      <c r="B352" s="1" t="n">
        <v>45114</v>
      </c>
      <c r="C352" s="1" t="n">
        <v>45702</v>
      </c>
      <c r="D352" t="inlineStr">
        <is>
          <t>VÄSTERBOTTENS LÄN</t>
        </is>
      </c>
      <c r="E352" t="inlineStr">
        <is>
          <t>DOROTEA</t>
        </is>
      </c>
      <c r="F352" t="inlineStr">
        <is>
          <t>SCA</t>
        </is>
      </c>
      <c r="G352" t="n">
        <v>14.7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32474-2023</t>
        </is>
      </c>
      <c r="B353" s="1" t="n">
        <v>45120</v>
      </c>
      <c r="C353" s="1" t="n">
        <v>45702</v>
      </c>
      <c r="D353" t="inlineStr">
        <is>
          <t>VÄSTERBOTTENS LÄN</t>
        </is>
      </c>
      <c r="E353" t="inlineStr">
        <is>
          <t>DOROTEA</t>
        </is>
      </c>
      <c r="F353" t="inlineStr">
        <is>
          <t>SCA</t>
        </is>
      </c>
      <c r="G353" t="n">
        <v>11.7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32723-2023</t>
        </is>
      </c>
      <c r="B354" s="1" t="n">
        <v>45121</v>
      </c>
      <c r="C354" s="1" t="n">
        <v>45702</v>
      </c>
      <c r="D354" t="inlineStr">
        <is>
          <t>VÄSTERBOTTENS LÄN</t>
        </is>
      </c>
      <c r="E354" t="inlineStr">
        <is>
          <t>DOROTEA</t>
        </is>
      </c>
      <c r="F354" t="inlineStr">
        <is>
          <t>SCA</t>
        </is>
      </c>
      <c r="G354" t="n">
        <v>20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34101-2023</t>
        </is>
      </c>
      <c r="B355" s="1" t="n">
        <v>45125</v>
      </c>
      <c r="C355" s="1" t="n">
        <v>45702</v>
      </c>
      <c r="D355" t="inlineStr">
        <is>
          <t>VÄSTERBOTTENS LÄN</t>
        </is>
      </c>
      <c r="E355" t="inlineStr">
        <is>
          <t>DOROTEA</t>
        </is>
      </c>
      <c r="G355" t="n">
        <v>1.9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34107-2023</t>
        </is>
      </c>
      <c r="B356" s="1" t="n">
        <v>45125</v>
      </c>
      <c r="C356" s="1" t="n">
        <v>45702</v>
      </c>
      <c r="D356" t="inlineStr">
        <is>
          <t>VÄSTERBOTTENS LÄN</t>
        </is>
      </c>
      <c r="E356" t="inlineStr">
        <is>
          <t>DOROTEA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34312-2023</t>
        </is>
      </c>
      <c r="B357" s="1" t="n">
        <v>45139</v>
      </c>
      <c r="C357" s="1" t="n">
        <v>45702</v>
      </c>
      <c r="D357" t="inlineStr">
        <is>
          <t>VÄSTERBOTTENS LÄN</t>
        </is>
      </c>
      <c r="E357" t="inlineStr">
        <is>
          <t>DOROTEA</t>
        </is>
      </c>
      <c r="G357" t="n">
        <v>3.2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34697-2023</t>
        </is>
      </c>
      <c r="B358" s="1" t="n">
        <v>45141</v>
      </c>
      <c r="C358" s="1" t="n">
        <v>45702</v>
      </c>
      <c r="D358" t="inlineStr">
        <is>
          <t>VÄSTERBOTTENS LÄN</t>
        </is>
      </c>
      <c r="E358" t="inlineStr">
        <is>
          <t>DOROTEA</t>
        </is>
      </c>
      <c r="F358" t="inlineStr">
        <is>
          <t>SCA</t>
        </is>
      </c>
      <c r="G358" t="n">
        <v>1.9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34707-2023</t>
        </is>
      </c>
      <c r="B359" s="1" t="n">
        <v>45140</v>
      </c>
      <c r="C359" s="1" t="n">
        <v>45702</v>
      </c>
      <c r="D359" t="inlineStr">
        <is>
          <t>VÄSTERBOTTENS LÄN</t>
        </is>
      </c>
      <c r="E359" t="inlineStr">
        <is>
          <t>DOROTEA</t>
        </is>
      </c>
      <c r="F359" t="inlineStr">
        <is>
          <t>SCA</t>
        </is>
      </c>
      <c r="G359" t="n">
        <v>2.1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34702-2023</t>
        </is>
      </c>
      <c r="B360" s="1" t="n">
        <v>45140</v>
      </c>
      <c r="C360" s="1" t="n">
        <v>45702</v>
      </c>
      <c r="D360" t="inlineStr">
        <is>
          <t>VÄSTERBOTTENS LÄN</t>
        </is>
      </c>
      <c r="E360" t="inlineStr">
        <is>
          <t>DOROTEA</t>
        </is>
      </c>
      <c r="F360" t="inlineStr">
        <is>
          <t>SCA</t>
        </is>
      </c>
      <c r="G360" t="n">
        <v>2.2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34706-2023</t>
        </is>
      </c>
      <c r="B361" s="1" t="n">
        <v>45140</v>
      </c>
      <c r="C361" s="1" t="n">
        <v>45702</v>
      </c>
      <c r="D361" t="inlineStr">
        <is>
          <t>VÄSTERBOTTENS LÄN</t>
        </is>
      </c>
      <c r="E361" t="inlineStr">
        <is>
          <t>DOROTEA</t>
        </is>
      </c>
      <c r="F361" t="inlineStr">
        <is>
          <t>SCA</t>
        </is>
      </c>
      <c r="G361" t="n">
        <v>3.2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34700-2023</t>
        </is>
      </c>
      <c r="B362" s="1" t="n">
        <v>45141</v>
      </c>
      <c r="C362" s="1" t="n">
        <v>45702</v>
      </c>
      <c r="D362" t="inlineStr">
        <is>
          <t>VÄSTERBOTTENS LÄN</t>
        </is>
      </c>
      <c r="E362" t="inlineStr">
        <is>
          <t>DOROTEA</t>
        </is>
      </c>
      <c r="F362" t="inlineStr">
        <is>
          <t>SCA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34820-2023</t>
        </is>
      </c>
      <c r="B363" s="1" t="n">
        <v>45140</v>
      </c>
      <c r="C363" s="1" t="n">
        <v>45702</v>
      </c>
      <c r="D363" t="inlineStr">
        <is>
          <t>VÄSTERBOTTENS LÄN</t>
        </is>
      </c>
      <c r="E363" t="inlineStr">
        <is>
          <t>DOROTEA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34853-2023</t>
        </is>
      </c>
      <c r="B364" s="1" t="n">
        <v>45142</v>
      </c>
      <c r="C364" s="1" t="n">
        <v>45702</v>
      </c>
      <c r="D364" t="inlineStr">
        <is>
          <t>VÄSTERBOTTENS LÄN</t>
        </is>
      </c>
      <c r="E364" t="inlineStr">
        <is>
          <t>DOROTEA</t>
        </is>
      </c>
      <c r="F364" t="inlineStr">
        <is>
          <t>SCA</t>
        </is>
      </c>
      <c r="G364" t="n">
        <v>5.8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34854-2023</t>
        </is>
      </c>
      <c r="B365" s="1" t="n">
        <v>45142</v>
      </c>
      <c r="C365" s="1" t="n">
        <v>45702</v>
      </c>
      <c r="D365" t="inlineStr">
        <is>
          <t>VÄSTERBOTTENS LÄN</t>
        </is>
      </c>
      <c r="E365" t="inlineStr">
        <is>
          <t>DOROTEA</t>
        </is>
      </c>
      <c r="F365" t="inlineStr">
        <is>
          <t>SCA</t>
        </is>
      </c>
      <c r="G365" t="n">
        <v>2.4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34996-2023</t>
        </is>
      </c>
      <c r="B366" s="1" t="n">
        <v>45142</v>
      </c>
      <c r="C366" s="1" t="n">
        <v>45702</v>
      </c>
      <c r="D366" t="inlineStr">
        <is>
          <t>VÄSTERBOTTENS LÄN</t>
        </is>
      </c>
      <c r="E366" t="inlineStr">
        <is>
          <t>DOROTEA</t>
        </is>
      </c>
      <c r="G366" t="n">
        <v>2.5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35000-2023</t>
        </is>
      </c>
      <c r="B367" s="1" t="n">
        <v>45143</v>
      </c>
      <c r="C367" s="1" t="n">
        <v>45702</v>
      </c>
      <c r="D367" t="inlineStr">
        <is>
          <t>VÄSTERBOTTENS LÄN</t>
        </is>
      </c>
      <c r="E367" t="inlineStr">
        <is>
          <t>DOROTEA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34995-2023</t>
        </is>
      </c>
      <c r="B368" s="1" t="n">
        <v>45143</v>
      </c>
      <c r="C368" s="1" t="n">
        <v>45702</v>
      </c>
      <c r="D368" t="inlineStr">
        <is>
          <t>VÄSTERBOTTENS LÄN</t>
        </is>
      </c>
      <c r="E368" t="inlineStr">
        <is>
          <t>DOROTEA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35288-2023</t>
        </is>
      </c>
      <c r="B369" s="1" t="n">
        <v>45145</v>
      </c>
      <c r="C369" s="1" t="n">
        <v>45702</v>
      </c>
      <c r="D369" t="inlineStr">
        <is>
          <t>VÄSTERBOTTENS LÄN</t>
        </is>
      </c>
      <c r="E369" t="inlineStr">
        <is>
          <t>DOROTEA</t>
        </is>
      </c>
      <c r="F369" t="inlineStr">
        <is>
          <t>SCA</t>
        </is>
      </c>
      <c r="G369" t="n">
        <v>7.3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35287-2023</t>
        </is>
      </c>
      <c r="B370" s="1" t="n">
        <v>45145</v>
      </c>
      <c r="C370" s="1" t="n">
        <v>45702</v>
      </c>
      <c r="D370" t="inlineStr">
        <is>
          <t>VÄSTERBOTTENS LÄN</t>
        </is>
      </c>
      <c r="E370" t="inlineStr">
        <is>
          <t>DOROTEA</t>
        </is>
      </c>
      <c r="F370" t="inlineStr">
        <is>
          <t>SCA</t>
        </is>
      </c>
      <c r="G370" t="n">
        <v>6.8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35989-2023</t>
        </is>
      </c>
      <c r="B371" s="1" t="n">
        <v>45149</v>
      </c>
      <c r="C371" s="1" t="n">
        <v>45702</v>
      </c>
      <c r="D371" t="inlineStr">
        <is>
          <t>VÄSTERBOTTENS LÄN</t>
        </is>
      </c>
      <c r="E371" t="inlineStr">
        <is>
          <t>DOROTEA</t>
        </is>
      </c>
      <c r="F371" t="inlineStr">
        <is>
          <t>SCA</t>
        </is>
      </c>
      <c r="G371" t="n">
        <v>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35990-2023</t>
        </is>
      </c>
      <c r="B372" s="1" t="n">
        <v>45149</v>
      </c>
      <c r="C372" s="1" t="n">
        <v>45702</v>
      </c>
      <c r="D372" t="inlineStr">
        <is>
          <t>VÄSTERBOTTENS LÄN</t>
        </is>
      </c>
      <c r="E372" t="inlineStr">
        <is>
          <t>DOROTEA</t>
        </is>
      </c>
      <c r="F372" t="inlineStr">
        <is>
          <t>SCA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36137-2023</t>
        </is>
      </c>
      <c r="B373" s="1" t="n">
        <v>45149</v>
      </c>
      <c r="C373" s="1" t="n">
        <v>45702</v>
      </c>
      <c r="D373" t="inlineStr">
        <is>
          <t>VÄSTERBOTTENS LÄN</t>
        </is>
      </c>
      <c r="E373" t="inlineStr">
        <is>
          <t>DOROTEA</t>
        </is>
      </c>
      <c r="G373" t="n">
        <v>5.4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36142-2023</t>
        </is>
      </c>
      <c r="B374" s="1" t="n">
        <v>45149</v>
      </c>
      <c r="C374" s="1" t="n">
        <v>45702</v>
      </c>
      <c r="D374" t="inlineStr">
        <is>
          <t>VÄSTERBOTTENS LÄN</t>
        </is>
      </c>
      <c r="E374" t="inlineStr">
        <is>
          <t>DOROTEA</t>
        </is>
      </c>
      <c r="G374" t="n">
        <v>17.9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36352-2023</t>
        </is>
      </c>
      <c r="B375" s="1" t="n">
        <v>45149</v>
      </c>
      <c r="C375" s="1" t="n">
        <v>45702</v>
      </c>
      <c r="D375" t="inlineStr">
        <is>
          <t>VÄSTERBOTTENS LÄN</t>
        </is>
      </c>
      <c r="E375" t="inlineStr">
        <is>
          <t>DOROTEA</t>
        </is>
      </c>
      <c r="G375" t="n">
        <v>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36763-2023</t>
        </is>
      </c>
      <c r="B376" s="1" t="n">
        <v>45153</v>
      </c>
      <c r="C376" s="1" t="n">
        <v>45702</v>
      </c>
      <c r="D376" t="inlineStr">
        <is>
          <t>VÄSTERBOTTENS LÄN</t>
        </is>
      </c>
      <c r="E376" t="inlineStr">
        <is>
          <t>DOROTEA</t>
        </is>
      </c>
      <c r="F376" t="inlineStr">
        <is>
          <t>SCA</t>
        </is>
      </c>
      <c r="G376" t="n">
        <v>4.2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36762-2023</t>
        </is>
      </c>
      <c r="B377" s="1" t="n">
        <v>45154</v>
      </c>
      <c r="C377" s="1" t="n">
        <v>45702</v>
      </c>
      <c r="D377" t="inlineStr">
        <is>
          <t>VÄSTERBOTTENS LÄN</t>
        </is>
      </c>
      <c r="E377" t="inlineStr">
        <is>
          <t>DOROTEA</t>
        </is>
      </c>
      <c r="F377" t="inlineStr">
        <is>
          <t>SCA</t>
        </is>
      </c>
      <c r="G377" t="n">
        <v>10.4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36994-2023</t>
        </is>
      </c>
      <c r="B378" s="1" t="n">
        <v>45155</v>
      </c>
      <c r="C378" s="1" t="n">
        <v>45702</v>
      </c>
      <c r="D378" t="inlineStr">
        <is>
          <t>VÄSTERBOTTENS LÄN</t>
        </is>
      </c>
      <c r="E378" t="inlineStr">
        <is>
          <t>DOROTEA</t>
        </is>
      </c>
      <c r="F378" t="inlineStr">
        <is>
          <t>SCA</t>
        </is>
      </c>
      <c r="G378" t="n">
        <v>4.5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37254-2023</t>
        </is>
      </c>
      <c r="B379" s="1" t="n">
        <v>45155</v>
      </c>
      <c r="C379" s="1" t="n">
        <v>45702</v>
      </c>
      <c r="D379" t="inlineStr">
        <is>
          <t>VÄSTERBOTTENS LÄN</t>
        </is>
      </c>
      <c r="E379" t="inlineStr">
        <is>
          <t>DOROTEA</t>
        </is>
      </c>
      <c r="F379" t="inlineStr">
        <is>
          <t>SCA</t>
        </is>
      </c>
      <c r="G379" t="n">
        <v>12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37247-2023</t>
        </is>
      </c>
      <c r="B380" s="1" t="n">
        <v>45155</v>
      </c>
      <c r="C380" s="1" t="n">
        <v>45702</v>
      </c>
      <c r="D380" t="inlineStr">
        <is>
          <t>VÄSTERBOTTENS LÄN</t>
        </is>
      </c>
      <c r="E380" t="inlineStr">
        <is>
          <t>DOROTEA</t>
        </is>
      </c>
      <c r="F380" t="inlineStr">
        <is>
          <t>SCA</t>
        </is>
      </c>
      <c r="G380" t="n">
        <v>15.1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37539-2023</t>
        </is>
      </c>
      <c r="B381" s="1" t="n">
        <v>45159</v>
      </c>
      <c r="C381" s="1" t="n">
        <v>45702</v>
      </c>
      <c r="D381" t="inlineStr">
        <is>
          <t>VÄSTERBOTTENS LÄN</t>
        </is>
      </c>
      <c r="E381" t="inlineStr">
        <is>
          <t>DOROTEA</t>
        </is>
      </c>
      <c r="F381" t="inlineStr">
        <is>
          <t>SCA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37540-2023</t>
        </is>
      </c>
      <c r="B382" s="1" t="n">
        <v>45158</v>
      </c>
      <c r="C382" s="1" t="n">
        <v>45702</v>
      </c>
      <c r="D382" t="inlineStr">
        <is>
          <t>VÄSTERBOTTENS LÄN</t>
        </is>
      </c>
      <c r="E382" t="inlineStr">
        <is>
          <t>DOROTEA</t>
        </is>
      </c>
      <c r="F382" t="inlineStr">
        <is>
          <t>SCA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37541-2023</t>
        </is>
      </c>
      <c r="B383" s="1" t="n">
        <v>45158</v>
      </c>
      <c r="C383" s="1" t="n">
        <v>45702</v>
      </c>
      <c r="D383" t="inlineStr">
        <is>
          <t>VÄSTERBOTTENS LÄN</t>
        </is>
      </c>
      <c r="E383" t="inlineStr">
        <is>
          <t>DOROTEA</t>
        </is>
      </c>
      <c r="F383" t="inlineStr">
        <is>
          <t>SCA</t>
        </is>
      </c>
      <c r="G383" t="n">
        <v>4.3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38377-2023</t>
        </is>
      </c>
      <c r="B384" s="1" t="n">
        <v>45162</v>
      </c>
      <c r="C384" s="1" t="n">
        <v>45702</v>
      </c>
      <c r="D384" t="inlineStr">
        <is>
          <t>VÄSTERBOTTENS LÄN</t>
        </is>
      </c>
      <c r="E384" t="inlineStr">
        <is>
          <t>DOROTEA</t>
        </is>
      </c>
      <c r="F384" t="inlineStr">
        <is>
          <t>SCA</t>
        </is>
      </c>
      <c r="G384" t="n">
        <v>3.9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38676-2023</t>
        </is>
      </c>
      <c r="B385" s="1" t="n">
        <v>45162</v>
      </c>
      <c r="C385" s="1" t="n">
        <v>45702</v>
      </c>
      <c r="D385" t="inlineStr">
        <is>
          <t>VÄSTERBOTTENS LÄN</t>
        </is>
      </c>
      <c r="E385" t="inlineStr">
        <is>
          <t>DOROTEA</t>
        </is>
      </c>
      <c r="F385" t="inlineStr">
        <is>
          <t>SCA</t>
        </is>
      </c>
      <c r="G385" t="n">
        <v>1.9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40436-2023</t>
        </is>
      </c>
      <c r="B386" s="1" t="n">
        <v>45170</v>
      </c>
      <c r="C386" s="1" t="n">
        <v>45702</v>
      </c>
      <c r="D386" t="inlineStr">
        <is>
          <t>VÄSTERBOTTENS LÄN</t>
        </is>
      </c>
      <c r="E386" t="inlineStr">
        <is>
          <t>DOROTEA</t>
        </is>
      </c>
      <c r="F386" t="inlineStr">
        <is>
          <t>SCA</t>
        </is>
      </c>
      <c r="G386" t="n">
        <v>2.6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40435-2023</t>
        </is>
      </c>
      <c r="B387" s="1" t="n">
        <v>45169</v>
      </c>
      <c r="C387" s="1" t="n">
        <v>45702</v>
      </c>
      <c r="D387" t="inlineStr">
        <is>
          <t>VÄSTERBOTTENS LÄN</t>
        </is>
      </c>
      <c r="E387" t="inlineStr">
        <is>
          <t>DOROTEA</t>
        </is>
      </c>
      <c r="F387" t="inlineStr">
        <is>
          <t>SCA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40437-2023</t>
        </is>
      </c>
      <c r="B388" s="1" t="n">
        <v>45170</v>
      </c>
      <c r="C388" s="1" t="n">
        <v>45702</v>
      </c>
      <c r="D388" t="inlineStr">
        <is>
          <t>VÄSTERBOTTENS LÄN</t>
        </is>
      </c>
      <c r="E388" t="inlineStr">
        <is>
          <t>DOROTEA</t>
        </is>
      </c>
      <c r="F388" t="inlineStr">
        <is>
          <t>SCA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40438-2023</t>
        </is>
      </c>
      <c r="B389" s="1" t="n">
        <v>45170</v>
      </c>
      <c r="C389" s="1" t="n">
        <v>45702</v>
      </c>
      <c r="D389" t="inlineStr">
        <is>
          <t>VÄSTERBOTTENS LÄN</t>
        </is>
      </c>
      <c r="E389" t="inlineStr">
        <is>
          <t>DOROTEA</t>
        </is>
      </c>
      <c r="F389" t="inlineStr">
        <is>
          <t>SCA</t>
        </is>
      </c>
      <c r="G389" t="n">
        <v>2.3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40434-2023</t>
        </is>
      </c>
      <c r="B390" s="1" t="n">
        <v>45170</v>
      </c>
      <c r="C390" s="1" t="n">
        <v>45702</v>
      </c>
      <c r="D390" t="inlineStr">
        <is>
          <t>VÄSTERBOTTENS LÄN</t>
        </is>
      </c>
      <c r="E390" t="inlineStr">
        <is>
          <t>DOROTEA</t>
        </is>
      </c>
      <c r="F390" t="inlineStr">
        <is>
          <t>SCA</t>
        </is>
      </c>
      <c r="G390" t="n">
        <v>13.9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41107-2023</t>
        </is>
      </c>
      <c r="B391" s="1" t="n">
        <v>45170</v>
      </c>
      <c r="C391" s="1" t="n">
        <v>45702</v>
      </c>
      <c r="D391" t="inlineStr">
        <is>
          <t>VÄSTERBOTTENS LÄN</t>
        </is>
      </c>
      <c r="E391" t="inlineStr">
        <is>
          <t>DOROTEA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40759-2023</t>
        </is>
      </c>
      <c r="B392" s="1" t="n">
        <v>45171</v>
      </c>
      <c r="C392" s="1" t="n">
        <v>45702</v>
      </c>
      <c r="D392" t="inlineStr">
        <is>
          <t>VÄSTERBOTTENS LÄN</t>
        </is>
      </c>
      <c r="E392" t="inlineStr">
        <is>
          <t>DOROTEA</t>
        </is>
      </c>
      <c r="G392" t="n">
        <v>23.1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41104-2023</t>
        </is>
      </c>
      <c r="B393" s="1" t="n">
        <v>45170</v>
      </c>
      <c r="C393" s="1" t="n">
        <v>45702</v>
      </c>
      <c r="D393" t="inlineStr">
        <is>
          <t>VÄSTERBOTTENS LÄN</t>
        </is>
      </c>
      <c r="E393" t="inlineStr">
        <is>
          <t>DOROTEA</t>
        </is>
      </c>
      <c r="G393" t="n">
        <v>6.1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42515-2023</t>
        </is>
      </c>
      <c r="B394" s="1" t="n">
        <v>45180</v>
      </c>
      <c r="C394" s="1" t="n">
        <v>45702</v>
      </c>
      <c r="D394" t="inlineStr">
        <is>
          <t>VÄSTERBOTTENS LÄN</t>
        </is>
      </c>
      <c r="E394" t="inlineStr">
        <is>
          <t>DOROTEA</t>
        </is>
      </c>
      <c r="F394" t="inlineStr">
        <is>
          <t>SCA</t>
        </is>
      </c>
      <c r="G394" t="n">
        <v>27.7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43092-2023</t>
        </is>
      </c>
      <c r="B395" s="1" t="n">
        <v>45183</v>
      </c>
      <c r="C395" s="1" t="n">
        <v>45702</v>
      </c>
      <c r="D395" t="inlineStr">
        <is>
          <t>VÄSTERBOTTENS LÄN</t>
        </is>
      </c>
      <c r="E395" t="inlineStr">
        <is>
          <t>DOROTEA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43949-2023</t>
        </is>
      </c>
      <c r="B396" s="1" t="n">
        <v>45188</v>
      </c>
      <c r="C396" s="1" t="n">
        <v>45702</v>
      </c>
      <c r="D396" t="inlineStr">
        <is>
          <t>VÄSTERBOTTENS LÄN</t>
        </is>
      </c>
      <c r="E396" t="inlineStr">
        <is>
          <t>DOROTEA</t>
        </is>
      </c>
      <c r="G396" t="n">
        <v>5.1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44972-2023</t>
        </is>
      </c>
      <c r="B397" s="1" t="n">
        <v>45191</v>
      </c>
      <c r="C397" s="1" t="n">
        <v>45702</v>
      </c>
      <c r="D397" t="inlineStr">
        <is>
          <t>VÄSTERBOTTENS LÄN</t>
        </is>
      </c>
      <c r="E397" t="inlineStr">
        <is>
          <t>DOROTEA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44973-2023</t>
        </is>
      </c>
      <c r="B398" s="1" t="n">
        <v>45191</v>
      </c>
      <c r="C398" s="1" t="n">
        <v>45702</v>
      </c>
      <c r="D398" t="inlineStr">
        <is>
          <t>VÄSTERBOTTENS LÄN</t>
        </is>
      </c>
      <c r="E398" t="inlineStr">
        <is>
          <t>DOROTEA</t>
        </is>
      </c>
      <c r="G398" t="n">
        <v>23.9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45324-2023</t>
        </is>
      </c>
      <c r="B399" s="1" t="n">
        <v>45192</v>
      </c>
      <c r="C399" s="1" t="n">
        <v>45702</v>
      </c>
      <c r="D399" t="inlineStr">
        <is>
          <t>VÄSTERBOTTENS LÄN</t>
        </is>
      </c>
      <c r="E399" t="inlineStr">
        <is>
          <t>DOROTEA</t>
        </is>
      </c>
      <c r="G399" t="n">
        <v>2.2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45957-2023</t>
        </is>
      </c>
      <c r="B400" s="1" t="n">
        <v>45196</v>
      </c>
      <c r="C400" s="1" t="n">
        <v>45702</v>
      </c>
      <c r="D400" t="inlineStr">
        <is>
          <t>VÄSTERBOTTENS LÄN</t>
        </is>
      </c>
      <c r="E400" t="inlineStr">
        <is>
          <t>DOROTEA</t>
        </is>
      </c>
      <c r="F400" t="inlineStr">
        <is>
          <t>SCA</t>
        </is>
      </c>
      <c r="G400" t="n">
        <v>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45948-2023</t>
        </is>
      </c>
      <c r="B401" s="1" t="n">
        <v>45196</v>
      </c>
      <c r="C401" s="1" t="n">
        <v>45702</v>
      </c>
      <c r="D401" t="inlineStr">
        <is>
          <t>VÄSTERBOTTENS LÄN</t>
        </is>
      </c>
      <c r="E401" t="inlineStr">
        <is>
          <t>DOROTEA</t>
        </is>
      </c>
      <c r="F401" t="inlineStr">
        <is>
          <t>SCA</t>
        </is>
      </c>
      <c r="G401" t="n">
        <v>5.1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45956-2023</t>
        </is>
      </c>
      <c r="B402" s="1" t="n">
        <v>45196</v>
      </c>
      <c r="C402" s="1" t="n">
        <v>45702</v>
      </c>
      <c r="D402" t="inlineStr">
        <is>
          <t>VÄSTERBOTTENS LÄN</t>
        </is>
      </c>
      <c r="E402" t="inlineStr">
        <is>
          <t>DOROTEA</t>
        </is>
      </c>
      <c r="F402" t="inlineStr">
        <is>
          <t>SCA</t>
        </is>
      </c>
      <c r="G402" t="n">
        <v>3.2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46819-2023</t>
        </is>
      </c>
      <c r="B403" s="1" t="n">
        <v>45198</v>
      </c>
      <c r="C403" s="1" t="n">
        <v>45702</v>
      </c>
      <c r="D403" t="inlineStr">
        <is>
          <t>VÄSTERBOTTENS LÄN</t>
        </is>
      </c>
      <c r="E403" t="inlineStr">
        <is>
          <t>DOROTEA</t>
        </is>
      </c>
      <c r="F403" t="inlineStr">
        <is>
          <t>SCA</t>
        </is>
      </c>
      <c r="G403" t="n">
        <v>5.6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48006-2023</t>
        </is>
      </c>
      <c r="B404" s="1" t="n">
        <v>45198</v>
      </c>
      <c r="C404" s="1" t="n">
        <v>45702</v>
      </c>
      <c r="D404" t="inlineStr">
        <is>
          <t>VÄSTERBOTTENS LÄN</t>
        </is>
      </c>
      <c r="E404" t="inlineStr">
        <is>
          <t>DOROTEA</t>
        </is>
      </c>
      <c r="F404" t="inlineStr">
        <is>
          <t>Övriga statliga verk och myndigheter</t>
        </is>
      </c>
      <c r="G404" t="n">
        <v>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46818-2023</t>
        </is>
      </c>
      <c r="B405" s="1" t="n">
        <v>45198</v>
      </c>
      <c r="C405" s="1" t="n">
        <v>45702</v>
      </c>
      <c r="D405" t="inlineStr">
        <is>
          <t>VÄSTERBOTTENS LÄN</t>
        </is>
      </c>
      <c r="E405" t="inlineStr">
        <is>
          <t>DOROTEA</t>
        </is>
      </c>
      <c r="F405" t="inlineStr">
        <is>
          <t>SCA</t>
        </is>
      </c>
      <c r="G405" t="n">
        <v>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47494-2023</t>
        </is>
      </c>
      <c r="B406" s="1" t="n">
        <v>45203</v>
      </c>
      <c r="C406" s="1" t="n">
        <v>45702</v>
      </c>
      <c r="D406" t="inlineStr">
        <is>
          <t>VÄSTERBOTTENS LÄN</t>
        </is>
      </c>
      <c r="E406" t="inlineStr">
        <is>
          <t>DOROTEA</t>
        </is>
      </c>
      <c r="F406" t="inlineStr">
        <is>
          <t>SCA</t>
        </is>
      </c>
      <c r="G406" t="n">
        <v>1.9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47493-2023</t>
        </is>
      </c>
      <c r="B407" s="1" t="n">
        <v>45202</v>
      </c>
      <c r="C407" s="1" t="n">
        <v>45702</v>
      </c>
      <c r="D407" t="inlineStr">
        <is>
          <t>VÄSTERBOTTENS LÄN</t>
        </is>
      </c>
      <c r="E407" t="inlineStr">
        <is>
          <t>DOROTEA</t>
        </is>
      </c>
      <c r="F407" t="inlineStr">
        <is>
          <t>SCA</t>
        </is>
      </c>
      <c r="G407" t="n">
        <v>4.9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47497-2023</t>
        </is>
      </c>
      <c r="B408" s="1" t="n">
        <v>45202</v>
      </c>
      <c r="C408" s="1" t="n">
        <v>45702</v>
      </c>
      <c r="D408" t="inlineStr">
        <is>
          <t>VÄSTERBOTTENS LÄN</t>
        </is>
      </c>
      <c r="E408" t="inlineStr">
        <is>
          <t>DOROTEA</t>
        </is>
      </c>
      <c r="F408" t="inlineStr">
        <is>
          <t>SCA</t>
        </is>
      </c>
      <c r="G408" t="n">
        <v>35.9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47492-2023</t>
        </is>
      </c>
      <c r="B409" s="1" t="n">
        <v>45203</v>
      </c>
      <c r="C409" s="1" t="n">
        <v>45702</v>
      </c>
      <c r="D409" t="inlineStr">
        <is>
          <t>VÄSTERBOTTENS LÄN</t>
        </is>
      </c>
      <c r="E409" t="inlineStr">
        <is>
          <t>DOROTEA</t>
        </is>
      </c>
      <c r="F409" t="inlineStr">
        <is>
          <t>SCA</t>
        </is>
      </c>
      <c r="G409" t="n">
        <v>3.2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47495-2023</t>
        </is>
      </c>
      <c r="B410" s="1" t="n">
        <v>45203</v>
      </c>
      <c r="C410" s="1" t="n">
        <v>45702</v>
      </c>
      <c r="D410" t="inlineStr">
        <is>
          <t>VÄSTERBOTTENS LÄN</t>
        </is>
      </c>
      <c r="E410" t="inlineStr">
        <is>
          <t>DOROTEA</t>
        </is>
      </c>
      <c r="F410" t="inlineStr">
        <is>
          <t>SCA</t>
        </is>
      </c>
      <c r="G410" t="n">
        <v>5.2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52276-2023</t>
        </is>
      </c>
      <c r="B411" s="1" t="n">
        <v>45217</v>
      </c>
      <c r="C411" s="1" t="n">
        <v>45702</v>
      </c>
      <c r="D411" t="inlineStr">
        <is>
          <t>VÄSTERBOTTENS LÄN</t>
        </is>
      </c>
      <c r="E411" t="inlineStr">
        <is>
          <t>DOROTEA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51102-2023</t>
        </is>
      </c>
      <c r="B412" s="1" t="n">
        <v>45218</v>
      </c>
      <c r="C412" s="1" t="n">
        <v>45702</v>
      </c>
      <c r="D412" t="inlineStr">
        <is>
          <t>VÄSTERBOTTENS LÄN</t>
        </is>
      </c>
      <c r="E412" t="inlineStr">
        <is>
          <t>DOROTEA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52135-2023</t>
        </is>
      </c>
      <c r="B413" s="1" t="n">
        <v>45223</v>
      </c>
      <c r="C413" s="1" t="n">
        <v>45702</v>
      </c>
      <c r="D413" t="inlineStr">
        <is>
          <t>VÄSTERBOTTENS LÄN</t>
        </is>
      </c>
      <c r="E413" t="inlineStr">
        <is>
          <t>DOROTEA</t>
        </is>
      </c>
      <c r="F413" t="inlineStr">
        <is>
          <t>SCA</t>
        </is>
      </c>
      <c r="G413" t="n">
        <v>2.8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52144-2023</t>
        </is>
      </c>
      <c r="B414" s="1" t="n">
        <v>45224</v>
      </c>
      <c r="C414" s="1" t="n">
        <v>45702</v>
      </c>
      <c r="D414" t="inlineStr">
        <is>
          <t>VÄSTERBOTTENS LÄN</t>
        </is>
      </c>
      <c r="E414" t="inlineStr">
        <is>
          <t>DOROTEA</t>
        </is>
      </c>
      <c r="F414" t="inlineStr">
        <is>
          <t>SCA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52125-2023</t>
        </is>
      </c>
      <c r="B415" s="1" t="n">
        <v>45224</v>
      </c>
      <c r="C415" s="1" t="n">
        <v>45702</v>
      </c>
      <c r="D415" t="inlineStr">
        <is>
          <t>VÄSTERBOTTENS LÄN</t>
        </is>
      </c>
      <c r="E415" t="inlineStr">
        <is>
          <t>DOROTEA</t>
        </is>
      </c>
      <c r="F415" t="inlineStr">
        <is>
          <t>SCA</t>
        </is>
      </c>
      <c r="G415" t="n">
        <v>1.7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52141-2023</t>
        </is>
      </c>
      <c r="B416" s="1" t="n">
        <v>45224</v>
      </c>
      <c r="C416" s="1" t="n">
        <v>45702</v>
      </c>
      <c r="D416" t="inlineStr">
        <is>
          <t>VÄSTERBOTTENS LÄN</t>
        </is>
      </c>
      <c r="E416" t="inlineStr">
        <is>
          <t>DOROTEA</t>
        </is>
      </c>
      <c r="F416" t="inlineStr">
        <is>
          <t>SCA</t>
        </is>
      </c>
      <c r="G416" t="n">
        <v>2.5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52126-2023</t>
        </is>
      </c>
      <c r="B417" s="1" t="n">
        <v>45224</v>
      </c>
      <c r="C417" s="1" t="n">
        <v>45702</v>
      </c>
      <c r="D417" t="inlineStr">
        <is>
          <t>VÄSTERBOTTENS LÄN</t>
        </is>
      </c>
      <c r="E417" t="inlineStr">
        <is>
          <t>DOROTEA</t>
        </is>
      </c>
      <c r="F417" t="inlineStr">
        <is>
          <t>SCA</t>
        </is>
      </c>
      <c r="G417" t="n">
        <v>3.7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52130-2023</t>
        </is>
      </c>
      <c r="B418" s="1" t="n">
        <v>45224</v>
      </c>
      <c r="C418" s="1" t="n">
        <v>45702</v>
      </c>
      <c r="D418" t="inlineStr">
        <is>
          <t>VÄSTERBOTTENS LÄN</t>
        </is>
      </c>
      <c r="E418" t="inlineStr">
        <is>
          <t>DOROTEA</t>
        </is>
      </c>
      <c r="F418" t="inlineStr">
        <is>
          <t>SCA</t>
        </is>
      </c>
      <c r="G418" t="n">
        <v>3.5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52138-2023</t>
        </is>
      </c>
      <c r="B419" s="1" t="n">
        <v>45224</v>
      </c>
      <c r="C419" s="1" t="n">
        <v>45702</v>
      </c>
      <c r="D419" t="inlineStr">
        <is>
          <t>VÄSTERBOTTENS LÄN</t>
        </is>
      </c>
      <c r="E419" t="inlineStr">
        <is>
          <t>DOROTEA</t>
        </is>
      </c>
      <c r="F419" t="inlineStr">
        <is>
          <t>SCA</t>
        </is>
      </c>
      <c r="G419" t="n">
        <v>5.9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52142-2023</t>
        </is>
      </c>
      <c r="B420" s="1" t="n">
        <v>45224</v>
      </c>
      <c r="C420" s="1" t="n">
        <v>45702</v>
      </c>
      <c r="D420" t="inlineStr">
        <is>
          <t>VÄSTERBOTTENS LÄN</t>
        </is>
      </c>
      <c r="E420" t="inlineStr">
        <is>
          <t>DOROTEA</t>
        </is>
      </c>
      <c r="F420" t="inlineStr">
        <is>
          <t>SCA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52150-2023</t>
        </is>
      </c>
      <c r="B421" s="1" t="n">
        <v>45224</v>
      </c>
      <c r="C421" s="1" t="n">
        <v>45702</v>
      </c>
      <c r="D421" t="inlineStr">
        <is>
          <t>VÄSTERBOTTENS LÄN</t>
        </is>
      </c>
      <c r="E421" t="inlineStr">
        <is>
          <t>DOROTEA</t>
        </is>
      </c>
      <c r="F421" t="inlineStr">
        <is>
          <t>SCA</t>
        </is>
      </c>
      <c r="G421" t="n">
        <v>7.3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52148-2023</t>
        </is>
      </c>
      <c r="B422" s="1" t="n">
        <v>45224</v>
      </c>
      <c r="C422" s="1" t="n">
        <v>45702</v>
      </c>
      <c r="D422" t="inlineStr">
        <is>
          <t>VÄSTERBOTTENS LÄN</t>
        </is>
      </c>
      <c r="E422" t="inlineStr">
        <is>
          <t>DOROTEA</t>
        </is>
      </c>
      <c r="F422" t="inlineStr">
        <is>
          <t>SCA</t>
        </is>
      </c>
      <c r="G422" t="n">
        <v>2.8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52143-2023</t>
        </is>
      </c>
      <c r="B423" s="1" t="n">
        <v>45224</v>
      </c>
      <c r="C423" s="1" t="n">
        <v>45702</v>
      </c>
      <c r="D423" t="inlineStr">
        <is>
          <t>VÄSTERBOTTENS LÄN</t>
        </is>
      </c>
      <c r="E423" t="inlineStr">
        <is>
          <t>DOROTEA</t>
        </is>
      </c>
      <c r="F423" t="inlineStr">
        <is>
          <t>SCA</t>
        </is>
      </c>
      <c r="G423" t="n">
        <v>2.4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52149-2023</t>
        </is>
      </c>
      <c r="B424" s="1" t="n">
        <v>45224</v>
      </c>
      <c r="C424" s="1" t="n">
        <v>45702</v>
      </c>
      <c r="D424" t="inlineStr">
        <is>
          <t>VÄSTERBOTTENS LÄN</t>
        </is>
      </c>
      <c r="E424" t="inlineStr">
        <is>
          <t>DOROTEA</t>
        </is>
      </c>
      <c r="F424" t="inlineStr">
        <is>
          <t>SCA</t>
        </is>
      </c>
      <c r="G424" t="n">
        <v>2.3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52393-2023</t>
        </is>
      </c>
      <c r="B425" s="1" t="n">
        <v>45225</v>
      </c>
      <c r="C425" s="1" t="n">
        <v>45702</v>
      </c>
      <c r="D425" t="inlineStr">
        <is>
          <t>VÄSTERBOTTENS LÄN</t>
        </is>
      </c>
      <c r="E425" t="inlineStr">
        <is>
          <t>DOROTEA</t>
        </is>
      </c>
      <c r="F425" t="inlineStr">
        <is>
          <t>SCA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53117-2023</t>
        </is>
      </c>
      <c r="B426" s="1" t="n">
        <v>45228</v>
      </c>
      <c r="C426" s="1" t="n">
        <v>45702</v>
      </c>
      <c r="D426" t="inlineStr">
        <is>
          <t>VÄSTERBOTTENS LÄN</t>
        </is>
      </c>
      <c r="E426" t="inlineStr">
        <is>
          <t>DOROTEA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53118-2023</t>
        </is>
      </c>
      <c r="B427" s="1" t="n">
        <v>45228</v>
      </c>
      <c r="C427" s="1" t="n">
        <v>45702</v>
      </c>
      <c r="D427" t="inlineStr">
        <is>
          <t>VÄSTERBOTTENS LÄN</t>
        </is>
      </c>
      <c r="E427" t="inlineStr">
        <is>
          <t>DOROTEA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53770-2023</t>
        </is>
      </c>
      <c r="B428" s="1" t="n">
        <v>45231</v>
      </c>
      <c r="C428" s="1" t="n">
        <v>45702</v>
      </c>
      <c r="D428" t="inlineStr">
        <is>
          <t>VÄSTERBOTTENS LÄN</t>
        </is>
      </c>
      <c r="E428" t="inlineStr">
        <is>
          <t>DOROTEA</t>
        </is>
      </c>
      <c r="F428" t="inlineStr">
        <is>
          <t>SCA</t>
        </is>
      </c>
      <c r="G428" t="n">
        <v>4.1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55155-2023</t>
        </is>
      </c>
      <c r="B429" s="1" t="n">
        <v>45230</v>
      </c>
      <c r="C429" s="1" t="n">
        <v>45702</v>
      </c>
      <c r="D429" t="inlineStr">
        <is>
          <t>VÄSTERBOTTENS LÄN</t>
        </is>
      </c>
      <c r="E429" t="inlineStr">
        <is>
          <t>DOROTEA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55146-2023</t>
        </is>
      </c>
      <c r="B430" s="1" t="n">
        <v>45230</v>
      </c>
      <c r="C430" s="1" t="n">
        <v>45702</v>
      </c>
      <c r="D430" t="inlineStr">
        <is>
          <t>VÄSTERBOTTENS LÄN</t>
        </is>
      </c>
      <c r="E430" t="inlineStr">
        <is>
          <t>DOROTEA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53856-2023</t>
        </is>
      </c>
      <c r="B431" s="1" t="n">
        <v>45231</v>
      </c>
      <c r="C431" s="1" t="n">
        <v>45702</v>
      </c>
      <c r="D431" t="inlineStr">
        <is>
          <t>VÄSTERBOTTENS LÄN</t>
        </is>
      </c>
      <c r="E431" t="inlineStr">
        <is>
          <t>DOROTEA</t>
        </is>
      </c>
      <c r="G431" t="n">
        <v>4.9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55738-2023</t>
        </is>
      </c>
      <c r="B432" s="1" t="n">
        <v>45232</v>
      </c>
      <c r="C432" s="1" t="n">
        <v>45702</v>
      </c>
      <c r="D432" t="inlineStr">
        <is>
          <t>VÄSTERBOTTENS LÄN</t>
        </is>
      </c>
      <c r="E432" t="inlineStr">
        <is>
          <t>DOROTEA</t>
        </is>
      </c>
      <c r="G432" t="n">
        <v>6.8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54603-2023</t>
        </is>
      </c>
      <c r="B433" s="1" t="n">
        <v>45233</v>
      </c>
      <c r="C433" s="1" t="n">
        <v>45702</v>
      </c>
      <c r="D433" t="inlineStr">
        <is>
          <t>VÄSTERBOTTENS LÄN</t>
        </is>
      </c>
      <c r="E433" t="inlineStr">
        <is>
          <t>DOROTEA</t>
        </is>
      </c>
      <c r="F433" t="inlineStr">
        <is>
          <t>SCA</t>
        </is>
      </c>
      <c r="G433" t="n">
        <v>2.2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54604-2023</t>
        </is>
      </c>
      <c r="B434" s="1" t="n">
        <v>45233</v>
      </c>
      <c r="C434" s="1" t="n">
        <v>45702</v>
      </c>
      <c r="D434" t="inlineStr">
        <is>
          <t>VÄSTERBOTTENS LÄN</t>
        </is>
      </c>
      <c r="E434" t="inlineStr">
        <is>
          <t>DOROTEA</t>
        </is>
      </c>
      <c r="F434" t="inlineStr">
        <is>
          <t>SCA</t>
        </is>
      </c>
      <c r="G434" t="n">
        <v>2.7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56316-2023</t>
        </is>
      </c>
      <c r="B435" s="1" t="n">
        <v>45236</v>
      </c>
      <c r="C435" s="1" t="n">
        <v>45702</v>
      </c>
      <c r="D435" t="inlineStr">
        <is>
          <t>VÄSTERBOTTENS LÄN</t>
        </is>
      </c>
      <c r="E435" t="inlineStr">
        <is>
          <t>DOROTEA</t>
        </is>
      </c>
      <c r="G435" t="n">
        <v>5.7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55919-2023</t>
        </is>
      </c>
      <c r="B436" s="1" t="n">
        <v>45240</v>
      </c>
      <c r="C436" s="1" t="n">
        <v>45702</v>
      </c>
      <c r="D436" t="inlineStr">
        <is>
          <t>VÄSTERBOTTENS LÄN</t>
        </is>
      </c>
      <c r="E436" t="inlineStr">
        <is>
          <t>DOROTEA</t>
        </is>
      </c>
      <c r="F436" t="inlineStr">
        <is>
          <t>SCA</t>
        </is>
      </c>
      <c r="G436" t="n">
        <v>7.2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56406-2023</t>
        </is>
      </c>
      <c r="B437" s="1" t="n">
        <v>45243</v>
      </c>
      <c r="C437" s="1" t="n">
        <v>45702</v>
      </c>
      <c r="D437" t="inlineStr">
        <is>
          <t>VÄSTERBOTTENS LÄN</t>
        </is>
      </c>
      <c r="E437" t="inlineStr">
        <is>
          <t>DOROTEA</t>
        </is>
      </c>
      <c r="G437" t="n">
        <v>17.7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57071-2023</t>
        </is>
      </c>
      <c r="B438" s="1" t="n">
        <v>45245</v>
      </c>
      <c r="C438" s="1" t="n">
        <v>45702</v>
      </c>
      <c r="D438" t="inlineStr">
        <is>
          <t>VÄSTERBOTTENS LÄN</t>
        </is>
      </c>
      <c r="E438" t="inlineStr">
        <is>
          <t>DOROTEA</t>
        </is>
      </c>
      <c r="F438" t="inlineStr">
        <is>
          <t>SCA</t>
        </is>
      </c>
      <c r="G438" t="n">
        <v>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57074-2023</t>
        </is>
      </c>
      <c r="B439" s="1" t="n">
        <v>45245</v>
      </c>
      <c r="C439" s="1" t="n">
        <v>45702</v>
      </c>
      <c r="D439" t="inlineStr">
        <is>
          <t>VÄSTERBOTTENS LÄN</t>
        </is>
      </c>
      <c r="E439" t="inlineStr">
        <is>
          <t>DOROTEA</t>
        </is>
      </c>
      <c r="F439" t="inlineStr">
        <is>
          <t>SCA</t>
        </is>
      </c>
      <c r="G439" t="n">
        <v>3.2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57070-2023</t>
        </is>
      </c>
      <c r="B440" s="1" t="n">
        <v>45245</v>
      </c>
      <c r="C440" s="1" t="n">
        <v>45702</v>
      </c>
      <c r="D440" t="inlineStr">
        <is>
          <t>VÄSTERBOTTENS LÄN</t>
        </is>
      </c>
      <c r="E440" t="inlineStr">
        <is>
          <t>DOROTEA</t>
        </is>
      </c>
      <c r="F440" t="inlineStr">
        <is>
          <t>SCA</t>
        </is>
      </c>
      <c r="G440" t="n">
        <v>1.9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57379-2023</t>
        </is>
      </c>
      <c r="B441" s="1" t="n">
        <v>45245</v>
      </c>
      <c r="C441" s="1" t="n">
        <v>45702</v>
      </c>
      <c r="D441" t="inlineStr">
        <is>
          <t>VÄSTERBOTTENS LÄN</t>
        </is>
      </c>
      <c r="E441" t="inlineStr">
        <is>
          <t>DOROTEA</t>
        </is>
      </c>
      <c r="G441" t="n">
        <v>6.5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57793-2023</t>
        </is>
      </c>
      <c r="B442" s="1" t="n">
        <v>45247</v>
      </c>
      <c r="C442" s="1" t="n">
        <v>45702</v>
      </c>
      <c r="D442" t="inlineStr">
        <is>
          <t>VÄSTERBOTTENS LÄN</t>
        </is>
      </c>
      <c r="E442" t="inlineStr">
        <is>
          <t>DOROTEA</t>
        </is>
      </c>
      <c r="F442" t="inlineStr">
        <is>
          <t>SCA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57794-2023</t>
        </is>
      </c>
      <c r="B443" s="1" t="n">
        <v>45247</v>
      </c>
      <c r="C443" s="1" t="n">
        <v>45702</v>
      </c>
      <c r="D443" t="inlineStr">
        <is>
          <t>VÄSTERBOTTENS LÄN</t>
        </is>
      </c>
      <c r="E443" t="inlineStr">
        <is>
          <t>DOROTEA</t>
        </is>
      </c>
      <c r="F443" t="inlineStr">
        <is>
          <t>SCA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58465-2023</t>
        </is>
      </c>
      <c r="B444" s="1" t="n">
        <v>45251</v>
      </c>
      <c r="C444" s="1" t="n">
        <v>45702</v>
      </c>
      <c r="D444" t="inlineStr">
        <is>
          <t>VÄSTERBOTTENS LÄN</t>
        </is>
      </c>
      <c r="E444" t="inlineStr">
        <is>
          <t>DOROTEA</t>
        </is>
      </c>
      <c r="F444" t="inlineStr">
        <is>
          <t>SCA</t>
        </is>
      </c>
      <c r="G444" t="n">
        <v>25.5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58768-2023</t>
        </is>
      </c>
      <c r="B445" s="1" t="n">
        <v>45252</v>
      </c>
      <c r="C445" s="1" t="n">
        <v>45702</v>
      </c>
      <c r="D445" t="inlineStr">
        <is>
          <t>VÄSTERBOTTENS LÄN</t>
        </is>
      </c>
      <c r="E445" t="inlineStr">
        <is>
          <t>DOROTEA</t>
        </is>
      </c>
      <c r="F445" t="inlineStr">
        <is>
          <t>SCA</t>
        </is>
      </c>
      <c r="G445" t="n">
        <v>22.6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58761-2023</t>
        </is>
      </c>
      <c r="B446" s="1" t="n">
        <v>45251</v>
      </c>
      <c r="C446" s="1" t="n">
        <v>45702</v>
      </c>
      <c r="D446" t="inlineStr">
        <is>
          <t>VÄSTERBOTTENS LÄN</t>
        </is>
      </c>
      <c r="E446" t="inlineStr">
        <is>
          <t>DOROTEA</t>
        </is>
      </c>
      <c r="F446" t="inlineStr">
        <is>
          <t>SCA</t>
        </is>
      </c>
      <c r="G446" t="n">
        <v>0.4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59396-2023</t>
        </is>
      </c>
      <c r="B447" s="1" t="n">
        <v>45253</v>
      </c>
      <c r="C447" s="1" t="n">
        <v>45702</v>
      </c>
      <c r="D447" t="inlineStr">
        <is>
          <t>VÄSTERBOTTENS LÄN</t>
        </is>
      </c>
      <c r="E447" t="inlineStr">
        <is>
          <t>DOROTEA</t>
        </is>
      </c>
      <c r="G447" t="n">
        <v>27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59395-2023</t>
        </is>
      </c>
      <c r="B448" s="1" t="n">
        <v>45253</v>
      </c>
      <c r="C448" s="1" t="n">
        <v>45702</v>
      </c>
      <c r="D448" t="inlineStr">
        <is>
          <t>VÄSTERBOTTENS LÄN</t>
        </is>
      </c>
      <c r="E448" t="inlineStr">
        <is>
          <t>DOROTEA</t>
        </is>
      </c>
      <c r="G448" t="n">
        <v>5.3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59394-2023</t>
        </is>
      </c>
      <c r="B449" s="1" t="n">
        <v>45253</v>
      </c>
      <c r="C449" s="1" t="n">
        <v>45702</v>
      </c>
      <c r="D449" t="inlineStr">
        <is>
          <t>VÄSTERBOTTENS LÄN</t>
        </is>
      </c>
      <c r="E449" t="inlineStr">
        <is>
          <t>DOROTEA</t>
        </is>
      </c>
      <c r="G449" t="n">
        <v>28.8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59397-2023</t>
        </is>
      </c>
      <c r="B450" s="1" t="n">
        <v>45253</v>
      </c>
      <c r="C450" s="1" t="n">
        <v>45702</v>
      </c>
      <c r="D450" t="inlineStr">
        <is>
          <t>VÄSTERBOTTENS LÄN</t>
        </is>
      </c>
      <c r="E450" t="inlineStr">
        <is>
          <t>DOROTEA</t>
        </is>
      </c>
      <c r="G450" t="n">
        <v>8.5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59418-2023</t>
        </is>
      </c>
      <c r="B451" s="1" t="n">
        <v>45253</v>
      </c>
      <c r="C451" s="1" t="n">
        <v>45702</v>
      </c>
      <c r="D451" t="inlineStr">
        <is>
          <t>VÄSTERBOTTENS LÄN</t>
        </is>
      </c>
      <c r="E451" t="inlineStr">
        <is>
          <t>DOROTEA</t>
        </is>
      </c>
      <c r="F451" t="inlineStr">
        <is>
          <t>SCA</t>
        </is>
      </c>
      <c r="G451" t="n">
        <v>7.6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60015-2023</t>
        </is>
      </c>
      <c r="B452" s="1" t="n">
        <v>45258</v>
      </c>
      <c r="C452" s="1" t="n">
        <v>45702</v>
      </c>
      <c r="D452" t="inlineStr">
        <is>
          <t>VÄSTERBOTTENS LÄN</t>
        </is>
      </c>
      <c r="E452" t="inlineStr">
        <is>
          <t>DOROTEA</t>
        </is>
      </c>
      <c r="F452" t="inlineStr">
        <is>
          <t>SCA</t>
        </is>
      </c>
      <c r="G452" t="n">
        <v>3.8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60867-2023</t>
        </is>
      </c>
      <c r="B453" s="1" t="n">
        <v>45260</v>
      </c>
      <c r="C453" s="1" t="n">
        <v>45702</v>
      </c>
      <c r="D453" t="inlineStr">
        <is>
          <t>VÄSTERBOTTENS LÄN</t>
        </is>
      </c>
      <c r="E453" t="inlineStr">
        <is>
          <t>DOROTEA</t>
        </is>
      </c>
      <c r="F453" t="inlineStr">
        <is>
          <t>SCA</t>
        </is>
      </c>
      <c r="G453" t="n">
        <v>3.3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61148-2023</t>
        </is>
      </c>
      <c r="B454" s="1" t="n">
        <v>45261</v>
      </c>
      <c r="C454" s="1" t="n">
        <v>45702</v>
      </c>
      <c r="D454" t="inlineStr">
        <is>
          <t>VÄSTERBOTTENS LÄN</t>
        </is>
      </c>
      <c r="E454" t="inlineStr">
        <is>
          <t>DOROTEA</t>
        </is>
      </c>
      <c r="F454" t="inlineStr">
        <is>
          <t>SCA</t>
        </is>
      </c>
      <c r="G454" t="n">
        <v>2.7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62024-2023</t>
        </is>
      </c>
      <c r="B455" s="1" t="n">
        <v>45265</v>
      </c>
      <c r="C455" s="1" t="n">
        <v>45702</v>
      </c>
      <c r="D455" t="inlineStr">
        <is>
          <t>VÄSTERBOTTENS LÄN</t>
        </is>
      </c>
      <c r="E455" t="inlineStr">
        <is>
          <t>DOROTEA</t>
        </is>
      </c>
      <c r="G455" t="n">
        <v>2.6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62552-2023</t>
        </is>
      </c>
      <c r="B456" s="1" t="n">
        <v>45268</v>
      </c>
      <c r="C456" s="1" t="n">
        <v>45702</v>
      </c>
      <c r="D456" t="inlineStr">
        <is>
          <t>VÄSTERBOTTENS LÄN</t>
        </is>
      </c>
      <c r="E456" t="inlineStr">
        <is>
          <t>DOROTEA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62553-2023</t>
        </is>
      </c>
      <c r="B457" s="1" t="n">
        <v>45268</v>
      </c>
      <c r="C457" s="1" t="n">
        <v>45702</v>
      </c>
      <c r="D457" t="inlineStr">
        <is>
          <t>VÄSTERBOTTENS LÄN</t>
        </is>
      </c>
      <c r="E457" t="inlineStr">
        <is>
          <t>DOROTEA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63084-2023</t>
        </is>
      </c>
      <c r="B458" s="1" t="n">
        <v>45272</v>
      </c>
      <c r="C458" s="1" t="n">
        <v>45702</v>
      </c>
      <c r="D458" t="inlineStr">
        <is>
          <t>VÄSTERBOTTENS LÄN</t>
        </is>
      </c>
      <c r="E458" t="inlineStr">
        <is>
          <t>DOROTEA</t>
        </is>
      </c>
      <c r="G458" t="n">
        <v>11.4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63123-2023</t>
        </is>
      </c>
      <c r="B459" s="1" t="n">
        <v>45272</v>
      </c>
      <c r="C459" s="1" t="n">
        <v>45702</v>
      </c>
      <c r="D459" t="inlineStr">
        <is>
          <t>VÄSTERBOTTENS LÄN</t>
        </is>
      </c>
      <c r="E459" t="inlineStr">
        <is>
          <t>DOROTEA</t>
        </is>
      </c>
      <c r="G459" t="n">
        <v>3.7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63296-2023</t>
        </is>
      </c>
      <c r="B460" s="1" t="n">
        <v>45273</v>
      </c>
      <c r="C460" s="1" t="n">
        <v>45702</v>
      </c>
      <c r="D460" t="inlineStr">
        <is>
          <t>VÄSTERBOTTENS LÄN</t>
        </is>
      </c>
      <c r="E460" t="inlineStr">
        <is>
          <t>DOROTEA</t>
        </is>
      </c>
      <c r="F460" t="inlineStr">
        <is>
          <t>SCA</t>
        </is>
      </c>
      <c r="G460" t="n">
        <v>3.9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64033-2023</t>
        </is>
      </c>
      <c r="B461" s="1" t="n">
        <v>45278</v>
      </c>
      <c r="C461" s="1" t="n">
        <v>45702</v>
      </c>
      <c r="D461" t="inlineStr">
        <is>
          <t>VÄSTERBOTTENS LÄN</t>
        </is>
      </c>
      <c r="E461" t="inlineStr">
        <is>
          <t>DOROTEA</t>
        </is>
      </c>
      <c r="F461" t="inlineStr">
        <is>
          <t>SCA</t>
        </is>
      </c>
      <c r="G461" t="n">
        <v>5.3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65186-2023</t>
        </is>
      </c>
      <c r="B462" s="1" t="n">
        <v>45289</v>
      </c>
      <c r="C462" s="1" t="n">
        <v>45702</v>
      </c>
      <c r="D462" t="inlineStr">
        <is>
          <t>VÄSTERBOTTENS LÄN</t>
        </is>
      </c>
      <c r="E462" t="inlineStr">
        <is>
          <t>DOROTEA</t>
        </is>
      </c>
      <c r="F462" t="inlineStr">
        <is>
          <t>SCA</t>
        </is>
      </c>
      <c r="G462" t="n">
        <v>20.5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65187-2023</t>
        </is>
      </c>
      <c r="B463" s="1" t="n">
        <v>45289</v>
      </c>
      <c r="C463" s="1" t="n">
        <v>45702</v>
      </c>
      <c r="D463" t="inlineStr">
        <is>
          <t>VÄSTERBOTTENS LÄN</t>
        </is>
      </c>
      <c r="E463" t="inlineStr">
        <is>
          <t>DOROTEA</t>
        </is>
      </c>
      <c r="F463" t="inlineStr">
        <is>
          <t>SCA</t>
        </is>
      </c>
      <c r="G463" t="n">
        <v>25.7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65244-2023</t>
        </is>
      </c>
      <c r="B464" s="1" t="n">
        <v>45289</v>
      </c>
      <c r="C464" s="1" t="n">
        <v>45702</v>
      </c>
      <c r="D464" t="inlineStr">
        <is>
          <t>VÄSTERBOTTENS LÄN</t>
        </is>
      </c>
      <c r="E464" t="inlineStr">
        <is>
          <t>DOROTEA</t>
        </is>
      </c>
      <c r="F464" t="inlineStr">
        <is>
          <t>SCA</t>
        </is>
      </c>
      <c r="G464" t="n">
        <v>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99-2024</t>
        </is>
      </c>
      <c r="B465" s="1" t="n">
        <v>45293</v>
      </c>
      <c r="C465" s="1" t="n">
        <v>45702</v>
      </c>
      <c r="D465" t="inlineStr">
        <is>
          <t>VÄSTERBOTTENS LÄN</t>
        </is>
      </c>
      <c r="E465" t="inlineStr">
        <is>
          <t>DOROTEA</t>
        </is>
      </c>
      <c r="G465" t="n">
        <v>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361-2024</t>
        </is>
      </c>
      <c r="B466" s="1" t="n">
        <v>45295</v>
      </c>
      <c r="C466" s="1" t="n">
        <v>45702</v>
      </c>
      <c r="D466" t="inlineStr">
        <is>
          <t>VÄSTERBOTTENS LÄN</t>
        </is>
      </c>
      <c r="E466" t="inlineStr">
        <is>
          <t>DOROTEA</t>
        </is>
      </c>
      <c r="G466" t="n">
        <v>2.1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860-2024</t>
        </is>
      </c>
      <c r="B467" s="1" t="n">
        <v>45300</v>
      </c>
      <c r="C467" s="1" t="n">
        <v>45702</v>
      </c>
      <c r="D467" t="inlineStr">
        <is>
          <t>VÄSTERBOTTENS LÄN</t>
        </is>
      </c>
      <c r="E467" t="inlineStr">
        <is>
          <t>DOROTEA</t>
        </is>
      </c>
      <c r="F467" t="inlineStr">
        <is>
          <t>SCA</t>
        </is>
      </c>
      <c r="G467" t="n">
        <v>9.699999999999999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1108-2024</t>
        </is>
      </c>
      <c r="B468" s="1" t="n">
        <v>45302</v>
      </c>
      <c r="C468" s="1" t="n">
        <v>45702</v>
      </c>
      <c r="D468" t="inlineStr">
        <is>
          <t>VÄSTERBOTTENS LÄN</t>
        </is>
      </c>
      <c r="E468" t="inlineStr">
        <is>
          <t>DOROTEA</t>
        </is>
      </c>
      <c r="G468" t="n">
        <v>5.1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1684-2024</t>
        </is>
      </c>
      <c r="B469" s="1" t="n">
        <v>45307</v>
      </c>
      <c r="C469" s="1" t="n">
        <v>45702</v>
      </c>
      <c r="D469" t="inlineStr">
        <is>
          <t>VÄSTERBOTTENS LÄN</t>
        </is>
      </c>
      <c r="E469" t="inlineStr">
        <is>
          <t>DOROTEA</t>
        </is>
      </c>
      <c r="F469" t="inlineStr">
        <is>
          <t>SCA</t>
        </is>
      </c>
      <c r="G469" t="n">
        <v>11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3017-2024</t>
        </is>
      </c>
      <c r="B470" s="1" t="n">
        <v>45315</v>
      </c>
      <c r="C470" s="1" t="n">
        <v>45702</v>
      </c>
      <c r="D470" t="inlineStr">
        <is>
          <t>VÄSTERBOTTENS LÄN</t>
        </is>
      </c>
      <c r="E470" t="inlineStr">
        <is>
          <t>DOROTEA</t>
        </is>
      </c>
      <c r="F470" t="inlineStr">
        <is>
          <t>SCA</t>
        </is>
      </c>
      <c r="G470" t="n">
        <v>1.6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5153-2024</t>
        </is>
      </c>
      <c r="B471" s="1" t="n">
        <v>45329</v>
      </c>
      <c r="C471" s="1" t="n">
        <v>45702</v>
      </c>
      <c r="D471" t="inlineStr">
        <is>
          <t>VÄSTERBOTTENS LÄN</t>
        </is>
      </c>
      <c r="E471" t="inlineStr">
        <is>
          <t>DOROTEA</t>
        </is>
      </c>
      <c r="G471" t="n">
        <v>7.8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5251-2024</t>
        </is>
      </c>
      <c r="B472" s="1" t="n">
        <v>45330</v>
      </c>
      <c r="C472" s="1" t="n">
        <v>45702</v>
      </c>
      <c r="D472" t="inlineStr">
        <is>
          <t>VÄSTERBOTTENS LÄN</t>
        </is>
      </c>
      <c r="E472" t="inlineStr">
        <is>
          <t>DOROTEA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5495-2024</t>
        </is>
      </c>
      <c r="B473" s="1" t="n">
        <v>45331</v>
      </c>
      <c r="C473" s="1" t="n">
        <v>45702</v>
      </c>
      <c r="D473" t="inlineStr">
        <is>
          <t>VÄSTERBOTTENS LÄN</t>
        </is>
      </c>
      <c r="E473" t="inlineStr">
        <is>
          <t>DOROTEA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6901-2024</t>
        </is>
      </c>
      <c r="B474" s="1" t="n">
        <v>45342</v>
      </c>
      <c r="C474" s="1" t="n">
        <v>45702</v>
      </c>
      <c r="D474" t="inlineStr">
        <is>
          <t>VÄSTERBOTTENS LÄN</t>
        </is>
      </c>
      <c r="E474" t="inlineStr">
        <is>
          <t>DOROTEA</t>
        </is>
      </c>
      <c r="F474" t="inlineStr">
        <is>
          <t>SCA</t>
        </is>
      </c>
      <c r="G474" t="n">
        <v>2.5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7847-2024</t>
        </is>
      </c>
      <c r="B475" s="1" t="n">
        <v>45350</v>
      </c>
      <c r="C475" s="1" t="n">
        <v>45702</v>
      </c>
      <c r="D475" t="inlineStr">
        <is>
          <t>VÄSTERBOTTENS LÄN</t>
        </is>
      </c>
      <c r="E475" t="inlineStr">
        <is>
          <t>DOROTEA</t>
        </is>
      </c>
      <c r="F475" t="inlineStr">
        <is>
          <t>SCA</t>
        </is>
      </c>
      <c r="G475" t="n">
        <v>5.7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8034-2024</t>
        </is>
      </c>
      <c r="B476" s="1" t="n">
        <v>45350</v>
      </c>
      <c r="C476" s="1" t="n">
        <v>45702</v>
      </c>
      <c r="D476" t="inlineStr">
        <is>
          <t>VÄSTERBOTTENS LÄN</t>
        </is>
      </c>
      <c r="E476" t="inlineStr">
        <is>
          <t>DOROTEA</t>
        </is>
      </c>
      <c r="F476" t="inlineStr">
        <is>
          <t>SCA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8246-2024</t>
        </is>
      </c>
      <c r="B477" s="1" t="n">
        <v>45352</v>
      </c>
      <c r="C477" s="1" t="n">
        <v>45702</v>
      </c>
      <c r="D477" t="inlineStr">
        <is>
          <t>VÄSTERBOTTENS LÄN</t>
        </is>
      </c>
      <c r="E477" t="inlineStr">
        <is>
          <t>DOROTEA</t>
        </is>
      </c>
      <c r="F477" t="inlineStr">
        <is>
          <t>SCA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8245-2024</t>
        </is>
      </c>
      <c r="B478" s="1" t="n">
        <v>45352</v>
      </c>
      <c r="C478" s="1" t="n">
        <v>45702</v>
      </c>
      <c r="D478" t="inlineStr">
        <is>
          <t>VÄSTERBOTTENS LÄN</t>
        </is>
      </c>
      <c r="E478" t="inlineStr">
        <is>
          <t>DOROTEA</t>
        </is>
      </c>
      <c r="F478" t="inlineStr">
        <is>
          <t>SCA</t>
        </is>
      </c>
      <c r="G478" t="n">
        <v>6.5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8247-2024</t>
        </is>
      </c>
      <c r="B479" s="1" t="n">
        <v>45352</v>
      </c>
      <c r="C479" s="1" t="n">
        <v>45702</v>
      </c>
      <c r="D479" t="inlineStr">
        <is>
          <t>VÄSTERBOTTENS LÄN</t>
        </is>
      </c>
      <c r="E479" t="inlineStr">
        <is>
          <t>DOROTEA</t>
        </is>
      </c>
      <c r="F479" t="inlineStr">
        <is>
          <t>SCA</t>
        </is>
      </c>
      <c r="G479" t="n">
        <v>6.9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8648-2024</t>
        </is>
      </c>
      <c r="B480" s="1" t="n">
        <v>45356</v>
      </c>
      <c r="C480" s="1" t="n">
        <v>45702</v>
      </c>
      <c r="D480" t="inlineStr">
        <is>
          <t>VÄSTERBOTTENS LÄN</t>
        </is>
      </c>
      <c r="E480" t="inlineStr">
        <is>
          <t>DOROTEA</t>
        </is>
      </c>
      <c r="F480" t="inlineStr">
        <is>
          <t>SCA</t>
        </is>
      </c>
      <c r="G480" t="n">
        <v>6.2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8852-2024</t>
        </is>
      </c>
      <c r="B481" s="1" t="n">
        <v>45356</v>
      </c>
      <c r="C481" s="1" t="n">
        <v>45702</v>
      </c>
      <c r="D481" t="inlineStr">
        <is>
          <t>VÄSTERBOTTENS LÄN</t>
        </is>
      </c>
      <c r="E481" t="inlineStr">
        <is>
          <t>DOROTEA</t>
        </is>
      </c>
      <c r="G481" t="n">
        <v>4.4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9258-2024</t>
        </is>
      </c>
      <c r="B482" s="1" t="n">
        <v>45357</v>
      </c>
      <c r="C482" s="1" t="n">
        <v>45702</v>
      </c>
      <c r="D482" t="inlineStr">
        <is>
          <t>VÄSTERBOTTENS LÄN</t>
        </is>
      </c>
      <c r="E482" t="inlineStr">
        <is>
          <t>DOROTEA</t>
        </is>
      </c>
      <c r="G482" t="n">
        <v>9.199999999999999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9832-2024</t>
        </is>
      </c>
      <c r="B483" s="1" t="n">
        <v>45363</v>
      </c>
      <c r="C483" s="1" t="n">
        <v>45702</v>
      </c>
      <c r="D483" t="inlineStr">
        <is>
          <t>VÄSTERBOTTENS LÄN</t>
        </is>
      </c>
      <c r="E483" t="inlineStr">
        <is>
          <t>DOROTEA</t>
        </is>
      </c>
      <c r="F483" t="inlineStr">
        <is>
          <t>SCA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9826-2024</t>
        </is>
      </c>
      <c r="B484" s="1" t="n">
        <v>45363</v>
      </c>
      <c r="C484" s="1" t="n">
        <v>45702</v>
      </c>
      <c r="D484" t="inlineStr">
        <is>
          <t>VÄSTERBOTTENS LÄN</t>
        </is>
      </c>
      <c r="E484" t="inlineStr">
        <is>
          <t>DOROTEA</t>
        </is>
      </c>
      <c r="F484" t="inlineStr">
        <is>
          <t>SCA</t>
        </is>
      </c>
      <c r="G484" t="n">
        <v>8.800000000000001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9827-2024</t>
        </is>
      </c>
      <c r="B485" s="1" t="n">
        <v>45363</v>
      </c>
      <c r="C485" s="1" t="n">
        <v>45702</v>
      </c>
      <c r="D485" t="inlineStr">
        <is>
          <t>VÄSTERBOTTENS LÄN</t>
        </is>
      </c>
      <c r="E485" t="inlineStr">
        <is>
          <t>DOROTEA</t>
        </is>
      </c>
      <c r="F485" t="inlineStr">
        <is>
          <t>SCA</t>
        </is>
      </c>
      <c r="G485" t="n">
        <v>16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10029-2024</t>
        </is>
      </c>
      <c r="B486" s="1" t="n">
        <v>45364</v>
      </c>
      <c r="C486" s="1" t="n">
        <v>45702</v>
      </c>
      <c r="D486" t="inlineStr">
        <is>
          <t>VÄSTERBOTTENS LÄN</t>
        </is>
      </c>
      <c r="E486" t="inlineStr">
        <is>
          <t>DOROTEA</t>
        </is>
      </c>
      <c r="F486" t="inlineStr">
        <is>
          <t>SCA</t>
        </is>
      </c>
      <c r="G486" t="n">
        <v>5.4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10624-2024</t>
        </is>
      </c>
      <c r="B487" s="1" t="n">
        <v>45367</v>
      </c>
      <c r="C487" s="1" t="n">
        <v>45702</v>
      </c>
      <c r="D487" t="inlineStr">
        <is>
          <t>VÄSTERBOTTENS LÄN</t>
        </is>
      </c>
      <c r="E487" t="inlineStr">
        <is>
          <t>DOROTEA</t>
        </is>
      </c>
      <c r="F487" t="inlineStr">
        <is>
          <t>SCA</t>
        </is>
      </c>
      <c r="G487" t="n">
        <v>7.4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11537-2024</t>
        </is>
      </c>
      <c r="B488" s="1" t="n">
        <v>45372</v>
      </c>
      <c r="C488" s="1" t="n">
        <v>45702</v>
      </c>
      <c r="D488" t="inlineStr">
        <is>
          <t>VÄSTERBOTTENS LÄN</t>
        </is>
      </c>
      <c r="E488" t="inlineStr">
        <is>
          <t>DOROTEA</t>
        </is>
      </c>
      <c r="F488" t="inlineStr">
        <is>
          <t>SCA</t>
        </is>
      </c>
      <c r="G488" t="n">
        <v>18.5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11757-2024</t>
        </is>
      </c>
      <c r="B489" s="1" t="n">
        <v>45373</v>
      </c>
      <c r="C489" s="1" t="n">
        <v>45702</v>
      </c>
      <c r="D489" t="inlineStr">
        <is>
          <t>VÄSTERBOTTENS LÄN</t>
        </is>
      </c>
      <c r="E489" t="inlineStr">
        <is>
          <t>DOROTEA</t>
        </is>
      </c>
      <c r="F489" t="inlineStr">
        <is>
          <t>SCA</t>
        </is>
      </c>
      <c r="G489" t="n">
        <v>5.3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11766-2024</t>
        </is>
      </c>
      <c r="B490" s="1" t="n">
        <v>45373</v>
      </c>
      <c r="C490" s="1" t="n">
        <v>45702</v>
      </c>
      <c r="D490" t="inlineStr">
        <is>
          <t>VÄSTERBOTTENS LÄN</t>
        </is>
      </c>
      <c r="E490" t="inlineStr">
        <is>
          <t>DOROTEA</t>
        </is>
      </c>
      <c r="F490" t="inlineStr">
        <is>
          <t>SCA</t>
        </is>
      </c>
      <c r="G490" t="n">
        <v>20.6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11759-2024</t>
        </is>
      </c>
      <c r="B491" s="1" t="n">
        <v>45373</v>
      </c>
      <c r="C491" s="1" t="n">
        <v>45702</v>
      </c>
      <c r="D491" t="inlineStr">
        <is>
          <t>VÄSTERBOTTENS LÄN</t>
        </is>
      </c>
      <c r="E491" t="inlineStr">
        <is>
          <t>DOROTEA</t>
        </is>
      </c>
      <c r="F491" t="inlineStr">
        <is>
          <t>SCA</t>
        </is>
      </c>
      <c r="G491" t="n">
        <v>3.9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11758-2024</t>
        </is>
      </c>
      <c r="B492" s="1" t="n">
        <v>45373</v>
      </c>
      <c r="C492" s="1" t="n">
        <v>45702</v>
      </c>
      <c r="D492" t="inlineStr">
        <is>
          <t>VÄSTERBOTTENS LÄN</t>
        </is>
      </c>
      <c r="E492" t="inlineStr">
        <is>
          <t>DOROTEA</t>
        </is>
      </c>
      <c r="F492" t="inlineStr">
        <is>
          <t>SCA</t>
        </is>
      </c>
      <c r="G492" t="n">
        <v>6.3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12356-2024</t>
        </is>
      </c>
      <c r="B493" s="1" t="n">
        <v>45378</v>
      </c>
      <c r="C493" s="1" t="n">
        <v>45702</v>
      </c>
      <c r="D493" t="inlineStr">
        <is>
          <t>VÄSTERBOTTENS LÄN</t>
        </is>
      </c>
      <c r="E493" t="inlineStr">
        <is>
          <t>DOROTEA</t>
        </is>
      </c>
      <c r="F493" t="inlineStr">
        <is>
          <t>SCA</t>
        </is>
      </c>
      <c r="G493" t="n">
        <v>2.3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12357-2024</t>
        </is>
      </c>
      <c r="B494" s="1" t="n">
        <v>45378</v>
      </c>
      <c r="C494" s="1" t="n">
        <v>45702</v>
      </c>
      <c r="D494" t="inlineStr">
        <is>
          <t>VÄSTERBOTTENS LÄN</t>
        </is>
      </c>
      <c r="E494" t="inlineStr">
        <is>
          <t>DOROTEA</t>
        </is>
      </c>
      <c r="F494" t="inlineStr">
        <is>
          <t>SCA</t>
        </is>
      </c>
      <c r="G494" t="n">
        <v>3.4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12358-2024</t>
        </is>
      </c>
      <c r="B495" s="1" t="n">
        <v>45378</v>
      </c>
      <c r="C495" s="1" t="n">
        <v>45702</v>
      </c>
      <c r="D495" t="inlineStr">
        <is>
          <t>VÄSTERBOTTENS LÄN</t>
        </is>
      </c>
      <c r="E495" t="inlineStr">
        <is>
          <t>DOROTEA</t>
        </is>
      </c>
      <c r="F495" t="inlineStr">
        <is>
          <t>SCA</t>
        </is>
      </c>
      <c r="G495" t="n">
        <v>2.2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13035-2024</t>
        </is>
      </c>
      <c r="B496" s="1" t="n">
        <v>45385</v>
      </c>
      <c r="C496" s="1" t="n">
        <v>45702</v>
      </c>
      <c r="D496" t="inlineStr">
        <is>
          <t>VÄSTERBOTTENS LÄN</t>
        </is>
      </c>
      <c r="E496" t="inlineStr">
        <is>
          <t>DOROTEA</t>
        </is>
      </c>
      <c r="G496" t="n">
        <v>5.2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13051-2024</t>
        </is>
      </c>
      <c r="B497" s="1" t="n">
        <v>45385</v>
      </c>
      <c r="C497" s="1" t="n">
        <v>45702</v>
      </c>
      <c r="D497" t="inlineStr">
        <is>
          <t>VÄSTERBOTTENS LÄN</t>
        </is>
      </c>
      <c r="E497" t="inlineStr">
        <is>
          <t>DOROTEA</t>
        </is>
      </c>
      <c r="G497" t="n">
        <v>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13030-2024</t>
        </is>
      </c>
      <c r="B498" s="1" t="n">
        <v>45385</v>
      </c>
      <c r="C498" s="1" t="n">
        <v>45702</v>
      </c>
      <c r="D498" t="inlineStr">
        <is>
          <t>VÄSTERBOTTENS LÄN</t>
        </is>
      </c>
      <c r="E498" t="inlineStr">
        <is>
          <t>DOROTEA</t>
        </is>
      </c>
      <c r="G498" t="n">
        <v>3.4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13044-2024</t>
        </is>
      </c>
      <c r="B499" s="1" t="n">
        <v>45385</v>
      </c>
      <c r="C499" s="1" t="n">
        <v>45702</v>
      </c>
      <c r="D499" t="inlineStr">
        <is>
          <t>VÄSTERBOTTENS LÄN</t>
        </is>
      </c>
      <c r="E499" t="inlineStr">
        <is>
          <t>DOROTEA</t>
        </is>
      </c>
      <c r="G499" t="n">
        <v>16.5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13927-2024</t>
        </is>
      </c>
      <c r="B500" s="1" t="n">
        <v>45392</v>
      </c>
      <c r="C500" s="1" t="n">
        <v>45702</v>
      </c>
      <c r="D500" t="inlineStr">
        <is>
          <t>VÄSTERBOTTENS LÄN</t>
        </is>
      </c>
      <c r="E500" t="inlineStr">
        <is>
          <t>DOROTEA</t>
        </is>
      </c>
      <c r="G500" t="n">
        <v>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13928-2024</t>
        </is>
      </c>
      <c r="B501" s="1" t="n">
        <v>45392</v>
      </c>
      <c r="C501" s="1" t="n">
        <v>45702</v>
      </c>
      <c r="D501" t="inlineStr">
        <is>
          <t>VÄSTERBOTTENS LÄN</t>
        </is>
      </c>
      <c r="E501" t="inlineStr">
        <is>
          <t>DOROTEA</t>
        </is>
      </c>
      <c r="G501" t="n">
        <v>6.4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14164-2024</t>
        </is>
      </c>
      <c r="B502" s="1" t="n">
        <v>45393</v>
      </c>
      <c r="C502" s="1" t="n">
        <v>45702</v>
      </c>
      <c r="D502" t="inlineStr">
        <is>
          <t>VÄSTERBOTTENS LÄN</t>
        </is>
      </c>
      <c r="E502" t="inlineStr">
        <is>
          <t>DOROTEA</t>
        </is>
      </c>
      <c r="F502" t="inlineStr">
        <is>
          <t>SCA</t>
        </is>
      </c>
      <c r="G502" t="n">
        <v>11.6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14163-2024</t>
        </is>
      </c>
      <c r="B503" s="1" t="n">
        <v>45393</v>
      </c>
      <c r="C503" s="1" t="n">
        <v>45702</v>
      </c>
      <c r="D503" t="inlineStr">
        <is>
          <t>VÄSTERBOTTENS LÄN</t>
        </is>
      </c>
      <c r="E503" t="inlineStr">
        <is>
          <t>DOROTEA</t>
        </is>
      </c>
      <c r="F503" t="inlineStr">
        <is>
          <t>SCA</t>
        </is>
      </c>
      <c r="G503" t="n">
        <v>3.4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14161-2024</t>
        </is>
      </c>
      <c r="B504" s="1" t="n">
        <v>45392</v>
      </c>
      <c r="C504" s="1" t="n">
        <v>45702</v>
      </c>
      <c r="D504" t="inlineStr">
        <is>
          <t>VÄSTERBOTTENS LÄN</t>
        </is>
      </c>
      <c r="E504" t="inlineStr">
        <is>
          <t>DOROTEA</t>
        </is>
      </c>
      <c r="F504" t="inlineStr">
        <is>
          <t>SCA</t>
        </is>
      </c>
      <c r="G504" t="n">
        <v>8.300000000000001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14320-2024</t>
        </is>
      </c>
      <c r="B505" s="1" t="n">
        <v>45393</v>
      </c>
      <c r="C505" s="1" t="n">
        <v>45702</v>
      </c>
      <c r="D505" t="inlineStr">
        <is>
          <t>VÄSTERBOTTENS LÄN</t>
        </is>
      </c>
      <c r="E505" t="inlineStr">
        <is>
          <t>DOROTEA</t>
        </is>
      </c>
      <c r="G505" t="n">
        <v>10.2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14935-2024</t>
        </is>
      </c>
      <c r="B506" s="1" t="n">
        <v>45399</v>
      </c>
      <c r="C506" s="1" t="n">
        <v>45702</v>
      </c>
      <c r="D506" t="inlineStr">
        <is>
          <t>VÄSTERBOTTENS LÄN</t>
        </is>
      </c>
      <c r="E506" t="inlineStr">
        <is>
          <t>DOROTEA</t>
        </is>
      </c>
      <c r="G506" t="n">
        <v>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15044-2024</t>
        </is>
      </c>
      <c r="B507" s="1" t="n">
        <v>45399</v>
      </c>
      <c r="C507" s="1" t="n">
        <v>45702</v>
      </c>
      <c r="D507" t="inlineStr">
        <is>
          <t>VÄSTERBOTTENS LÄN</t>
        </is>
      </c>
      <c r="E507" t="inlineStr">
        <is>
          <t>DOROTEA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15057-2024</t>
        </is>
      </c>
      <c r="B508" s="1" t="n">
        <v>45399</v>
      </c>
      <c r="C508" s="1" t="n">
        <v>45702</v>
      </c>
      <c r="D508" t="inlineStr">
        <is>
          <t>VÄSTERBOTTENS LÄN</t>
        </is>
      </c>
      <c r="E508" t="inlineStr">
        <is>
          <t>DOROTEA</t>
        </is>
      </c>
      <c r="G508" t="n">
        <v>2.4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16227-2024</t>
        </is>
      </c>
      <c r="B509" s="1" t="n">
        <v>45406</v>
      </c>
      <c r="C509" s="1" t="n">
        <v>45702</v>
      </c>
      <c r="D509" t="inlineStr">
        <is>
          <t>VÄSTERBOTTENS LÄN</t>
        </is>
      </c>
      <c r="E509" t="inlineStr">
        <is>
          <t>DOROTEA</t>
        </is>
      </c>
      <c r="G509" t="n">
        <v>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16230-2024</t>
        </is>
      </c>
      <c r="B510" s="1" t="n">
        <v>45407</v>
      </c>
      <c r="C510" s="1" t="n">
        <v>45702</v>
      </c>
      <c r="D510" t="inlineStr">
        <is>
          <t>VÄSTERBOTTENS LÄN</t>
        </is>
      </c>
      <c r="E510" t="inlineStr">
        <is>
          <t>DOROTEA</t>
        </is>
      </c>
      <c r="G510" t="n">
        <v>10.1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16234-2024</t>
        </is>
      </c>
      <c r="B511" s="1" t="n">
        <v>45407</v>
      </c>
      <c r="C511" s="1" t="n">
        <v>45702</v>
      </c>
      <c r="D511" t="inlineStr">
        <is>
          <t>VÄSTERBOTTENS LÄN</t>
        </is>
      </c>
      <c r="E511" t="inlineStr">
        <is>
          <t>DOROTEA</t>
        </is>
      </c>
      <c r="F511" t="inlineStr">
        <is>
          <t>SCA</t>
        </is>
      </c>
      <c r="G511" t="n">
        <v>20.5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16235-2024</t>
        </is>
      </c>
      <c r="B512" s="1" t="n">
        <v>45407</v>
      </c>
      <c r="C512" s="1" t="n">
        <v>45702</v>
      </c>
      <c r="D512" t="inlineStr">
        <is>
          <t>VÄSTERBOTTENS LÄN</t>
        </is>
      </c>
      <c r="E512" t="inlineStr">
        <is>
          <t>DOROTEA</t>
        </is>
      </c>
      <c r="F512" t="inlineStr">
        <is>
          <t>SCA</t>
        </is>
      </c>
      <c r="G512" t="n">
        <v>1.8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17419-2024</t>
        </is>
      </c>
      <c r="B513" s="1" t="n">
        <v>45415</v>
      </c>
      <c r="C513" s="1" t="n">
        <v>45702</v>
      </c>
      <c r="D513" t="inlineStr">
        <is>
          <t>VÄSTERBOTTENS LÄN</t>
        </is>
      </c>
      <c r="E513" t="inlineStr">
        <is>
          <t>DOROTEA</t>
        </is>
      </c>
      <c r="F513" t="inlineStr">
        <is>
          <t>SCA</t>
        </is>
      </c>
      <c r="G513" t="n">
        <v>9.300000000000001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17825-2024</t>
        </is>
      </c>
      <c r="B514" s="1" t="n">
        <v>45418</v>
      </c>
      <c r="C514" s="1" t="n">
        <v>45702</v>
      </c>
      <c r="D514" t="inlineStr">
        <is>
          <t>VÄSTERBOTTENS LÄN</t>
        </is>
      </c>
      <c r="E514" t="inlineStr">
        <is>
          <t>DOROTEA</t>
        </is>
      </c>
      <c r="F514" t="inlineStr">
        <is>
          <t>SCA</t>
        </is>
      </c>
      <c r="G514" t="n">
        <v>24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18599-2024</t>
        </is>
      </c>
      <c r="B515" s="1" t="n">
        <v>45425</v>
      </c>
      <c r="C515" s="1" t="n">
        <v>45702</v>
      </c>
      <c r="D515" t="inlineStr">
        <is>
          <t>VÄSTERBOTTENS LÄN</t>
        </is>
      </c>
      <c r="E515" t="inlineStr">
        <is>
          <t>DOROTEA</t>
        </is>
      </c>
      <c r="G515" t="n">
        <v>9.800000000000001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19589-2024</t>
        </is>
      </c>
      <c r="B516" s="1" t="n">
        <v>45430</v>
      </c>
      <c r="C516" s="1" t="n">
        <v>45702</v>
      </c>
      <c r="D516" t="inlineStr">
        <is>
          <t>VÄSTERBOTTENS LÄN</t>
        </is>
      </c>
      <c r="E516" t="inlineStr">
        <is>
          <t>DOROTEA</t>
        </is>
      </c>
      <c r="F516" t="inlineStr">
        <is>
          <t>SCA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19590-2024</t>
        </is>
      </c>
      <c r="B517" s="1" t="n">
        <v>45429</v>
      </c>
      <c r="C517" s="1" t="n">
        <v>45702</v>
      </c>
      <c r="D517" t="inlineStr">
        <is>
          <t>VÄSTERBOTTENS LÄN</t>
        </is>
      </c>
      <c r="E517" t="inlineStr">
        <is>
          <t>DOROTEA</t>
        </is>
      </c>
      <c r="F517" t="inlineStr">
        <is>
          <t>SCA</t>
        </is>
      </c>
      <c r="G517" t="n">
        <v>1.9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19592-2024</t>
        </is>
      </c>
      <c r="B518" s="1" t="n">
        <v>45430</v>
      </c>
      <c r="C518" s="1" t="n">
        <v>45702</v>
      </c>
      <c r="D518" t="inlineStr">
        <is>
          <t>VÄSTERBOTTENS LÄN</t>
        </is>
      </c>
      <c r="E518" t="inlineStr">
        <is>
          <t>DOROTEA</t>
        </is>
      </c>
      <c r="F518" t="inlineStr">
        <is>
          <t>SCA</t>
        </is>
      </c>
      <c r="G518" t="n">
        <v>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20775-2024</t>
        </is>
      </c>
      <c r="B519" s="1" t="n">
        <v>45436</v>
      </c>
      <c r="C519" s="1" t="n">
        <v>45702</v>
      </c>
      <c r="D519" t="inlineStr">
        <is>
          <t>VÄSTERBOTTENS LÄN</t>
        </is>
      </c>
      <c r="E519" t="inlineStr">
        <is>
          <t>DOROTEA</t>
        </is>
      </c>
      <c r="F519" t="inlineStr">
        <is>
          <t>SCA</t>
        </is>
      </c>
      <c r="G519" t="n">
        <v>16.8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22450-2024</t>
        </is>
      </c>
      <c r="B520" s="1" t="n">
        <v>45447</v>
      </c>
      <c r="C520" s="1" t="n">
        <v>45702</v>
      </c>
      <c r="D520" t="inlineStr">
        <is>
          <t>VÄSTERBOTTENS LÄN</t>
        </is>
      </c>
      <c r="E520" t="inlineStr">
        <is>
          <t>DOROTEA</t>
        </is>
      </c>
      <c r="F520" t="inlineStr">
        <is>
          <t>SCA</t>
        </is>
      </c>
      <c r="G520" t="n">
        <v>4.9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22944-2024</t>
        </is>
      </c>
      <c r="B521" s="1" t="n">
        <v>45449</v>
      </c>
      <c r="C521" s="1" t="n">
        <v>45702</v>
      </c>
      <c r="D521" t="inlineStr">
        <is>
          <t>VÄSTERBOTTENS LÄN</t>
        </is>
      </c>
      <c r="E521" t="inlineStr">
        <is>
          <t>DOROTEA</t>
        </is>
      </c>
      <c r="F521" t="inlineStr">
        <is>
          <t>SCA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22946-2024</t>
        </is>
      </c>
      <c r="B522" s="1" t="n">
        <v>45449</v>
      </c>
      <c r="C522" s="1" t="n">
        <v>45702</v>
      </c>
      <c r="D522" t="inlineStr">
        <is>
          <t>VÄSTERBOTTENS LÄN</t>
        </is>
      </c>
      <c r="E522" t="inlineStr">
        <is>
          <t>DOROTEA</t>
        </is>
      </c>
      <c r="F522" t="inlineStr">
        <is>
          <t>SCA</t>
        </is>
      </c>
      <c r="G522" t="n">
        <v>3.8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22942-2024</t>
        </is>
      </c>
      <c r="B523" s="1" t="n">
        <v>45449</v>
      </c>
      <c r="C523" s="1" t="n">
        <v>45702</v>
      </c>
      <c r="D523" t="inlineStr">
        <is>
          <t>VÄSTERBOTTENS LÄN</t>
        </is>
      </c>
      <c r="E523" t="inlineStr">
        <is>
          <t>DOROTEA</t>
        </is>
      </c>
      <c r="F523" t="inlineStr">
        <is>
          <t>SCA</t>
        </is>
      </c>
      <c r="G523" t="n">
        <v>0.6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22943-2024</t>
        </is>
      </c>
      <c r="B524" s="1" t="n">
        <v>45449</v>
      </c>
      <c r="C524" s="1" t="n">
        <v>45702</v>
      </c>
      <c r="D524" t="inlineStr">
        <is>
          <t>VÄSTERBOTTENS LÄN</t>
        </is>
      </c>
      <c r="E524" t="inlineStr">
        <is>
          <t>DOROTEA</t>
        </is>
      </c>
      <c r="F524" t="inlineStr">
        <is>
          <t>SCA</t>
        </is>
      </c>
      <c r="G524" t="n">
        <v>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22931-2024</t>
        </is>
      </c>
      <c r="B525" s="1" t="n">
        <v>45449</v>
      </c>
      <c r="C525" s="1" t="n">
        <v>45702</v>
      </c>
      <c r="D525" t="inlineStr">
        <is>
          <t>VÄSTERBOTTENS LÄN</t>
        </is>
      </c>
      <c r="E525" t="inlineStr">
        <is>
          <t>DOROTEA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22993-2024</t>
        </is>
      </c>
      <c r="B526" s="1" t="n">
        <v>45450</v>
      </c>
      <c r="C526" s="1" t="n">
        <v>45702</v>
      </c>
      <c r="D526" t="inlineStr">
        <is>
          <t>VÄSTERBOTTENS LÄN</t>
        </is>
      </c>
      <c r="E526" t="inlineStr">
        <is>
          <t>DOROTEA</t>
        </is>
      </c>
      <c r="F526" t="inlineStr">
        <is>
          <t>SCA</t>
        </is>
      </c>
      <c r="G526" t="n">
        <v>2.8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24458-2024</t>
        </is>
      </c>
      <c r="B527" s="1" t="n">
        <v>45457</v>
      </c>
      <c r="C527" s="1" t="n">
        <v>45702</v>
      </c>
      <c r="D527" t="inlineStr">
        <is>
          <t>VÄSTERBOTTENS LÄN</t>
        </is>
      </c>
      <c r="E527" t="inlineStr">
        <is>
          <t>DOROTEA</t>
        </is>
      </c>
      <c r="F527" t="inlineStr">
        <is>
          <t>SCA</t>
        </is>
      </c>
      <c r="G527" t="n">
        <v>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24445-2024</t>
        </is>
      </c>
      <c r="B528" s="1" t="n">
        <v>45458</v>
      </c>
      <c r="C528" s="1" t="n">
        <v>45702</v>
      </c>
      <c r="D528" t="inlineStr">
        <is>
          <t>VÄSTERBOTTENS LÄN</t>
        </is>
      </c>
      <c r="E528" t="inlineStr">
        <is>
          <t>DOROTEA</t>
        </is>
      </c>
      <c r="F528" t="inlineStr">
        <is>
          <t>SCA</t>
        </is>
      </c>
      <c r="G528" t="n">
        <v>3.8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25028-2024</t>
        </is>
      </c>
      <c r="B529" s="1" t="n">
        <v>45462</v>
      </c>
      <c r="C529" s="1" t="n">
        <v>45702</v>
      </c>
      <c r="D529" t="inlineStr">
        <is>
          <t>VÄSTERBOTTENS LÄN</t>
        </is>
      </c>
      <c r="E529" t="inlineStr">
        <is>
          <t>DOROTEA</t>
        </is>
      </c>
      <c r="F529" t="inlineStr">
        <is>
          <t>SCA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25027-2024</t>
        </is>
      </c>
      <c r="B530" s="1" t="n">
        <v>45461</v>
      </c>
      <c r="C530" s="1" t="n">
        <v>45702</v>
      </c>
      <c r="D530" t="inlineStr">
        <is>
          <t>VÄSTERBOTTENS LÄN</t>
        </is>
      </c>
      <c r="E530" t="inlineStr">
        <is>
          <t>DOROTEA</t>
        </is>
      </c>
      <c r="F530" t="inlineStr">
        <is>
          <t>SCA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25031-2024</t>
        </is>
      </c>
      <c r="B531" s="1" t="n">
        <v>45462</v>
      </c>
      <c r="C531" s="1" t="n">
        <v>45702</v>
      </c>
      <c r="D531" t="inlineStr">
        <is>
          <t>VÄSTERBOTTENS LÄN</t>
        </is>
      </c>
      <c r="E531" t="inlineStr">
        <is>
          <t>DOROTEA</t>
        </is>
      </c>
      <c r="F531" t="inlineStr">
        <is>
          <t>SCA</t>
        </is>
      </c>
      <c r="G531" t="n">
        <v>6.2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25029-2024</t>
        </is>
      </c>
      <c r="B532" s="1" t="n">
        <v>45462</v>
      </c>
      <c r="C532" s="1" t="n">
        <v>45702</v>
      </c>
      <c r="D532" t="inlineStr">
        <is>
          <t>VÄSTERBOTTENS LÄN</t>
        </is>
      </c>
      <c r="E532" t="inlineStr">
        <is>
          <t>DOROTEA</t>
        </is>
      </c>
      <c r="F532" t="inlineStr">
        <is>
          <t>SCA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25030-2024</t>
        </is>
      </c>
      <c r="B533" s="1" t="n">
        <v>45462</v>
      </c>
      <c r="C533" s="1" t="n">
        <v>45702</v>
      </c>
      <c r="D533" t="inlineStr">
        <is>
          <t>VÄSTERBOTTENS LÄN</t>
        </is>
      </c>
      <c r="E533" t="inlineStr">
        <is>
          <t>DOROTEA</t>
        </is>
      </c>
      <c r="F533" t="inlineStr">
        <is>
          <t>SCA</t>
        </is>
      </c>
      <c r="G533" t="n">
        <v>3.2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25714-2024</t>
        </is>
      </c>
      <c r="B534" s="1" t="n">
        <v>45464</v>
      </c>
      <c r="C534" s="1" t="n">
        <v>45702</v>
      </c>
      <c r="D534" t="inlineStr">
        <is>
          <t>VÄSTERBOTTENS LÄN</t>
        </is>
      </c>
      <c r="E534" t="inlineStr">
        <is>
          <t>DOROTEA</t>
        </is>
      </c>
      <c r="F534" t="inlineStr">
        <is>
          <t>SCA</t>
        </is>
      </c>
      <c r="G534" t="n">
        <v>4.1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25719-2024</t>
        </is>
      </c>
      <c r="B535" s="1" t="n">
        <v>45463</v>
      </c>
      <c r="C535" s="1" t="n">
        <v>45702</v>
      </c>
      <c r="D535" t="inlineStr">
        <is>
          <t>VÄSTERBOTTENS LÄN</t>
        </is>
      </c>
      <c r="E535" t="inlineStr">
        <is>
          <t>DOROTEA</t>
        </is>
      </c>
      <c r="F535" t="inlineStr">
        <is>
          <t>SCA</t>
        </is>
      </c>
      <c r="G535" t="n">
        <v>16.2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26637-2024</t>
        </is>
      </c>
      <c r="B536" s="1" t="n">
        <v>45470</v>
      </c>
      <c r="C536" s="1" t="n">
        <v>45702</v>
      </c>
      <c r="D536" t="inlineStr">
        <is>
          <t>VÄSTERBOTTENS LÄN</t>
        </is>
      </c>
      <c r="E536" t="inlineStr">
        <is>
          <t>DOROTEA</t>
        </is>
      </c>
      <c r="G536" t="n">
        <v>5.7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26964-2024</t>
        </is>
      </c>
      <c r="B537" s="1" t="n">
        <v>45471</v>
      </c>
      <c r="C537" s="1" t="n">
        <v>45702</v>
      </c>
      <c r="D537" t="inlineStr">
        <is>
          <t>VÄSTERBOTTENS LÄN</t>
        </is>
      </c>
      <c r="E537" t="inlineStr">
        <is>
          <t>DOROTEA</t>
        </is>
      </c>
      <c r="F537" t="inlineStr">
        <is>
          <t>SCA</t>
        </is>
      </c>
      <c r="G537" t="n">
        <v>6.4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26777-2024</t>
        </is>
      </c>
      <c r="B538" s="1" t="n">
        <v>45470</v>
      </c>
      <c r="C538" s="1" t="n">
        <v>45702</v>
      </c>
      <c r="D538" t="inlineStr">
        <is>
          <t>VÄSTERBOTTENS LÄN</t>
        </is>
      </c>
      <c r="E538" t="inlineStr">
        <is>
          <t>DOROTEA</t>
        </is>
      </c>
      <c r="G538" t="n">
        <v>10.1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27305-2024</t>
        </is>
      </c>
      <c r="B539" s="1" t="n">
        <v>45472</v>
      </c>
      <c r="C539" s="1" t="n">
        <v>45702</v>
      </c>
      <c r="D539" t="inlineStr">
        <is>
          <t>VÄSTERBOTTENS LÄN</t>
        </is>
      </c>
      <c r="E539" t="inlineStr">
        <is>
          <t>DOROTEA</t>
        </is>
      </c>
      <c r="F539" t="inlineStr">
        <is>
          <t>SCA</t>
        </is>
      </c>
      <c r="G539" t="n">
        <v>4.6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27317-2024</t>
        </is>
      </c>
      <c r="B540" s="1" t="n">
        <v>45472</v>
      </c>
      <c r="C540" s="1" t="n">
        <v>45702</v>
      </c>
      <c r="D540" t="inlineStr">
        <is>
          <t>VÄSTERBOTTENS LÄN</t>
        </is>
      </c>
      <c r="E540" t="inlineStr">
        <is>
          <t>DOROTEA</t>
        </is>
      </c>
      <c r="F540" t="inlineStr">
        <is>
          <t>SCA</t>
        </is>
      </c>
      <c r="G540" t="n">
        <v>1.3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27662-2024</t>
        </is>
      </c>
      <c r="B541" s="1" t="n">
        <v>45475</v>
      </c>
      <c r="C541" s="1" t="n">
        <v>45702</v>
      </c>
      <c r="D541" t="inlineStr">
        <is>
          <t>VÄSTERBOTTENS LÄN</t>
        </is>
      </c>
      <c r="E541" t="inlineStr">
        <is>
          <t>DOROTEA</t>
        </is>
      </c>
      <c r="F541" t="inlineStr">
        <is>
          <t>SCA</t>
        </is>
      </c>
      <c r="G541" t="n">
        <v>1.5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27909-2024</t>
        </is>
      </c>
      <c r="B542" s="1" t="n">
        <v>45475</v>
      </c>
      <c r="C542" s="1" t="n">
        <v>45702</v>
      </c>
      <c r="D542" t="inlineStr">
        <is>
          <t>VÄSTERBOTTENS LÄN</t>
        </is>
      </c>
      <c r="E542" t="inlineStr">
        <is>
          <t>DOROTEA</t>
        </is>
      </c>
      <c r="F542" t="inlineStr">
        <is>
          <t>SCA</t>
        </is>
      </c>
      <c r="G542" t="n">
        <v>13.2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28856-2024</t>
        </is>
      </c>
      <c r="B543" s="1" t="n">
        <v>45479</v>
      </c>
      <c r="C543" s="1" t="n">
        <v>45702</v>
      </c>
      <c r="D543" t="inlineStr">
        <is>
          <t>VÄSTERBOTTENS LÄN</t>
        </is>
      </c>
      <c r="E543" t="inlineStr">
        <is>
          <t>DOROTEA</t>
        </is>
      </c>
      <c r="G543" t="n">
        <v>1.8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29090-2024</t>
        </is>
      </c>
      <c r="B544" s="1" t="n">
        <v>45481</v>
      </c>
      <c r="C544" s="1" t="n">
        <v>45702</v>
      </c>
      <c r="D544" t="inlineStr">
        <is>
          <t>VÄSTERBOTTENS LÄN</t>
        </is>
      </c>
      <c r="E544" t="inlineStr">
        <is>
          <t>DOROTEA</t>
        </is>
      </c>
      <c r="G544" t="n">
        <v>6.7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29089-2024</t>
        </is>
      </c>
      <c r="B545" s="1" t="n">
        <v>45481</v>
      </c>
      <c r="C545" s="1" t="n">
        <v>45702</v>
      </c>
      <c r="D545" t="inlineStr">
        <is>
          <t>VÄSTERBOTTENS LÄN</t>
        </is>
      </c>
      <c r="E545" t="inlineStr">
        <is>
          <t>DOROTEA</t>
        </is>
      </c>
      <c r="G545" t="n">
        <v>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29239-2024</t>
        </is>
      </c>
      <c r="B546" s="1" t="n">
        <v>45483</v>
      </c>
      <c r="C546" s="1" t="n">
        <v>45702</v>
      </c>
      <c r="D546" t="inlineStr">
        <is>
          <t>VÄSTERBOTTENS LÄN</t>
        </is>
      </c>
      <c r="E546" t="inlineStr">
        <is>
          <t>DOROTEA</t>
        </is>
      </c>
      <c r="G546" t="n">
        <v>2.2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29454-2024</t>
        </is>
      </c>
      <c r="B547" s="1" t="n">
        <v>45484</v>
      </c>
      <c r="C547" s="1" t="n">
        <v>45702</v>
      </c>
      <c r="D547" t="inlineStr">
        <is>
          <t>VÄSTERBOTTENS LÄN</t>
        </is>
      </c>
      <c r="E547" t="inlineStr">
        <is>
          <t>DOROTEA</t>
        </is>
      </c>
      <c r="F547" t="inlineStr">
        <is>
          <t>SCA</t>
        </is>
      </c>
      <c r="G547" t="n">
        <v>12.4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29617-2024</t>
        </is>
      </c>
      <c r="B548" s="1" t="n">
        <v>45484</v>
      </c>
      <c r="C548" s="1" t="n">
        <v>45702</v>
      </c>
      <c r="D548" t="inlineStr">
        <is>
          <t>VÄSTERBOTTENS LÄN</t>
        </is>
      </c>
      <c r="E548" t="inlineStr">
        <is>
          <t>DOROTEA</t>
        </is>
      </c>
      <c r="G548" t="n">
        <v>3.3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29639-2024</t>
        </is>
      </c>
      <c r="B549" s="1" t="n">
        <v>45484</v>
      </c>
      <c r="C549" s="1" t="n">
        <v>45702</v>
      </c>
      <c r="D549" t="inlineStr">
        <is>
          <t>VÄSTERBOTTENS LÄN</t>
        </is>
      </c>
      <c r="E549" t="inlineStr">
        <is>
          <t>DOROTEA</t>
        </is>
      </c>
      <c r="G549" t="n">
        <v>9.199999999999999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29737-2024</t>
        </is>
      </c>
      <c r="B550" s="1" t="n">
        <v>45485</v>
      </c>
      <c r="C550" s="1" t="n">
        <v>45702</v>
      </c>
      <c r="D550" t="inlineStr">
        <is>
          <t>VÄSTERBOTTENS LÄN</t>
        </is>
      </c>
      <c r="E550" t="inlineStr">
        <is>
          <t>DOROTEA</t>
        </is>
      </c>
      <c r="G550" t="n">
        <v>10.2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30059-2024</t>
        </is>
      </c>
      <c r="B551" s="1" t="n">
        <v>45489</v>
      </c>
      <c r="C551" s="1" t="n">
        <v>45702</v>
      </c>
      <c r="D551" t="inlineStr">
        <is>
          <t>VÄSTERBOTTENS LÄN</t>
        </is>
      </c>
      <c r="E551" t="inlineStr">
        <is>
          <t>DOROTEA</t>
        </is>
      </c>
      <c r="F551" t="inlineStr">
        <is>
          <t>SCA</t>
        </is>
      </c>
      <c r="G551" t="n">
        <v>3.7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30057-2024</t>
        </is>
      </c>
      <c r="B552" s="1" t="n">
        <v>45489</v>
      </c>
      <c r="C552" s="1" t="n">
        <v>45702</v>
      </c>
      <c r="D552" t="inlineStr">
        <is>
          <t>VÄSTERBOTTENS LÄN</t>
        </is>
      </c>
      <c r="E552" t="inlineStr">
        <is>
          <t>DOROTEA</t>
        </is>
      </c>
      <c r="G552" t="n">
        <v>8.300000000000001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30468-2024</t>
        </is>
      </c>
      <c r="B553" s="1" t="n">
        <v>45491</v>
      </c>
      <c r="C553" s="1" t="n">
        <v>45702</v>
      </c>
      <c r="D553" t="inlineStr">
        <is>
          <t>VÄSTERBOTTENS LÄN</t>
        </is>
      </c>
      <c r="E553" t="inlineStr">
        <is>
          <t>DOROTEA</t>
        </is>
      </c>
      <c r="F553" t="inlineStr">
        <is>
          <t>SCA</t>
        </is>
      </c>
      <c r="G553" t="n">
        <v>20.4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30370-2024</t>
        </is>
      </c>
      <c r="B554" s="1" t="n">
        <v>45491</v>
      </c>
      <c r="C554" s="1" t="n">
        <v>45702</v>
      </c>
      <c r="D554" t="inlineStr">
        <is>
          <t>VÄSTERBOTTENS LÄN</t>
        </is>
      </c>
      <c r="E554" t="inlineStr">
        <is>
          <t>DOROTEA</t>
        </is>
      </c>
      <c r="F554" t="inlineStr">
        <is>
          <t>Sveaskog</t>
        </is>
      </c>
      <c r="G554" t="n">
        <v>10.5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30461-2024</t>
        </is>
      </c>
      <c r="B555" s="1" t="n">
        <v>45492</v>
      </c>
      <c r="C555" s="1" t="n">
        <v>45702</v>
      </c>
      <c r="D555" t="inlineStr">
        <is>
          <t>VÄSTERBOTTENS LÄN</t>
        </is>
      </c>
      <c r="E555" t="inlineStr">
        <is>
          <t>DOROTEA</t>
        </is>
      </c>
      <c r="F555" t="inlineStr">
        <is>
          <t>SCA</t>
        </is>
      </c>
      <c r="G555" t="n">
        <v>7.1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30471-2024</t>
        </is>
      </c>
      <c r="B556" s="1" t="n">
        <v>45492</v>
      </c>
      <c r="C556" s="1" t="n">
        <v>45702</v>
      </c>
      <c r="D556" t="inlineStr">
        <is>
          <t>VÄSTERBOTTENS LÄN</t>
        </is>
      </c>
      <c r="E556" t="inlineStr">
        <is>
          <t>DOROTEA</t>
        </is>
      </c>
      <c r="F556" t="inlineStr">
        <is>
          <t>SCA</t>
        </is>
      </c>
      <c r="G556" t="n">
        <v>17.7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30679-2024</t>
        </is>
      </c>
      <c r="B557" s="1" t="n">
        <v>45495</v>
      </c>
      <c r="C557" s="1" t="n">
        <v>45702</v>
      </c>
      <c r="D557" t="inlineStr">
        <is>
          <t>VÄSTERBOTTENS LÄN</t>
        </is>
      </c>
      <c r="E557" t="inlineStr">
        <is>
          <t>DOROTEA</t>
        </is>
      </c>
      <c r="G557" t="n">
        <v>6.5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31495-2024</t>
        </is>
      </c>
      <c r="B558" s="1" t="n">
        <v>45506</v>
      </c>
      <c r="C558" s="1" t="n">
        <v>45702</v>
      </c>
      <c r="D558" t="inlineStr">
        <is>
          <t>VÄSTERBOTTENS LÄN</t>
        </is>
      </c>
      <c r="E558" t="inlineStr">
        <is>
          <t>DOROTEA</t>
        </is>
      </c>
      <c r="F558" t="inlineStr">
        <is>
          <t>SCA</t>
        </is>
      </c>
      <c r="G558" t="n">
        <v>27.5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31494-2024</t>
        </is>
      </c>
      <c r="B559" s="1" t="n">
        <v>45506</v>
      </c>
      <c r="C559" s="1" t="n">
        <v>45702</v>
      </c>
      <c r="D559" t="inlineStr">
        <is>
          <t>VÄSTERBOTTENS LÄN</t>
        </is>
      </c>
      <c r="E559" t="inlineStr">
        <is>
          <t>DOROTEA</t>
        </is>
      </c>
      <c r="F559" t="inlineStr">
        <is>
          <t>SCA</t>
        </is>
      </c>
      <c r="G559" t="n">
        <v>11.6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31497-2024</t>
        </is>
      </c>
      <c r="B560" s="1" t="n">
        <v>45506</v>
      </c>
      <c r="C560" s="1" t="n">
        <v>45702</v>
      </c>
      <c r="D560" t="inlineStr">
        <is>
          <t>VÄSTERBOTTENS LÄN</t>
        </is>
      </c>
      <c r="E560" t="inlineStr">
        <is>
          <t>DOROTEA</t>
        </is>
      </c>
      <c r="F560" t="inlineStr">
        <is>
          <t>SCA</t>
        </is>
      </c>
      <c r="G560" t="n">
        <v>4.6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31501-2024</t>
        </is>
      </c>
      <c r="B561" s="1" t="n">
        <v>45506</v>
      </c>
      <c r="C561" s="1" t="n">
        <v>45702</v>
      </c>
      <c r="D561" t="inlineStr">
        <is>
          <t>VÄSTERBOTTENS LÄN</t>
        </is>
      </c>
      <c r="E561" t="inlineStr">
        <is>
          <t>DOROTEA</t>
        </is>
      </c>
      <c r="F561" t="inlineStr">
        <is>
          <t>SCA</t>
        </is>
      </c>
      <c r="G561" t="n">
        <v>4.5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31820-2024</t>
        </is>
      </c>
      <c r="B562" s="1" t="n">
        <v>45509</v>
      </c>
      <c r="C562" s="1" t="n">
        <v>45702</v>
      </c>
      <c r="D562" t="inlineStr">
        <is>
          <t>VÄSTERBOTTENS LÄN</t>
        </is>
      </c>
      <c r="E562" t="inlineStr">
        <is>
          <t>DOROTEA</t>
        </is>
      </c>
      <c r="G562" t="n">
        <v>4.3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32049-2024</t>
        </is>
      </c>
      <c r="B563" s="1" t="n">
        <v>45511</v>
      </c>
      <c r="C563" s="1" t="n">
        <v>45702</v>
      </c>
      <c r="D563" t="inlineStr">
        <is>
          <t>VÄSTERBOTTENS LÄN</t>
        </is>
      </c>
      <c r="E563" t="inlineStr">
        <is>
          <t>DOROTEA</t>
        </is>
      </c>
      <c r="G563" t="n">
        <v>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32050-2024</t>
        </is>
      </c>
      <c r="B564" s="1" t="n">
        <v>45511</v>
      </c>
      <c r="C564" s="1" t="n">
        <v>45702</v>
      </c>
      <c r="D564" t="inlineStr">
        <is>
          <t>VÄSTERBOTTENS LÄN</t>
        </is>
      </c>
      <c r="E564" t="inlineStr">
        <is>
          <t>DOROTEA</t>
        </is>
      </c>
      <c r="G564" t="n">
        <v>8.9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32218-2024</t>
        </is>
      </c>
      <c r="B565" s="1" t="n">
        <v>45511</v>
      </c>
      <c r="C565" s="1" t="n">
        <v>45702</v>
      </c>
      <c r="D565" t="inlineStr">
        <is>
          <t>VÄSTERBOTTENS LÄN</t>
        </is>
      </c>
      <c r="E565" t="inlineStr">
        <is>
          <t>DOROTEA</t>
        </is>
      </c>
      <c r="G565" t="n">
        <v>1.8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32821-2024</t>
        </is>
      </c>
      <c r="B566" s="1" t="n">
        <v>45516</v>
      </c>
      <c r="C566" s="1" t="n">
        <v>45702</v>
      </c>
      <c r="D566" t="inlineStr">
        <is>
          <t>VÄSTERBOTTENS LÄN</t>
        </is>
      </c>
      <c r="E566" t="inlineStr">
        <is>
          <t>DOROTEA</t>
        </is>
      </c>
      <c r="G566" t="n">
        <v>3.5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33113-2024</t>
        </is>
      </c>
      <c r="B567" s="1" t="n">
        <v>45517</v>
      </c>
      <c r="C567" s="1" t="n">
        <v>45702</v>
      </c>
      <c r="D567" t="inlineStr">
        <is>
          <t>VÄSTERBOTTENS LÄN</t>
        </is>
      </c>
      <c r="E567" t="inlineStr">
        <is>
          <t>DOROTEA</t>
        </is>
      </c>
      <c r="G567" t="n">
        <v>2.2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33114-2024</t>
        </is>
      </c>
      <c r="B568" s="1" t="n">
        <v>45517</v>
      </c>
      <c r="C568" s="1" t="n">
        <v>45702</v>
      </c>
      <c r="D568" t="inlineStr">
        <is>
          <t>VÄSTERBOTTENS LÄN</t>
        </is>
      </c>
      <c r="E568" t="inlineStr">
        <is>
          <t>DOROTEA</t>
        </is>
      </c>
      <c r="G568" t="n">
        <v>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33372-2024</t>
        </is>
      </c>
      <c r="B569" s="1" t="n">
        <v>45519</v>
      </c>
      <c r="C569" s="1" t="n">
        <v>45702</v>
      </c>
      <c r="D569" t="inlineStr">
        <is>
          <t>VÄSTERBOTTENS LÄN</t>
        </is>
      </c>
      <c r="E569" t="inlineStr">
        <is>
          <t>DOROTEA</t>
        </is>
      </c>
      <c r="G569" t="n">
        <v>8.9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33738-2024</t>
        </is>
      </c>
      <c r="B570" s="1" t="n">
        <v>45520</v>
      </c>
      <c r="C570" s="1" t="n">
        <v>45702</v>
      </c>
      <c r="D570" t="inlineStr">
        <is>
          <t>VÄSTERBOTTENS LÄN</t>
        </is>
      </c>
      <c r="E570" t="inlineStr">
        <is>
          <t>DOROTEA</t>
        </is>
      </c>
      <c r="G570" t="n">
        <v>11.1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34768-2024</t>
        </is>
      </c>
      <c r="B571" s="1" t="n">
        <v>45526</v>
      </c>
      <c r="C571" s="1" t="n">
        <v>45702</v>
      </c>
      <c r="D571" t="inlineStr">
        <is>
          <t>VÄSTERBOTTENS LÄN</t>
        </is>
      </c>
      <c r="E571" t="inlineStr">
        <is>
          <t>DOROTEA</t>
        </is>
      </c>
      <c r="F571" t="inlineStr">
        <is>
          <t>SCA</t>
        </is>
      </c>
      <c r="G571" t="n">
        <v>28.1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35431-2024</t>
        </is>
      </c>
      <c r="B572" s="1" t="n">
        <v>45531</v>
      </c>
      <c r="C572" s="1" t="n">
        <v>45702</v>
      </c>
      <c r="D572" t="inlineStr">
        <is>
          <t>VÄSTERBOTTENS LÄN</t>
        </is>
      </c>
      <c r="E572" t="inlineStr">
        <is>
          <t>DOROTEA</t>
        </is>
      </c>
      <c r="G572" t="n">
        <v>2.2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35404-2024</t>
        </is>
      </c>
      <c r="B573" s="1" t="n">
        <v>45531</v>
      </c>
      <c r="C573" s="1" t="n">
        <v>45702</v>
      </c>
      <c r="D573" t="inlineStr">
        <is>
          <t>VÄSTERBOTTENS LÄN</t>
        </is>
      </c>
      <c r="E573" t="inlineStr">
        <is>
          <t>DOROTEA</t>
        </is>
      </c>
      <c r="F573" t="inlineStr">
        <is>
          <t>SCA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36354-2024</t>
        </is>
      </c>
      <c r="B574" s="1" t="n">
        <v>45534</v>
      </c>
      <c r="C574" s="1" t="n">
        <v>45702</v>
      </c>
      <c r="D574" t="inlineStr">
        <is>
          <t>VÄSTERBOTTENS LÄN</t>
        </is>
      </c>
      <c r="E574" t="inlineStr">
        <is>
          <t>DOROTEA</t>
        </is>
      </c>
      <c r="F574" t="inlineStr">
        <is>
          <t>SCA</t>
        </is>
      </c>
      <c r="G574" t="n">
        <v>4.2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36410-2024</t>
        </is>
      </c>
      <c r="B575" s="1" t="n">
        <v>45535</v>
      </c>
      <c r="C575" s="1" t="n">
        <v>45702</v>
      </c>
      <c r="D575" t="inlineStr">
        <is>
          <t>VÄSTERBOTTENS LÄN</t>
        </is>
      </c>
      <c r="E575" t="inlineStr">
        <is>
          <t>DOROTEA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36409-2024</t>
        </is>
      </c>
      <c r="B576" s="1" t="n">
        <v>45535</v>
      </c>
      <c r="C576" s="1" t="n">
        <v>45702</v>
      </c>
      <c r="D576" t="inlineStr">
        <is>
          <t>VÄSTERBOTTENS LÄN</t>
        </is>
      </c>
      <c r="E576" t="inlineStr">
        <is>
          <t>DOROTEA</t>
        </is>
      </c>
      <c r="G576" t="n">
        <v>8.1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36564-2024</t>
        </is>
      </c>
      <c r="B577" s="1" t="n">
        <v>45537</v>
      </c>
      <c r="C577" s="1" t="n">
        <v>45702</v>
      </c>
      <c r="D577" t="inlineStr">
        <is>
          <t>VÄSTERBOTTENS LÄN</t>
        </is>
      </c>
      <c r="E577" t="inlineStr">
        <is>
          <t>DOROTEA</t>
        </is>
      </c>
      <c r="G577" t="n">
        <v>5.9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37105-2024</t>
        </is>
      </c>
      <c r="B578" s="1" t="n">
        <v>45539</v>
      </c>
      <c r="C578" s="1" t="n">
        <v>45702</v>
      </c>
      <c r="D578" t="inlineStr">
        <is>
          <t>VÄSTERBOTTENS LÄN</t>
        </is>
      </c>
      <c r="E578" t="inlineStr">
        <is>
          <t>DOROTEA</t>
        </is>
      </c>
      <c r="F578" t="inlineStr">
        <is>
          <t>SCA</t>
        </is>
      </c>
      <c r="G578" t="n">
        <v>11.4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37072-2024</t>
        </is>
      </c>
      <c r="B579" s="1" t="n">
        <v>45539</v>
      </c>
      <c r="C579" s="1" t="n">
        <v>45702</v>
      </c>
      <c r="D579" t="inlineStr">
        <is>
          <t>VÄSTERBOTTENS LÄN</t>
        </is>
      </c>
      <c r="E579" t="inlineStr">
        <is>
          <t>DOROTEA</t>
        </is>
      </c>
      <c r="F579" t="inlineStr">
        <is>
          <t>SCA</t>
        </is>
      </c>
      <c r="G579" t="n">
        <v>9.199999999999999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38174-2024</t>
        </is>
      </c>
      <c r="B580" s="1" t="n">
        <v>45545</v>
      </c>
      <c r="C580" s="1" t="n">
        <v>45702</v>
      </c>
      <c r="D580" t="inlineStr">
        <is>
          <t>VÄSTERBOTTENS LÄN</t>
        </is>
      </c>
      <c r="E580" t="inlineStr">
        <is>
          <t>DOROTEA</t>
        </is>
      </c>
      <c r="F580" t="inlineStr">
        <is>
          <t>SCA</t>
        </is>
      </c>
      <c r="G580" t="n">
        <v>13.6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38205-2024</t>
        </is>
      </c>
      <c r="B581" s="1" t="n">
        <v>45545</v>
      </c>
      <c r="C581" s="1" t="n">
        <v>45702</v>
      </c>
      <c r="D581" t="inlineStr">
        <is>
          <t>VÄSTERBOTTENS LÄN</t>
        </is>
      </c>
      <c r="E581" t="inlineStr">
        <is>
          <t>DOROTEA</t>
        </is>
      </c>
      <c r="F581" t="inlineStr">
        <is>
          <t>SCA</t>
        </is>
      </c>
      <c r="G581" t="n">
        <v>12.9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38700-2024</t>
        </is>
      </c>
      <c r="B582" s="1" t="n">
        <v>45547</v>
      </c>
      <c r="C582" s="1" t="n">
        <v>45702</v>
      </c>
      <c r="D582" t="inlineStr">
        <is>
          <t>VÄSTERBOTTENS LÄN</t>
        </is>
      </c>
      <c r="E582" t="inlineStr">
        <is>
          <t>DOROTEA</t>
        </is>
      </c>
      <c r="G582" t="n">
        <v>1.9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38697-2024</t>
        </is>
      </c>
      <c r="B583" s="1" t="n">
        <v>45547</v>
      </c>
      <c r="C583" s="1" t="n">
        <v>45702</v>
      </c>
      <c r="D583" t="inlineStr">
        <is>
          <t>VÄSTERBOTTENS LÄN</t>
        </is>
      </c>
      <c r="E583" t="inlineStr">
        <is>
          <t>DOROTEA</t>
        </is>
      </c>
      <c r="G583" t="n">
        <v>8.199999999999999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39470-2024</t>
        </is>
      </c>
      <c r="B584" s="1" t="n">
        <v>45551</v>
      </c>
      <c r="C584" s="1" t="n">
        <v>45702</v>
      </c>
      <c r="D584" t="inlineStr">
        <is>
          <t>VÄSTERBOTTENS LÄN</t>
        </is>
      </c>
      <c r="E584" t="inlineStr">
        <is>
          <t>DOROTEA</t>
        </is>
      </c>
      <c r="G584" t="n">
        <v>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39471-2024</t>
        </is>
      </c>
      <c r="B585" s="1" t="n">
        <v>45551</v>
      </c>
      <c r="C585" s="1" t="n">
        <v>45702</v>
      </c>
      <c r="D585" t="inlineStr">
        <is>
          <t>VÄSTERBOTTENS LÄN</t>
        </is>
      </c>
      <c r="E585" t="inlineStr">
        <is>
          <t>DOROTEA</t>
        </is>
      </c>
      <c r="G585" t="n">
        <v>1.9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39721-2024</t>
        </is>
      </c>
      <c r="B586" s="1" t="n">
        <v>45552</v>
      </c>
      <c r="C586" s="1" t="n">
        <v>45702</v>
      </c>
      <c r="D586" t="inlineStr">
        <is>
          <t>VÄSTERBOTTENS LÄN</t>
        </is>
      </c>
      <c r="E586" t="inlineStr">
        <is>
          <t>DOROTEA</t>
        </is>
      </c>
      <c r="F586" t="inlineStr">
        <is>
          <t>SCA</t>
        </is>
      </c>
      <c r="G586" t="n">
        <v>2.2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40013-2024</t>
        </is>
      </c>
      <c r="B587" s="1" t="n">
        <v>45553</v>
      </c>
      <c r="C587" s="1" t="n">
        <v>45702</v>
      </c>
      <c r="D587" t="inlineStr">
        <is>
          <t>VÄSTERBOTTENS LÄN</t>
        </is>
      </c>
      <c r="E587" t="inlineStr">
        <is>
          <t>DOROTEA</t>
        </is>
      </c>
      <c r="F587" t="inlineStr">
        <is>
          <t>Övriga statliga verk och myndigheter</t>
        </is>
      </c>
      <c r="G587" t="n">
        <v>1.5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40004-2024</t>
        </is>
      </c>
      <c r="B588" s="1" t="n">
        <v>45553</v>
      </c>
      <c r="C588" s="1" t="n">
        <v>45702</v>
      </c>
      <c r="D588" t="inlineStr">
        <is>
          <t>VÄSTERBOTTENS LÄN</t>
        </is>
      </c>
      <c r="E588" t="inlineStr">
        <is>
          <t>DOROTEA</t>
        </is>
      </c>
      <c r="F588" t="inlineStr">
        <is>
          <t>Övriga statliga verk och myndigheter</t>
        </is>
      </c>
      <c r="G588" t="n">
        <v>0.9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40599-2024</t>
        </is>
      </c>
      <c r="B589" s="1" t="n">
        <v>45556</v>
      </c>
      <c r="C589" s="1" t="n">
        <v>45702</v>
      </c>
      <c r="D589" t="inlineStr">
        <is>
          <t>VÄSTERBOTTENS LÄN</t>
        </is>
      </c>
      <c r="E589" t="inlineStr">
        <is>
          <t>DOROTEA</t>
        </is>
      </c>
      <c r="G589" t="n">
        <v>5.8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41488-2024</t>
        </is>
      </c>
      <c r="B590" s="1" t="n">
        <v>45560</v>
      </c>
      <c r="C590" s="1" t="n">
        <v>45702</v>
      </c>
      <c r="D590" t="inlineStr">
        <is>
          <t>VÄSTERBOTTENS LÄN</t>
        </is>
      </c>
      <c r="E590" t="inlineStr">
        <is>
          <t>DOROTEA</t>
        </is>
      </c>
      <c r="F590" t="inlineStr">
        <is>
          <t>SCA</t>
        </is>
      </c>
      <c r="G590" t="n">
        <v>4.8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41562-2024</t>
        </is>
      </c>
      <c r="B591" s="1" t="n">
        <v>45560</v>
      </c>
      <c r="C591" s="1" t="n">
        <v>45702</v>
      </c>
      <c r="D591" t="inlineStr">
        <is>
          <t>VÄSTERBOTTENS LÄN</t>
        </is>
      </c>
      <c r="E591" t="inlineStr">
        <is>
          <t>DOROTEA</t>
        </is>
      </c>
      <c r="F591" t="inlineStr">
        <is>
          <t>SCA</t>
        </is>
      </c>
      <c r="G591" t="n">
        <v>2.1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41771-2024</t>
        </is>
      </c>
      <c r="B592" s="1" t="n">
        <v>45561</v>
      </c>
      <c r="C592" s="1" t="n">
        <v>45702</v>
      </c>
      <c r="D592" t="inlineStr">
        <is>
          <t>VÄSTERBOTTENS LÄN</t>
        </is>
      </c>
      <c r="E592" t="inlineStr">
        <is>
          <t>DOROTEA</t>
        </is>
      </c>
      <c r="F592" t="inlineStr">
        <is>
          <t>SCA</t>
        </is>
      </c>
      <c r="G592" t="n">
        <v>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41760-2024</t>
        </is>
      </c>
      <c r="B593" s="1" t="n">
        <v>45561</v>
      </c>
      <c r="C593" s="1" t="n">
        <v>45702</v>
      </c>
      <c r="D593" t="inlineStr">
        <is>
          <t>VÄSTERBOTTENS LÄN</t>
        </is>
      </c>
      <c r="E593" t="inlineStr">
        <is>
          <t>DOROTEA</t>
        </is>
      </c>
      <c r="F593" t="inlineStr">
        <is>
          <t>SCA</t>
        </is>
      </c>
      <c r="G593" t="n">
        <v>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42104-2024</t>
        </is>
      </c>
      <c r="B594" s="1" t="n">
        <v>45562</v>
      </c>
      <c r="C594" s="1" t="n">
        <v>45702</v>
      </c>
      <c r="D594" t="inlineStr">
        <is>
          <t>VÄSTERBOTTENS LÄN</t>
        </is>
      </c>
      <c r="E594" t="inlineStr">
        <is>
          <t>DOROTEA</t>
        </is>
      </c>
      <c r="F594" t="inlineStr">
        <is>
          <t>SCA</t>
        </is>
      </c>
      <c r="G594" t="n">
        <v>3.7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42228-2024</t>
        </is>
      </c>
      <c r="B595" s="1" t="n">
        <v>45562</v>
      </c>
      <c r="C595" s="1" t="n">
        <v>45702</v>
      </c>
      <c r="D595" t="inlineStr">
        <is>
          <t>VÄSTERBOTTENS LÄN</t>
        </is>
      </c>
      <c r="E595" t="inlineStr">
        <is>
          <t>DOROTEA</t>
        </is>
      </c>
      <c r="F595" t="inlineStr">
        <is>
          <t>SCA</t>
        </is>
      </c>
      <c r="G595" t="n">
        <v>7.7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42473-2024</t>
        </is>
      </c>
      <c r="B596" s="1" t="n">
        <v>45565</v>
      </c>
      <c r="C596" s="1" t="n">
        <v>45702</v>
      </c>
      <c r="D596" t="inlineStr">
        <is>
          <t>VÄSTERBOTTENS LÄN</t>
        </is>
      </c>
      <c r="E596" t="inlineStr">
        <is>
          <t>DOROTEA</t>
        </is>
      </c>
      <c r="F596" t="inlineStr">
        <is>
          <t>SCA</t>
        </is>
      </c>
      <c r="G596" t="n">
        <v>2.6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42484-2024</t>
        </is>
      </c>
      <c r="B597" s="1" t="n">
        <v>45565</v>
      </c>
      <c r="C597" s="1" t="n">
        <v>45702</v>
      </c>
      <c r="D597" t="inlineStr">
        <is>
          <t>VÄSTERBOTTENS LÄN</t>
        </is>
      </c>
      <c r="E597" t="inlineStr">
        <is>
          <t>DOROTEA</t>
        </is>
      </c>
      <c r="F597" t="inlineStr">
        <is>
          <t>SCA</t>
        </is>
      </c>
      <c r="G597" t="n">
        <v>1.6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42889-2024</t>
        </is>
      </c>
      <c r="B598" s="1" t="n">
        <v>45566</v>
      </c>
      <c r="C598" s="1" t="n">
        <v>45702</v>
      </c>
      <c r="D598" t="inlineStr">
        <is>
          <t>VÄSTERBOTTENS LÄN</t>
        </is>
      </c>
      <c r="E598" t="inlineStr">
        <is>
          <t>DOROTEA</t>
        </is>
      </c>
      <c r="G598" t="n">
        <v>0.6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43944-2024</t>
        </is>
      </c>
      <c r="B599" s="1" t="n">
        <v>45572</v>
      </c>
      <c r="C599" s="1" t="n">
        <v>45702</v>
      </c>
      <c r="D599" t="inlineStr">
        <is>
          <t>VÄSTERBOTTENS LÄN</t>
        </is>
      </c>
      <c r="E599" t="inlineStr">
        <is>
          <t>DOROTEA</t>
        </is>
      </c>
      <c r="F599" t="inlineStr">
        <is>
          <t>SCA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44311-2024</t>
        </is>
      </c>
      <c r="B600" s="1" t="n">
        <v>45573</v>
      </c>
      <c r="C600" s="1" t="n">
        <v>45702</v>
      </c>
      <c r="D600" t="inlineStr">
        <is>
          <t>VÄSTERBOTTENS LÄN</t>
        </is>
      </c>
      <c r="E600" t="inlineStr">
        <is>
          <t>DOROTEA</t>
        </is>
      </c>
      <c r="F600" t="inlineStr">
        <is>
          <t>SCA</t>
        </is>
      </c>
      <c r="G600" t="n">
        <v>5.1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44820-2024</t>
        </is>
      </c>
      <c r="B601" s="1" t="n">
        <v>45574</v>
      </c>
      <c r="C601" s="1" t="n">
        <v>45702</v>
      </c>
      <c r="D601" t="inlineStr">
        <is>
          <t>VÄSTERBOTTENS LÄN</t>
        </is>
      </c>
      <c r="E601" t="inlineStr">
        <is>
          <t>DOROTEA</t>
        </is>
      </c>
      <c r="F601" t="inlineStr">
        <is>
          <t>SCA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44620-2024</t>
        </is>
      </c>
      <c r="B602" s="1" t="n">
        <v>45574</v>
      </c>
      <c r="C602" s="1" t="n">
        <v>45702</v>
      </c>
      <c r="D602" t="inlineStr">
        <is>
          <t>VÄSTERBOTTENS LÄN</t>
        </is>
      </c>
      <c r="E602" t="inlineStr">
        <is>
          <t>DOROTEA</t>
        </is>
      </c>
      <c r="F602" t="inlineStr">
        <is>
          <t>SCA</t>
        </is>
      </c>
      <c r="G602" t="n">
        <v>7.6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45306-2024</t>
        </is>
      </c>
      <c r="B603" s="1" t="n">
        <v>45576</v>
      </c>
      <c r="C603" s="1" t="n">
        <v>45702</v>
      </c>
      <c r="D603" t="inlineStr">
        <is>
          <t>VÄSTERBOTTENS LÄN</t>
        </is>
      </c>
      <c r="E603" t="inlineStr">
        <is>
          <t>DOROTEA</t>
        </is>
      </c>
      <c r="F603" t="inlineStr">
        <is>
          <t>SCA</t>
        </is>
      </c>
      <c r="G603" t="n">
        <v>36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46353-2024</t>
        </is>
      </c>
      <c r="B604" s="1" t="n">
        <v>45582</v>
      </c>
      <c r="C604" s="1" t="n">
        <v>45702</v>
      </c>
      <c r="D604" t="inlineStr">
        <is>
          <t>VÄSTERBOTTENS LÄN</t>
        </is>
      </c>
      <c r="E604" t="inlineStr">
        <is>
          <t>DOROTEA</t>
        </is>
      </c>
      <c r="F604" t="inlineStr">
        <is>
          <t>SCA</t>
        </is>
      </c>
      <c r="G604" t="n">
        <v>20.5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46379-2024</t>
        </is>
      </c>
      <c r="B605" s="1" t="n">
        <v>45582</v>
      </c>
      <c r="C605" s="1" t="n">
        <v>45702</v>
      </c>
      <c r="D605" t="inlineStr">
        <is>
          <t>VÄSTERBOTTENS LÄN</t>
        </is>
      </c>
      <c r="E605" t="inlineStr">
        <is>
          <t>DOROTEA</t>
        </is>
      </c>
      <c r="F605" t="inlineStr">
        <is>
          <t>SCA</t>
        </is>
      </c>
      <c r="G605" t="n">
        <v>2.3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46768-2024</t>
        </is>
      </c>
      <c r="B606" s="1" t="n">
        <v>45583</v>
      </c>
      <c r="C606" s="1" t="n">
        <v>45702</v>
      </c>
      <c r="D606" t="inlineStr">
        <is>
          <t>VÄSTERBOTTENS LÄN</t>
        </is>
      </c>
      <c r="E606" t="inlineStr">
        <is>
          <t>DOROTEA</t>
        </is>
      </c>
      <c r="F606" t="inlineStr">
        <is>
          <t>SCA</t>
        </is>
      </c>
      <c r="G606" t="n">
        <v>2.3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46848-2024</t>
        </is>
      </c>
      <c r="B607" s="1" t="n">
        <v>45583</v>
      </c>
      <c r="C607" s="1" t="n">
        <v>45702</v>
      </c>
      <c r="D607" t="inlineStr">
        <is>
          <t>VÄSTERBOTTENS LÄN</t>
        </is>
      </c>
      <c r="E607" t="inlineStr">
        <is>
          <t>DOROTEA</t>
        </is>
      </c>
      <c r="F607" t="inlineStr">
        <is>
          <t>SCA</t>
        </is>
      </c>
      <c r="G607" t="n">
        <v>2.4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46837-2024</t>
        </is>
      </c>
      <c r="B608" s="1" t="n">
        <v>45583</v>
      </c>
      <c r="C608" s="1" t="n">
        <v>45702</v>
      </c>
      <c r="D608" t="inlineStr">
        <is>
          <t>VÄSTERBOTTENS LÄN</t>
        </is>
      </c>
      <c r="E608" t="inlineStr">
        <is>
          <t>DOROTEA</t>
        </is>
      </c>
      <c r="F608" t="inlineStr">
        <is>
          <t>SCA</t>
        </is>
      </c>
      <c r="G608" t="n">
        <v>7.7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46849-2024</t>
        </is>
      </c>
      <c r="B609" s="1" t="n">
        <v>45583</v>
      </c>
      <c r="C609" s="1" t="n">
        <v>45702</v>
      </c>
      <c r="D609" t="inlineStr">
        <is>
          <t>VÄSTERBOTTENS LÄN</t>
        </is>
      </c>
      <c r="E609" t="inlineStr">
        <is>
          <t>DOROTEA</t>
        </is>
      </c>
      <c r="F609" t="inlineStr">
        <is>
          <t>SCA</t>
        </is>
      </c>
      <c r="G609" t="n">
        <v>0.7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46966-2024</t>
        </is>
      </c>
      <c r="B610" s="1" t="n">
        <v>45586</v>
      </c>
      <c r="C610" s="1" t="n">
        <v>45702</v>
      </c>
      <c r="D610" t="inlineStr">
        <is>
          <t>VÄSTERBOTTENS LÄN</t>
        </is>
      </c>
      <c r="E610" t="inlineStr">
        <is>
          <t>DOROTEA</t>
        </is>
      </c>
      <c r="F610" t="inlineStr">
        <is>
          <t>Sveaskog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46965-2024</t>
        </is>
      </c>
      <c r="B611" s="1" t="n">
        <v>45586</v>
      </c>
      <c r="C611" s="1" t="n">
        <v>45702</v>
      </c>
      <c r="D611" t="inlineStr">
        <is>
          <t>VÄSTERBOTTENS LÄN</t>
        </is>
      </c>
      <c r="E611" t="inlineStr">
        <is>
          <t>DOROTEA</t>
        </is>
      </c>
      <c r="F611" t="inlineStr">
        <is>
          <t>Sveaskog</t>
        </is>
      </c>
      <c r="G611" t="n">
        <v>1.7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47847-2024</t>
        </is>
      </c>
      <c r="B612" s="1" t="n">
        <v>45588</v>
      </c>
      <c r="C612" s="1" t="n">
        <v>45702</v>
      </c>
      <c r="D612" t="inlineStr">
        <is>
          <t>VÄSTERBOTTENS LÄN</t>
        </is>
      </c>
      <c r="E612" t="inlineStr">
        <is>
          <t>DOROTEA</t>
        </is>
      </c>
      <c r="F612" t="inlineStr">
        <is>
          <t>SCA</t>
        </is>
      </c>
      <c r="G612" t="n">
        <v>9.199999999999999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48488-2024</t>
        </is>
      </c>
      <c r="B613" s="1" t="n">
        <v>45592</v>
      </c>
      <c r="C613" s="1" t="n">
        <v>45702</v>
      </c>
      <c r="D613" t="inlineStr">
        <is>
          <t>VÄSTERBOTTENS LÄN</t>
        </is>
      </c>
      <c r="E613" t="inlineStr">
        <is>
          <t>DOROTEA</t>
        </is>
      </c>
      <c r="F613" t="inlineStr">
        <is>
          <t>SCA</t>
        </is>
      </c>
      <c r="G613" t="n">
        <v>34.4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48773-2024</t>
        </is>
      </c>
      <c r="B614" s="1" t="n">
        <v>45593</v>
      </c>
      <c r="C614" s="1" t="n">
        <v>45702</v>
      </c>
      <c r="D614" t="inlineStr">
        <is>
          <t>VÄSTERBOTTENS LÄN</t>
        </is>
      </c>
      <c r="E614" t="inlineStr">
        <is>
          <t>DOROTEA</t>
        </is>
      </c>
      <c r="F614" t="inlineStr">
        <is>
          <t>SCA</t>
        </is>
      </c>
      <c r="G614" t="n">
        <v>1.6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49528-2024</t>
        </is>
      </c>
      <c r="B615" s="1" t="n">
        <v>45596</v>
      </c>
      <c r="C615" s="1" t="n">
        <v>45702</v>
      </c>
      <c r="D615" t="inlineStr">
        <is>
          <t>VÄSTERBOTTENS LÄN</t>
        </is>
      </c>
      <c r="E615" t="inlineStr">
        <is>
          <t>DOROTEA</t>
        </is>
      </c>
      <c r="F615" t="inlineStr">
        <is>
          <t>SCA</t>
        </is>
      </c>
      <c r="G615" t="n">
        <v>59.7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50582-2024</t>
        </is>
      </c>
      <c r="B616" s="1" t="n">
        <v>45600</v>
      </c>
      <c r="C616" s="1" t="n">
        <v>45702</v>
      </c>
      <c r="D616" t="inlineStr">
        <is>
          <t>VÄSTERBOTTENS LÄN</t>
        </is>
      </c>
      <c r="E616" t="inlineStr">
        <is>
          <t>DOROTEA</t>
        </is>
      </c>
      <c r="G616" t="n">
        <v>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51061-2024</t>
        </is>
      </c>
      <c r="B617" s="1" t="n">
        <v>45603</v>
      </c>
      <c r="C617" s="1" t="n">
        <v>45702</v>
      </c>
      <c r="D617" t="inlineStr">
        <is>
          <t>VÄSTERBOTTENS LÄN</t>
        </is>
      </c>
      <c r="E617" t="inlineStr">
        <is>
          <t>DOROTEA</t>
        </is>
      </c>
      <c r="F617" t="inlineStr">
        <is>
          <t>SCA</t>
        </is>
      </c>
      <c r="G617" t="n">
        <v>5.2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51741-2024</t>
        </is>
      </c>
      <c r="B618" s="1" t="n">
        <v>45607</v>
      </c>
      <c r="C618" s="1" t="n">
        <v>45702</v>
      </c>
      <c r="D618" t="inlineStr">
        <is>
          <t>VÄSTERBOTTENS LÄN</t>
        </is>
      </c>
      <c r="E618" t="inlineStr">
        <is>
          <t>DOROTEA</t>
        </is>
      </c>
      <c r="F618" t="inlineStr">
        <is>
          <t>SCA</t>
        </is>
      </c>
      <c r="G618" t="n">
        <v>2.1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51740-2024</t>
        </is>
      </c>
      <c r="B619" s="1" t="n">
        <v>45607</v>
      </c>
      <c r="C619" s="1" t="n">
        <v>45702</v>
      </c>
      <c r="D619" t="inlineStr">
        <is>
          <t>VÄSTERBOTTENS LÄN</t>
        </is>
      </c>
      <c r="E619" t="inlineStr">
        <is>
          <t>DOROTEA</t>
        </is>
      </c>
      <c r="F619" t="inlineStr">
        <is>
          <t>SCA</t>
        </is>
      </c>
      <c r="G619" t="n">
        <v>5.2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51945-2024</t>
        </is>
      </c>
      <c r="B620" s="1" t="n">
        <v>45607</v>
      </c>
      <c r="C620" s="1" t="n">
        <v>45702</v>
      </c>
      <c r="D620" t="inlineStr">
        <is>
          <t>VÄSTERBOTTENS LÄN</t>
        </is>
      </c>
      <c r="E620" t="inlineStr">
        <is>
          <t>DOROTEA</t>
        </is>
      </c>
      <c r="F620" t="inlineStr">
        <is>
          <t>SCA</t>
        </is>
      </c>
      <c r="G620" t="n">
        <v>21.3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52680-2024</t>
        </is>
      </c>
      <c r="B621" s="1" t="n">
        <v>45610</v>
      </c>
      <c r="C621" s="1" t="n">
        <v>45702</v>
      </c>
      <c r="D621" t="inlineStr">
        <is>
          <t>VÄSTERBOTTENS LÄN</t>
        </is>
      </c>
      <c r="E621" t="inlineStr">
        <is>
          <t>DOROTEA</t>
        </is>
      </c>
      <c r="F621" t="inlineStr">
        <is>
          <t>SCA</t>
        </is>
      </c>
      <c r="G621" t="n">
        <v>7.2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52679-2024</t>
        </is>
      </c>
      <c r="B622" s="1" t="n">
        <v>45610</v>
      </c>
      <c r="C622" s="1" t="n">
        <v>45702</v>
      </c>
      <c r="D622" t="inlineStr">
        <is>
          <t>VÄSTERBOTTENS LÄN</t>
        </is>
      </c>
      <c r="E622" t="inlineStr">
        <is>
          <t>DOROTEA</t>
        </is>
      </c>
      <c r="F622" t="inlineStr">
        <is>
          <t>SCA</t>
        </is>
      </c>
      <c r="G622" t="n">
        <v>10.3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52899-2024</t>
        </is>
      </c>
      <c r="B623" s="1" t="n">
        <v>45610</v>
      </c>
      <c r="C623" s="1" t="n">
        <v>45702</v>
      </c>
      <c r="D623" t="inlineStr">
        <is>
          <t>VÄSTERBOTTENS LÄN</t>
        </is>
      </c>
      <c r="E623" t="inlineStr">
        <is>
          <t>DOROTEA</t>
        </is>
      </c>
      <c r="F623" t="inlineStr">
        <is>
          <t>SCA</t>
        </is>
      </c>
      <c r="G623" t="n">
        <v>12.4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52678-2024</t>
        </is>
      </c>
      <c r="B624" s="1" t="n">
        <v>45610</v>
      </c>
      <c r="C624" s="1" t="n">
        <v>45702</v>
      </c>
      <c r="D624" t="inlineStr">
        <is>
          <t>VÄSTERBOTTENS LÄN</t>
        </is>
      </c>
      <c r="E624" t="inlineStr">
        <is>
          <t>DOROTEA</t>
        </is>
      </c>
      <c r="F624" t="inlineStr">
        <is>
          <t>Övriga Aktiebolag</t>
        </is>
      </c>
      <c r="G624" t="n">
        <v>5.2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53092-2024</t>
        </is>
      </c>
      <c r="B625" s="1" t="n">
        <v>45611</v>
      </c>
      <c r="C625" s="1" t="n">
        <v>45702</v>
      </c>
      <c r="D625" t="inlineStr">
        <is>
          <t>VÄSTERBOTTENS LÄN</t>
        </is>
      </c>
      <c r="E625" t="inlineStr">
        <is>
          <t>DOROTEA</t>
        </is>
      </c>
      <c r="G625" t="n">
        <v>3.2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53469-2024</t>
        </is>
      </c>
      <c r="B626" s="1" t="n">
        <v>45611</v>
      </c>
      <c r="C626" s="1" t="n">
        <v>45702</v>
      </c>
      <c r="D626" t="inlineStr">
        <is>
          <t>VÄSTERBOTTENS LÄN</t>
        </is>
      </c>
      <c r="E626" t="inlineStr">
        <is>
          <t>DOROTEA</t>
        </is>
      </c>
      <c r="G626" t="n">
        <v>5.5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53377-2024</t>
        </is>
      </c>
      <c r="B627" s="1" t="n">
        <v>45614</v>
      </c>
      <c r="C627" s="1" t="n">
        <v>45702</v>
      </c>
      <c r="D627" t="inlineStr">
        <is>
          <t>VÄSTERBOTTENS LÄN</t>
        </is>
      </c>
      <c r="E627" t="inlineStr">
        <is>
          <t>DOROTEA</t>
        </is>
      </c>
      <c r="G627" t="n">
        <v>17.6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53607-2024</t>
        </is>
      </c>
      <c r="B628" s="1" t="n">
        <v>45614</v>
      </c>
      <c r="C628" s="1" t="n">
        <v>45702</v>
      </c>
      <c r="D628" t="inlineStr">
        <is>
          <t>VÄSTERBOTTENS LÄN</t>
        </is>
      </c>
      <c r="E628" t="inlineStr">
        <is>
          <t>DOROTEA</t>
        </is>
      </c>
      <c r="F628" t="inlineStr">
        <is>
          <t>SCA</t>
        </is>
      </c>
      <c r="G628" t="n">
        <v>25.5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53274-2024</t>
        </is>
      </c>
      <c r="B629" s="1" t="n">
        <v>45614</v>
      </c>
      <c r="C629" s="1" t="n">
        <v>45702</v>
      </c>
      <c r="D629" t="inlineStr">
        <is>
          <t>VÄSTERBOTTENS LÄN</t>
        </is>
      </c>
      <c r="E629" t="inlineStr">
        <is>
          <t>DOROTEA</t>
        </is>
      </c>
      <c r="G629" t="n">
        <v>15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53382-2024</t>
        </is>
      </c>
      <c r="B630" s="1" t="n">
        <v>45614</v>
      </c>
      <c r="C630" s="1" t="n">
        <v>45702</v>
      </c>
      <c r="D630" t="inlineStr">
        <is>
          <t>VÄSTERBOTTENS LÄN</t>
        </is>
      </c>
      <c r="E630" t="inlineStr">
        <is>
          <t>DOROTEA</t>
        </is>
      </c>
      <c r="G630" t="n">
        <v>11.2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53272-2024</t>
        </is>
      </c>
      <c r="B631" s="1" t="n">
        <v>45614</v>
      </c>
      <c r="C631" s="1" t="n">
        <v>45702</v>
      </c>
      <c r="D631" t="inlineStr">
        <is>
          <t>VÄSTERBOTTENS LÄN</t>
        </is>
      </c>
      <c r="E631" t="inlineStr">
        <is>
          <t>DOROTEA</t>
        </is>
      </c>
      <c r="G631" t="n">
        <v>31.7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53380-2024</t>
        </is>
      </c>
      <c r="B632" s="1" t="n">
        <v>45614</v>
      </c>
      <c r="C632" s="1" t="n">
        <v>45702</v>
      </c>
      <c r="D632" t="inlineStr">
        <is>
          <t>VÄSTERBOTTENS LÄN</t>
        </is>
      </c>
      <c r="E632" t="inlineStr">
        <is>
          <t>DOROTEA</t>
        </is>
      </c>
      <c r="G632" t="n">
        <v>12.8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53357-2024</t>
        </is>
      </c>
      <c r="B633" s="1" t="n">
        <v>45614</v>
      </c>
      <c r="C633" s="1" t="n">
        <v>45702</v>
      </c>
      <c r="D633" t="inlineStr">
        <is>
          <t>VÄSTERBOTTENS LÄN</t>
        </is>
      </c>
      <c r="E633" t="inlineStr">
        <is>
          <t>DOROTEA</t>
        </is>
      </c>
      <c r="G633" t="n">
        <v>26.5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53883-2024</t>
        </is>
      </c>
      <c r="B634" s="1" t="n">
        <v>45615</v>
      </c>
      <c r="C634" s="1" t="n">
        <v>45702</v>
      </c>
      <c r="D634" t="inlineStr">
        <is>
          <t>VÄSTERBOTTENS LÄN</t>
        </is>
      </c>
      <c r="E634" t="inlineStr">
        <is>
          <t>DOROTEA</t>
        </is>
      </c>
      <c r="F634" t="inlineStr">
        <is>
          <t>Övriga Aktiebolag</t>
        </is>
      </c>
      <c r="G634" t="n">
        <v>4.4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53882-2024</t>
        </is>
      </c>
      <c r="B635" s="1" t="n">
        <v>45615</v>
      </c>
      <c r="C635" s="1" t="n">
        <v>45702</v>
      </c>
      <c r="D635" t="inlineStr">
        <is>
          <t>VÄSTERBOTTENS LÄN</t>
        </is>
      </c>
      <c r="E635" t="inlineStr">
        <is>
          <t>DOROTEA</t>
        </is>
      </c>
      <c r="F635" t="inlineStr">
        <is>
          <t>Övriga Aktiebolag</t>
        </is>
      </c>
      <c r="G635" t="n">
        <v>9.4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54302-2024</t>
        </is>
      </c>
      <c r="B636" s="1" t="n">
        <v>45617</v>
      </c>
      <c r="C636" s="1" t="n">
        <v>45702</v>
      </c>
      <c r="D636" t="inlineStr">
        <is>
          <t>VÄSTERBOTTENS LÄN</t>
        </is>
      </c>
      <c r="E636" t="inlineStr">
        <is>
          <t>DOROTEA</t>
        </is>
      </c>
      <c r="G636" t="n">
        <v>12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55622-2024</t>
        </is>
      </c>
      <c r="B637" s="1" t="n">
        <v>45622</v>
      </c>
      <c r="C637" s="1" t="n">
        <v>45702</v>
      </c>
      <c r="D637" t="inlineStr">
        <is>
          <t>VÄSTERBOTTENS LÄN</t>
        </is>
      </c>
      <c r="E637" t="inlineStr">
        <is>
          <t>DOROTEA</t>
        </is>
      </c>
      <c r="F637" t="inlineStr">
        <is>
          <t>SCA</t>
        </is>
      </c>
      <c r="G637" t="n">
        <v>5.7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55549-2024</t>
        </is>
      </c>
      <c r="B638" s="1" t="n">
        <v>45622</v>
      </c>
      <c r="C638" s="1" t="n">
        <v>45702</v>
      </c>
      <c r="D638" t="inlineStr">
        <is>
          <t>VÄSTERBOTTENS LÄN</t>
        </is>
      </c>
      <c r="E638" t="inlineStr">
        <is>
          <t>DOROTEA</t>
        </is>
      </c>
      <c r="F638" t="inlineStr">
        <is>
          <t>SCA</t>
        </is>
      </c>
      <c r="G638" t="n">
        <v>1.2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55986-2024</t>
        </is>
      </c>
      <c r="B639" s="1" t="n">
        <v>45623</v>
      </c>
      <c r="C639" s="1" t="n">
        <v>45702</v>
      </c>
      <c r="D639" t="inlineStr">
        <is>
          <t>VÄSTERBOTTENS LÄN</t>
        </is>
      </c>
      <c r="E639" t="inlineStr">
        <is>
          <t>DOROTEA</t>
        </is>
      </c>
      <c r="G639" t="n">
        <v>20.1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56167-2024</t>
        </is>
      </c>
      <c r="B640" s="1" t="n">
        <v>45624</v>
      </c>
      <c r="C640" s="1" t="n">
        <v>45702</v>
      </c>
      <c r="D640" t="inlineStr">
        <is>
          <t>VÄSTERBOTTENS LÄN</t>
        </is>
      </c>
      <c r="E640" t="inlineStr">
        <is>
          <t>DOROTEA</t>
        </is>
      </c>
      <c r="F640" t="inlineStr">
        <is>
          <t>SCA</t>
        </is>
      </c>
      <c r="G640" t="n">
        <v>2.2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56590-2024</t>
        </is>
      </c>
      <c r="B641" s="1" t="n">
        <v>45625</v>
      </c>
      <c r="C641" s="1" t="n">
        <v>45702</v>
      </c>
      <c r="D641" t="inlineStr">
        <is>
          <t>VÄSTERBOTTENS LÄN</t>
        </is>
      </c>
      <c r="E641" t="inlineStr">
        <is>
          <t>DOROTEA</t>
        </is>
      </c>
      <c r="G641" t="n">
        <v>1.3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57082-2024</t>
        </is>
      </c>
      <c r="B642" s="1" t="n">
        <v>45629</v>
      </c>
      <c r="C642" s="1" t="n">
        <v>45702</v>
      </c>
      <c r="D642" t="inlineStr">
        <is>
          <t>VÄSTERBOTTENS LÄN</t>
        </is>
      </c>
      <c r="E642" t="inlineStr">
        <is>
          <t>DOROTEA</t>
        </is>
      </c>
      <c r="F642" t="inlineStr">
        <is>
          <t>SCA</t>
        </is>
      </c>
      <c r="G642" t="n">
        <v>9.6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57092-2024</t>
        </is>
      </c>
      <c r="B643" s="1" t="n">
        <v>45629</v>
      </c>
      <c r="C643" s="1" t="n">
        <v>45702</v>
      </c>
      <c r="D643" t="inlineStr">
        <is>
          <t>VÄSTERBOTTENS LÄN</t>
        </is>
      </c>
      <c r="E643" t="inlineStr">
        <is>
          <t>DOROTEA</t>
        </is>
      </c>
      <c r="F643" t="inlineStr">
        <is>
          <t>SCA</t>
        </is>
      </c>
      <c r="G643" t="n">
        <v>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57475-2024</t>
        </is>
      </c>
      <c r="B644" s="1" t="n">
        <v>45630</v>
      </c>
      <c r="C644" s="1" t="n">
        <v>45702</v>
      </c>
      <c r="D644" t="inlineStr">
        <is>
          <t>VÄSTERBOTTENS LÄN</t>
        </is>
      </c>
      <c r="E644" t="inlineStr">
        <is>
          <t>DOROTEA</t>
        </is>
      </c>
      <c r="G644" t="n">
        <v>11.4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57581-2024</t>
        </is>
      </c>
      <c r="B645" s="1" t="n">
        <v>45630</v>
      </c>
      <c r="C645" s="1" t="n">
        <v>45702</v>
      </c>
      <c r="D645" t="inlineStr">
        <is>
          <t>VÄSTERBOTTENS LÄN</t>
        </is>
      </c>
      <c r="E645" t="inlineStr">
        <is>
          <t>DOROTEA</t>
        </is>
      </c>
      <c r="G645" t="n">
        <v>9.1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58335-2024</t>
        </is>
      </c>
      <c r="B646" s="1" t="n">
        <v>45632</v>
      </c>
      <c r="C646" s="1" t="n">
        <v>45702</v>
      </c>
      <c r="D646" t="inlineStr">
        <is>
          <t>VÄSTERBOTTENS LÄN</t>
        </is>
      </c>
      <c r="E646" t="inlineStr">
        <is>
          <t>DOROTEA</t>
        </is>
      </c>
      <c r="F646" t="inlineStr">
        <is>
          <t>SCA</t>
        </is>
      </c>
      <c r="G646" t="n">
        <v>5.4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58313-2024</t>
        </is>
      </c>
      <c r="B647" s="1" t="n">
        <v>45632</v>
      </c>
      <c r="C647" s="1" t="n">
        <v>45702</v>
      </c>
      <c r="D647" t="inlineStr">
        <is>
          <t>VÄSTERBOTTENS LÄN</t>
        </is>
      </c>
      <c r="E647" t="inlineStr">
        <is>
          <t>DOROTEA</t>
        </is>
      </c>
      <c r="F647" t="inlineStr">
        <is>
          <t>SCA</t>
        </is>
      </c>
      <c r="G647" t="n">
        <v>6.1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59007-2024</t>
        </is>
      </c>
      <c r="B648" s="1" t="n">
        <v>45636</v>
      </c>
      <c r="C648" s="1" t="n">
        <v>45702</v>
      </c>
      <c r="D648" t="inlineStr">
        <is>
          <t>VÄSTERBOTTENS LÄN</t>
        </is>
      </c>
      <c r="E648" t="inlineStr">
        <is>
          <t>DOROTEA</t>
        </is>
      </c>
      <c r="F648" t="inlineStr">
        <is>
          <t>SCA</t>
        </is>
      </c>
      <c r="G648" t="n">
        <v>5.3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59584-2024</t>
        </is>
      </c>
      <c r="B649" s="1" t="n">
        <v>45638</v>
      </c>
      <c r="C649" s="1" t="n">
        <v>45702</v>
      </c>
      <c r="D649" t="inlineStr">
        <is>
          <t>VÄSTERBOTTENS LÄN</t>
        </is>
      </c>
      <c r="E649" t="inlineStr">
        <is>
          <t>DOROTEA</t>
        </is>
      </c>
      <c r="F649" t="inlineStr">
        <is>
          <t>SCA</t>
        </is>
      </c>
      <c r="G649" t="n">
        <v>7.3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59489-2024</t>
        </is>
      </c>
      <c r="B650" s="1" t="n">
        <v>45638</v>
      </c>
      <c r="C650" s="1" t="n">
        <v>45702</v>
      </c>
      <c r="D650" t="inlineStr">
        <is>
          <t>VÄSTERBOTTENS LÄN</t>
        </is>
      </c>
      <c r="E650" t="inlineStr">
        <is>
          <t>DOROTEA</t>
        </is>
      </c>
      <c r="F650" t="inlineStr">
        <is>
          <t>SCA</t>
        </is>
      </c>
      <c r="G650" t="n">
        <v>6.9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59653-2024</t>
        </is>
      </c>
      <c r="B651" s="1" t="n">
        <v>45639</v>
      </c>
      <c r="C651" s="1" t="n">
        <v>45702</v>
      </c>
      <c r="D651" t="inlineStr">
        <is>
          <t>VÄSTERBOTTENS LÄN</t>
        </is>
      </c>
      <c r="E651" t="inlineStr">
        <is>
          <t>DOROTEA</t>
        </is>
      </c>
      <c r="F651" t="inlineStr">
        <is>
          <t>SCA</t>
        </is>
      </c>
      <c r="G651" t="n">
        <v>1.6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60175-2024</t>
        </is>
      </c>
      <c r="B652" s="1" t="n">
        <v>45642</v>
      </c>
      <c r="C652" s="1" t="n">
        <v>45702</v>
      </c>
      <c r="D652" t="inlineStr">
        <is>
          <t>VÄSTERBOTTENS LÄN</t>
        </is>
      </c>
      <c r="E652" t="inlineStr">
        <is>
          <t>DOROTEA</t>
        </is>
      </c>
      <c r="F652" t="inlineStr">
        <is>
          <t>SCA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60162-2024</t>
        </is>
      </c>
      <c r="B653" s="1" t="n">
        <v>45642</v>
      </c>
      <c r="C653" s="1" t="n">
        <v>45702</v>
      </c>
      <c r="D653" t="inlineStr">
        <is>
          <t>VÄSTERBOTTENS LÄN</t>
        </is>
      </c>
      <c r="E653" t="inlineStr">
        <is>
          <t>DOROTEA</t>
        </is>
      </c>
      <c r="G653" t="n">
        <v>4.7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60757-2024</t>
        </is>
      </c>
      <c r="B654" s="1" t="n">
        <v>45642</v>
      </c>
      <c r="C654" s="1" t="n">
        <v>45702</v>
      </c>
      <c r="D654" t="inlineStr">
        <is>
          <t>VÄSTERBOTTENS LÄN</t>
        </is>
      </c>
      <c r="E654" t="inlineStr">
        <is>
          <t>DOROTEA</t>
        </is>
      </c>
      <c r="G654" t="n">
        <v>11.7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60163-2024</t>
        </is>
      </c>
      <c r="B655" s="1" t="n">
        <v>45642</v>
      </c>
      <c r="C655" s="1" t="n">
        <v>45702</v>
      </c>
      <c r="D655" t="inlineStr">
        <is>
          <t>VÄSTERBOTTENS LÄN</t>
        </is>
      </c>
      <c r="E655" t="inlineStr">
        <is>
          <t>DOROTEA</t>
        </is>
      </c>
      <c r="G655" t="n">
        <v>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60153-2024</t>
        </is>
      </c>
      <c r="B656" s="1" t="n">
        <v>45642</v>
      </c>
      <c r="C656" s="1" t="n">
        <v>45702</v>
      </c>
      <c r="D656" t="inlineStr">
        <is>
          <t>VÄSTERBOTTENS LÄN</t>
        </is>
      </c>
      <c r="E656" t="inlineStr">
        <is>
          <t>DOROTEA</t>
        </is>
      </c>
      <c r="G656" t="n">
        <v>1.5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60169-2024</t>
        </is>
      </c>
      <c r="B657" s="1" t="n">
        <v>45642</v>
      </c>
      <c r="C657" s="1" t="n">
        <v>45702</v>
      </c>
      <c r="D657" t="inlineStr">
        <is>
          <t>VÄSTERBOTTENS LÄN</t>
        </is>
      </c>
      <c r="E657" t="inlineStr">
        <is>
          <t>DOROTEA</t>
        </is>
      </c>
      <c r="F657" t="inlineStr">
        <is>
          <t>SCA</t>
        </is>
      </c>
      <c r="G657" t="n">
        <v>1.6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59947-2024</t>
        </is>
      </c>
      <c r="B658" s="1" t="n">
        <v>45642</v>
      </c>
      <c r="C658" s="1" t="n">
        <v>45702</v>
      </c>
      <c r="D658" t="inlineStr">
        <is>
          <t>VÄSTERBOTTENS LÄN</t>
        </is>
      </c>
      <c r="E658" t="inlineStr">
        <is>
          <t>DOROTEA</t>
        </is>
      </c>
      <c r="F658" t="inlineStr">
        <is>
          <t>SCA</t>
        </is>
      </c>
      <c r="G658" t="n">
        <v>16.6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60760-2024</t>
        </is>
      </c>
      <c r="B659" s="1" t="n">
        <v>45644</v>
      </c>
      <c r="C659" s="1" t="n">
        <v>45702</v>
      </c>
      <c r="D659" t="inlineStr">
        <is>
          <t>VÄSTERBOTTENS LÄN</t>
        </is>
      </c>
      <c r="E659" t="inlineStr">
        <is>
          <t>DOROTEA</t>
        </is>
      </c>
      <c r="F659" t="inlineStr">
        <is>
          <t>SCA</t>
        </is>
      </c>
      <c r="G659" t="n">
        <v>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61082-2024</t>
        </is>
      </c>
      <c r="B660" s="1" t="n">
        <v>45644</v>
      </c>
      <c r="C660" s="1" t="n">
        <v>45702</v>
      </c>
      <c r="D660" t="inlineStr">
        <is>
          <t>VÄSTERBOTTENS LÄN</t>
        </is>
      </c>
      <c r="E660" t="inlineStr">
        <is>
          <t>DOROTEA</t>
        </is>
      </c>
      <c r="G660" t="n">
        <v>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60868-2024</t>
        </is>
      </c>
      <c r="B661" s="1" t="n">
        <v>45644</v>
      </c>
      <c r="C661" s="1" t="n">
        <v>45702</v>
      </c>
      <c r="D661" t="inlineStr">
        <is>
          <t>VÄSTERBOTTENS LÄN</t>
        </is>
      </c>
      <c r="E661" t="inlineStr">
        <is>
          <t>DOROTEA</t>
        </is>
      </c>
      <c r="F661" t="inlineStr">
        <is>
          <t>SCA</t>
        </is>
      </c>
      <c r="G661" t="n">
        <v>8.699999999999999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61364-2024</t>
        </is>
      </c>
      <c r="B662" s="1" t="n">
        <v>45646</v>
      </c>
      <c r="C662" s="1" t="n">
        <v>45702</v>
      </c>
      <c r="D662" t="inlineStr">
        <is>
          <t>VÄSTERBOTTENS LÄN</t>
        </is>
      </c>
      <c r="E662" t="inlineStr">
        <is>
          <t>DOROTEA</t>
        </is>
      </c>
      <c r="F662" t="inlineStr">
        <is>
          <t>SCA</t>
        </is>
      </c>
      <c r="G662" t="n">
        <v>18.6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61764-2024</t>
        </is>
      </c>
      <c r="B663" s="1" t="n">
        <v>45649</v>
      </c>
      <c r="C663" s="1" t="n">
        <v>45702</v>
      </c>
      <c r="D663" t="inlineStr">
        <is>
          <t>VÄSTERBOTTENS LÄN</t>
        </is>
      </c>
      <c r="E663" t="inlineStr">
        <is>
          <t>DOROTEA</t>
        </is>
      </c>
      <c r="F663" t="inlineStr">
        <is>
          <t>SCA</t>
        </is>
      </c>
      <c r="G663" t="n">
        <v>6.2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61922-2024</t>
        </is>
      </c>
      <c r="B664" s="1" t="n">
        <v>45653</v>
      </c>
      <c r="C664" s="1" t="n">
        <v>45702</v>
      </c>
      <c r="D664" t="inlineStr">
        <is>
          <t>VÄSTERBOTTENS LÄN</t>
        </is>
      </c>
      <c r="E664" t="inlineStr">
        <is>
          <t>DOROTEA</t>
        </is>
      </c>
      <c r="F664" t="inlineStr">
        <is>
          <t>SCA</t>
        </is>
      </c>
      <c r="G664" t="n">
        <v>12.2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67-2025</t>
        </is>
      </c>
      <c r="B665" s="1" t="n">
        <v>45659</v>
      </c>
      <c r="C665" s="1" t="n">
        <v>45702</v>
      </c>
      <c r="D665" t="inlineStr">
        <is>
          <t>VÄSTERBOTTENS LÄN</t>
        </is>
      </c>
      <c r="E665" t="inlineStr">
        <is>
          <t>DOROTEA</t>
        </is>
      </c>
      <c r="F665" t="inlineStr">
        <is>
          <t>SCA</t>
        </is>
      </c>
      <c r="G665" t="n">
        <v>11.5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460-2025</t>
        </is>
      </c>
      <c r="B666" s="1" t="n">
        <v>45664</v>
      </c>
      <c r="C666" s="1" t="n">
        <v>45702</v>
      </c>
      <c r="D666" t="inlineStr">
        <is>
          <t>VÄSTERBOTTENS LÄN</t>
        </is>
      </c>
      <c r="E666" t="inlineStr">
        <is>
          <t>DOROTEA</t>
        </is>
      </c>
      <c r="G666" t="n">
        <v>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797-2025</t>
        </is>
      </c>
      <c r="B667" s="1" t="n">
        <v>45664</v>
      </c>
      <c r="C667" s="1" t="n">
        <v>45702</v>
      </c>
      <c r="D667" t="inlineStr">
        <is>
          <t>VÄSTERBOTTENS LÄN</t>
        </is>
      </c>
      <c r="E667" t="inlineStr">
        <is>
          <t>DOROTEA</t>
        </is>
      </c>
      <c r="G667" t="n">
        <v>2.6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1992-2025</t>
        </is>
      </c>
      <c r="B668" s="1" t="n">
        <v>45672</v>
      </c>
      <c r="C668" s="1" t="n">
        <v>45702</v>
      </c>
      <c r="D668" t="inlineStr">
        <is>
          <t>VÄSTERBOTTENS LÄN</t>
        </is>
      </c>
      <c r="E668" t="inlineStr">
        <is>
          <t>DOROTEA</t>
        </is>
      </c>
      <c r="F668" t="inlineStr">
        <is>
          <t>Kommuner</t>
        </is>
      </c>
      <c r="G668" t="n">
        <v>11.1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2014-2025</t>
        </is>
      </c>
      <c r="B669" s="1" t="n">
        <v>45672</v>
      </c>
      <c r="C669" s="1" t="n">
        <v>45702</v>
      </c>
      <c r="D669" t="inlineStr">
        <is>
          <t>VÄSTERBOTTENS LÄN</t>
        </is>
      </c>
      <c r="E669" t="inlineStr">
        <is>
          <t>DOROTEA</t>
        </is>
      </c>
      <c r="F669" t="inlineStr">
        <is>
          <t>Kommuner</t>
        </is>
      </c>
      <c r="G669" t="n">
        <v>5.3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2350-2025</t>
        </is>
      </c>
      <c r="B670" s="1" t="n">
        <v>45673</v>
      </c>
      <c r="C670" s="1" t="n">
        <v>45702</v>
      </c>
      <c r="D670" t="inlineStr">
        <is>
          <t>VÄSTERBOTTENS LÄN</t>
        </is>
      </c>
      <c r="E670" t="inlineStr">
        <is>
          <t>DOROTEA</t>
        </is>
      </c>
      <c r="F670" t="inlineStr">
        <is>
          <t>SCA</t>
        </is>
      </c>
      <c r="G670" t="n">
        <v>15.8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2509-2025</t>
        </is>
      </c>
      <c r="B671" s="1" t="n">
        <v>45674</v>
      </c>
      <c r="C671" s="1" t="n">
        <v>45702</v>
      </c>
      <c r="D671" t="inlineStr">
        <is>
          <t>VÄSTERBOTTENS LÄN</t>
        </is>
      </c>
      <c r="E671" t="inlineStr">
        <is>
          <t>DOROTEA</t>
        </is>
      </c>
      <c r="F671" t="inlineStr">
        <is>
          <t>SCA</t>
        </is>
      </c>
      <c r="G671" t="n">
        <v>7.3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2814-2025</t>
        </is>
      </c>
      <c r="B672" s="1" t="n">
        <v>45677</v>
      </c>
      <c r="C672" s="1" t="n">
        <v>45702</v>
      </c>
      <c r="D672" t="inlineStr">
        <is>
          <t>VÄSTERBOTTENS LÄN</t>
        </is>
      </c>
      <c r="E672" t="inlineStr">
        <is>
          <t>DOROTEA</t>
        </is>
      </c>
      <c r="G672" t="n">
        <v>1.5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2813-2025</t>
        </is>
      </c>
      <c r="B673" s="1" t="n">
        <v>45677</v>
      </c>
      <c r="C673" s="1" t="n">
        <v>45702</v>
      </c>
      <c r="D673" t="inlineStr">
        <is>
          <t>VÄSTERBOTTENS LÄN</t>
        </is>
      </c>
      <c r="E673" t="inlineStr">
        <is>
          <t>DOROTEA</t>
        </is>
      </c>
      <c r="G673" t="n">
        <v>2.7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3097-2025</t>
        </is>
      </c>
      <c r="B674" s="1" t="n">
        <v>45678</v>
      </c>
      <c r="C674" s="1" t="n">
        <v>45702</v>
      </c>
      <c r="D674" t="inlineStr">
        <is>
          <t>VÄSTERBOTTENS LÄN</t>
        </is>
      </c>
      <c r="E674" t="inlineStr">
        <is>
          <t>DOROTEA</t>
        </is>
      </c>
      <c r="G674" t="n">
        <v>0.6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3099-2025</t>
        </is>
      </c>
      <c r="B675" s="1" t="n">
        <v>45678</v>
      </c>
      <c r="C675" s="1" t="n">
        <v>45702</v>
      </c>
      <c r="D675" t="inlineStr">
        <is>
          <t>VÄSTERBOTTENS LÄN</t>
        </is>
      </c>
      <c r="E675" t="inlineStr">
        <is>
          <t>DOROTEA</t>
        </is>
      </c>
      <c r="G675" t="n">
        <v>9.699999999999999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3098-2025</t>
        </is>
      </c>
      <c r="B676" s="1" t="n">
        <v>45678</v>
      </c>
      <c r="C676" s="1" t="n">
        <v>45702</v>
      </c>
      <c r="D676" t="inlineStr">
        <is>
          <t>VÄSTERBOTTENS LÄN</t>
        </is>
      </c>
      <c r="E676" t="inlineStr">
        <is>
          <t>DOROTEA</t>
        </is>
      </c>
      <c r="G676" t="n">
        <v>5.7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3562-2025</t>
        </is>
      </c>
      <c r="B677" s="1" t="n">
        <v>45680</v>
      </c>
      <c r="C677" s="1" t="n">
        <v>45702</v>
      </c>
      <c r="D677" t="inlineStr">
        <is>
          <t>VÄSTERBOTTENS LÄN</t>
        </is>
      </c>
      <c r="E677" t="inlineStr">
        <is>
          <t>DOROTEA</t>
        </is>
      </c>
      <c r="F677" t="inlineStr">
        <is>
          <t>SCA</t>
        </is>
      </c>
      <c r="G677" t="n">
        <v>12.5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3616-2025</t>
        </is>
      </c>
      <c r="B678" s="1" t="n">
        <v>45681</v>
      </c>
      <c r="C678" s="1" t="n">
        <v>45702</v>
      </c>
      <c r="D678" t="inlineStr">
        <is>
          <t>VÄSTERBOTTENS LÄN</t>
        </is>
      </c>
      <c r="E678" t="inlineStr">
        <is>
          <t>DOROTEA</t>
        </is>
      </c>
      <c r="F678" t="inlineStr">
        <is>
          <t>SCA</t>
        </is>
      </c>
      <c r="G678" t="n">
        <v>6.9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5248-2025</t>
        </is>
      </c>
      <c r="B679" s="1" t="n">
        <v>45692</v>
      </c>
      <c r="C679" s="1" t="n">
        <v>45702</v>
      </c>
      <c r="D679" t="inlineStr">
        <is>
          <t>VÄSTERBOTTENS LÄN</t>
        </is>
      </c>
      <c r="E679" t="inlineStr">
        <is>
          <t>DOROTEA</t>
        </is>
      </c>
      <c r="F679" t="inlineStr">
        <is>
          <t>SCA</t>
        </is>
      </c>
      <c r="G679" t="n">
        <v>2.9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5640-2025</t>
        </is>
      </c>
      <c r="B680" s="1" t="n">
        <v>45693</v>
      </c>
      <c r="C680" s="1" t="n">
        <v>45702</v>
      </c>
      <c r="D680" t="inlineStr">
        <is>
          <t>VÄSTERBOTTENS LÄN</t>
        </is>
      </c>
      <c r="E680" t="inlineStr">
        <is>
          <t>DOROTEA</t>
        </is>
      </c>
      <c r="F680" t="inlineStr">
        <is>
          <t>SCA</t>
        </is>
      </c>
      <c r="G680" t="n">
        <v>24.1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5639-2025</t>
        </is>
      </c>
      <c r="B681" s="1" t="n">
        <v>45693</v>
      </c>
      <c r="C681" s="1" t="n">
        <v>45702</v>
      </c>
      <c r="D681" t="inlineStr">
        <is>
          <t>VÄSTERBOTTENS LÄN</t>
        </is>
      </c>
      <c r="E681" t="inlineStr">
        <is>
          <t>DOROTEA</t>
        </is>
      </c>
      <c r="F681" t="inlineStr">
        <is>
          <t>SCA</t>
        </is>
      </c>
      <c r="G681" t="n">
        <v>40.9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>
      <c r="A682" t="inlineStr">
        <is>
          <t>A 6717-2025</t>
        </is>
      </c>
      <c r="B682" s="1" t="n">
        <v>45700</v>
      </c>
      <c r="C682" s="1" t="n">
        <v>45702</v>
      </c>
      <c r="D682" t="inlineStr">
        <is>
          <t>VÄSTERBOTTENS LÄN</t>
        </is>
      </c>
      <c r="E682" t="inlineStr">
        <is>
          <t>DOROTEA</t>
        </is>
      </c>
      <c r="F682" t="inlineStr">
        <is>
          <t>SCA</t>
        </is>
      </c>
      <c r="G682" t="n">
        <v>5.9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2025-02-14T16:34:12Z</dcterms:created>
  <dcterms:modified xmlns:dcterms="http://purl.org/dc/terms/" xmlns:xsi="http://www.w3.org/2001/XMLSchema-instance" xsi:type="dcterms:W3CDTF">2025-02-14T16:34:12Z</dcterms:modified>
</cp:coreProperties>
</file>