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46279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46279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46279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46279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46279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46279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46279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46279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46279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46279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46279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46279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46279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46279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46279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46279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46279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46279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46279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46279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46279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A 40013-2024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45553</v>
      </c>
      <c r="E25" s="1" t="n">
        <v>46279</v>
      </c>
      <c r="F25" t="inlineStr">
        <is>
          <t>VÄSTERBOTTENS LÄN</t>
        </is>
      </c>
      <c r="G25" t="inlineStr">
        <is>
          <t>DOROTEA</t>
        </is>
      </c>
      <c r="H25" t="inlineStr">
        <is>
          <t>Övriga statliga verk och myndigheter</t>
        </is>
      </c>
      <c r="I25" t="n">
        <v>1.5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Tretåig hackspett
Tjäder</t>
        </is>
      </c>
      <c r="W25">
        <f>HYPERLINK("https://klasma.github.io/Logging_2425/artfynd/A 40013-2024 artfynd.xlsx", "A 40013-2024")</f>
        <v/>
      </c>
      <c r="X25">
        <f>HYPERLINK("https://klasma.github.io/Logging_2425/kartor/A 40013-2024 karta.png", "A 40013-2024")</f>
        <v/>
      </c>
      <c r="Y25">
        <f>HYPERLINK("https://klasma.github.io/Logging_2425/kartor_geotiff/A 40013-2024 georefererad karta.tif", "A 40013-2024")</f>
        <v/>
      </c>
      <c r="AA25">
        <f>HYPERLINK("https://klasma.github.io/Logging_2425/klagomål/A 40013-2024 FSC-klagomål.docx", "A 40013-2024")</f>
        <v/>
      </c>
      <c r="AB25">
        <f>HYPERLINK("https://klasma.github.io/Logging_2425/klagomålsmail/A 40013-2024 FSC-klagomål mail.docx", "A 40013-2024")</f>
        <v/>
      </c>
      <c r="AC25">
        <f>HYPERLINK("https://klasma.github.io/Logging_2425/tillsyn/A 40013-2024 tillsynsbegäran.docx", "A 40013-2024")</f>
        <v/>
      </c>
      <c r="AD25">
        <f>HYPERLINK("https://klasma.github.io/Logging_2425/tillsynsmail/A 40013-2024 tillsynsbegäran mail.docx", "A 40013-2024")</f>
        <v/>
      </c>
      <c r="AE25">
        <f>HYPERLINK("https://klasma.github.io/Logging_2425/fåglar/A 40013-2024 prioriterade fågelarter.docx", "A 40013-2024")</f>
        <v/>
      </c>
    </row>
    <row r="26" ht="15" customHeight="1">
      <c r="A26" t="inlineStr">
        <is>
          <t>A 33263-2025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46279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Vedticka</t>
        </is>
      </c>
      <c r="W26">
        <f>HYPERLINK("https://klasma.github.io/Logging_2425/artfynd/A 33263-2025 artfynd.xlsx", "A 33263-2025")</f>
        <v/>
      </c>
      <c r="X26">
        <f>HYPERLINK("https://klasma.github.io/Logging_2425/kartor/A 33263-2025 karta.png", "A 33263-2025")</f>
        <v/>
      </c>
      <c r="Y26">
        <f>HYPERLINK("https://klasma.github.io/Logging_2425/kartor_geotiff/A 33263-2025 georefererad karta.tif", "A 33263-2025")</f>
        <v/>
      </c>
      <c r="AA26">
        <f>HYPERLINK("https://klasma.github.io/Logging_2425/klagomål/A 33263-2025 FSC-klagomål.docx", "A 33263-2025")</f>
        <v/>
      </c>
      <c r="AB26">
        <f>HYPERLINK("https://klasma.github.io/Logging_2425/klagomålsmail/A 33263-2025 FSC-klagomål mail.docx", "A 33263-2025")</f>
        <v/>
      </c>
      <c r="AC26">
        <f>HYPERLINK("https://klasma.github.io/Logging_2425/tillsyn/A 33263-2025 tillsynsbegäran.docx", "A 33263-2025")</f>
        <v/>
      </c>
      <c r="AD26">
        <f>HYPERLINK("https://klasma.github.io/Logging_2425/tillsynsmail/A 33263-2025 tillsynsbegäran mail.docx", "A 33263-2025")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46279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46279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46279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46279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46279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46279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46279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46279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46279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46279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46279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46279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20600-2023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45057</v>
      </c>
      <c r="E39" s="1" t="n">
        <v>46279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HYPERLINK("https://klasma.github.io/Logging_2425/artfynd/A 20600-2023 artfynd.xlsx", "A 20600-2023")</f>
        <v/>
      </c>
      <c r="X39">
        <f>HYPERLINK("https://klasma.github.io/Logging_2425/kartor/A 20600-2023 karta.png", "A 20600-2023")</f>
        <v/>
      </c>
      <c r="Y39">
        <f>HYPERLINK("https://klasma.github.io/Logging_2425/kartor_geotiff/A 20600-2023 georefererad karta.tif", "A 20600-2023")</f>
        <v/>
      </c>
      <c r="AA39">
        <f>HYPERLINK("https://klasma.github.io/Logging_2425/klagomål/A 20600-2023 FSC-klagomål.docx", "A 20600-2023")</f>
        <v/>
      </c>
      <c r="AB39">
        <f>HYPERLINK("https://klasma.github.io/Logging_2425/klagomålsmail/A 20600-2023 FSC-klagomål mail.docx", "A 20600-2023")</f>
        <v/>
      </c>
      <c r="AC39">
        <f>HYPERLINK("https://klasma.github.io/Logging_2425/tillsyn/A 20600-2023 tillsynsbegäran.docx", "A 20600-2023")</f>
        <v/>
      </c>
      <c r="AD39">
        <f>HYPERLINK("https://klasma.github.io/Logging_2425/tillsynsmail/A 20600-2023 tillsynsbegäran mail.docx", "A 20600-2023")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46279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46279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46279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12005-2023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44994</v>
      </c>
      <c r="E43" s="1" t="n">
        <v>46279</v>
      </c>
      <c r="F43" t="inlineStr">
        <is>
          <t>VÄSTERBOTTENS LÄN</t>
        </is>
      </c>
      <c r="G43" t="inlineStr">
        <is>
          <t>DOROTEA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HYPERLINK("https://klasma.github.io/Logging_2425/artfynd/A 12005-2023 artfynd.xlsx", "A 12005-2023")</f>
        <v/>
      </c>
      <c r="X43">
        <f>HYPERLINK("https://klasma.github.io/Logging_2425/kartor/A 12005-2023 karta.png", "A 12005-2023")</f>
        <v/>
      </c>
      <c r="Y43">
        <f>HYPERLINK("https://klasma.github.io/Logging_2425/kartor_geotiff/A 12005-2023 georefererad karta.tif", "A 12005-2023")</f>
        <v/>
      </c>
      <c r="AA43">
        <f>HYPERLINK("https://klasma.github.io/Logging_2425/klagomål/A 12005-2023 FSC-klagomål.docx", "A 12005-2023")</f>
        <v/>
      </c>
      <c r="AB43">
        <f>HYPERLINK("https://klasma.github.io/Logging_2425/klagomålsmail/A 12005-2023 FSC-klagomål mail.docx", "A 12005-2023")</f>
        <v/>
      </c>
      <c r="AC43">
        <f>HYPERLINK("https://klasma.github.io/Logging_2425/tillsyn/A 12005-2023 tillsynsbegäran.docx", "A 12005-2023")</f>
        <v/>
      </c>
      <c r="AD43">
        <f>HYPERLINK("https://klasma.github.io/Logging_2425/tillsynsmail/A 12005-2023 tillsynsbegäran mail.docx", "A 12005-2023")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46279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46279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53309-2022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44878</v>
      </c>
      <c r="E46" s="1" t="n">
        <v>46279</v>
      </c>
      <c r="F46" t="inlineStr">
        <is>
          <t>VÄSTERBOTTENS LÄN</t>
        </is>
      </c>
      <c r="G46" t="inlineStr">
        <is>
          <t>DOROTEA</t>
        </is>
      </c>
      <c r="I46" t="n">
        <v>6.6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Göktyta</t>
        </is>
      </c>
      <c r="W46">
        <f>HYPERLINK("https://klasma.github.io/Logging_2425/artfynd/A 53309-2022 artfynd.xlsx", "A 53309-2022")</f>
        <v/>
      </c>
      <c r="X46">
        <f>HYPERLINK("https://klasma.github.io/Logging_2425/kartor/A 53309-2022 karta.png", "A 53309-2022")</f>
        <v/>
      </c>
      <c r="Y46">
        <f>HYPERLINK("https://klasma.github.io/Logging_2425/kartor_geotiff/A 53309-2022 georefererad karta.tif", "A 53309-2022")</f>
        <v/>
      </c>
      <c r="AA46">
        <f>HYPERLINK("https://klasma.github.io/Logging_2425/klagomål/A 53309-2022 FSC-klagomål.docx", "A 53309-2022")</f>
        <v/>
      </c>
      <c r="AB46">
        <f>HYPERLINK("https://klasma.github.io/Logging_2425/klagomålsmail/A 53309-2022 FSC-klagomål mail.docx", "A 53309-2022")</f>
        <v/>
      </c>
      <c r="AC46">
        <f>HYPERLINK("https://klasma.github.io/Logging_2425/tillsyn/A 53309-2022 tillsynsbegäran.docx", "A 53309-2022")</f>
        <v/>
      </c>
      <c r="AD46">
        <f>HYPERLINK("https://klasma.github.io/Logging_2425/tillsynsmail/A 53309-2022 tillsynsbegäran mail.docx", "A 53309-2022")</f>
        <v/>
      </c>
      <c r="AE46">
        <f>HYPERLINK("https://klasma.github.io/Logging_2425/fåglar/A 53309-2022 prioriterade fågelarter.docx", "A 53309-2022")</f>
        <v/>
      </c>
    </row>
    <row r="47" ht="15" customHeight="1">
      <c r="A47" t="inlineStr">
        <is>
          <t>A 46815-2023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45198</v>
      </c>
      <c r="E47" s="1" t="n">
        <v>46279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Harticka</t>
        </is>
      </c>
      <c r="W47">
        <f>HYPERLINK("https://klasma.github.io/Logging_2425/artfynd/A 46815-2023 artfynd.xlsx", "A 46815-2023")</f>
        <v/>
      </c>
      <c r="X47">
        <f>HYPERLINK("https://klasma.github.io/Logging_2425/kartor/A 46815-2023 karta.png", "A 46815-2023")</f>
        <v/>
      </c>
      <c r="Y47">
        <f>HYPERLINK("https://klasma.github.io/Logging_2425/kartor_geotiff/A 46815-2023 georefererad karta.tif", "A 46815-2023")</f>
        <v/>
      </c>
      <c r="AA47">
        <f>HYPERLINK("https://klasma.github.io/Logging_2425/klagomål/A 46815-2023 FSC-klagomål.docx", "A 46815-2023")</f>
        <v/>
      </c>
      <c r="AB47">
        <f>HYPERLINK("https://klasma.github.io/Logging_2425/klagomålsmail/A 46815-2023 FSC-klagomål mail.docx", "A 46815-2023")</f>
        <v/>
      </c>
      <c r="AC47">
        <f>HYPERLINK("https://klasma.github.io/Logging_2425/tillsyn/A 46815-2023 tillsynsbegäran.docx", "A 46815-2023")</f>
        <v/>
      </c>
      <c r="AD47">
        <f>HYPERLINK("https://klasma.github.io/Logging_2425/tillsynsmail/A 46815-2023 tillsynsbegäran mail.docx", "A 46815-2023")</f>
        <v/>
      </c>
    </row>
    <row r="48" ht="15" customHeight="1">
      <c r="A48" t="inlineStr">
        <is>
          <t>A 1278-2024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45302</v>
      </c>
      <c r="E48" s="1" t="n">
        <v>46279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Gräddticka</t>
        </is>
      </c>
      <c r="W48">
        <f>HYPERLINK("https://klasma.github.io/Logging_2425/artfynd/A 1278-2024 artfynd.xlsx", "A 1278-2024")</f>
        <v/>
      </c>
      <c r="X48">
        <f>HYPERLINK("https://klasma.github.io/Logging_2425/kartor/A 1278-2024 karta.png", "A 1278-2024")</f>
        <v/>
      </c>
      <c r="Y48">
        <f>HYPERLINK("https://klasma.github.io/Logging_2425/kartor_geotiff/A 1278-2024 georefererad karta.tif", "A 1278-2024")</f>
        <v/>
      </c>
      <c r="AA48">
        <f>HYPERLINK("https://klasma.github.io/Logging_2425/klagomål/A 1278-2024 FSC-klagomål.docx", "A 1278-2024")</f>
        <v/>
      </c>
      <c r="AB48">
        <f>HYPERLINK("https://klasma.github.io/Logging_2425/klagomålsmail/A 1278-2024 FSC-klagomål mail.docx", "A 1278-2024")</f>
        <v/>
      </c>
      <c r="AC48">
        <f>HYPERLINK("https://klasma.github.io/Logging_2425/tillsyn/A 1278-2024 tillsynsbegäran.docx", "A 1278-2024")</f>
        <v/>
      </c>
      <c r="AD48">
        <f>HYPERLINK("https://klasma.github.io/Logging_2425/tillsynsmail/A 1278-2024 tillsynsbegäran mail.docx", "A 1278-2024")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46279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46279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46279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46279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46279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46279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46279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46279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46279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46279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46279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46279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46279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46279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46279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46279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46279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46279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46279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46279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46279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46279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46279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44761</v>
      </c>
      <c r="E74" s="1" t="n">
        <v>46279</v>
      </c>
      <c r="F74" t="inlineStr">
        <is>
          <t>VÄSTERBOTTENS LÄN</t>
        </is>
      </c>
      <c r="G74" t="inlineStr">
        <is>
          <t>DOROTEA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45198</v>
      </c>
      <c r="E75" s="1" t="n">
        <v>46279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46279</v>
      </c>
      <c r="F76" t="inlineStr">
        <is>
          <t>VÄSTERBOTTENS LÄN</t>
        </is>
      </c>
      <c r="G76" t="inlineStr">
        <is>
          <t>DOROTEA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46279</v>
      </c>
      <c r="F77" t="inlineStr">
        <is>
          <t>VÄSTERBOTTENS LÄN</t>
        </is>
      </c>
      <c r="G77" t="inlineStr">
        <is>
          <t>DOROTEA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45224</v>
      </c>
      <c r="E78" s="1" t="n">
        <v>46279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46279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46279</v>
      </c>
      <c r="F80" t="inlineStr">
        <is>
          <t>VÄSTERBOTTENS LÄN</t>
        </is>
      </c>
      <c r="G80" t="inlineStr">
        <is>
          <t>DOROTEA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46279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46279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46279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46279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46279</v>
      </c>
      <c r="F85" t="inlineStr">
        <is>
          <t>VÄSTERBOTTENS LÄN</t>
        </is>
      </c>
      <c r="G85" t="inlineStr">
        <is>
          <t>DOROTEA</t>
        </is>
      </c>
      <c r="H85" t="inlineStr">
        <is>
          <t>Sveaskog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57070-2023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45244</v>
      </c>
      <c r="E86" s="1" t="n">
        <v>46279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59418-2023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45253</v>
      </c>
      <c r="E87" s="1" t="n">
        <v>46279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46279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40435-2023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45169</v>
      </c>
      <c r="E89" s="1" t="n">
        <v>46279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45483</v>
      </c>
      <c r="E90" s="1" t="n">
        <v>46279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46279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46279</v>
      </c>
      <c r="F92" t="inlineStr">
        <is>
          <t>VÄSTERBOTTENS LÄN</t>
        </is>
      </c>
      <c r="G92" t="inlineStr">
        <is>
          <t>DOROTEA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46279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46279</v>
      </c>
      <c r="F94" t="inlineStr">
        <is>
          <t>VÄSTERBOTTENS LÄN</t>
        </is>
      </c>
      <c r="G94" t="inlineStr">
        <is>
          <t>DOROTEA</t>
        </is>
      </c>
      <c r="I94" t="n">
        <v>15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46279</v>
      </c>
      <c r="F95" t="inlineStr">
        <is>
          <t>VÄSTERBOTTENS LÄN</t>
        </is>
      </c>
      <c r="G95" t="inlineStr">
        <is>
          <t>DOROTEA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45491</v>
      </c>
      <c r="E96" s="1" t="n">
        <v>46279</v>
      </c>
      <c r="F96" t="inlineStr">
        <is>
          <t>VÄSTERBOTTENS LÄN</t>
        </is>
      </c>
      <c r="G96" t="inlineStr">
        <is>
          <t>DOROTEA</t>
        </is>
      </c>
      <c r="H96" t="inlineStr">
        <is>
          <t>Sveaskog</t>
        </is>
      </c>
      <c r="I96" t="n">
        <v>13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44925</v>
      </c>
      <c r="E97" s="1" t="n">
        <v>46279</v>
      </c>
      <c r="F97" t="inlineStr">
        <is>
          <t>VÄSTERBOTTENS LÄN</t>
        </is>
      </c>
      <c r="G97" t="inlineStr">
        <is>
          <t>DOROTEA</t>
        </is>
      </c>
      <c r="I97" t="n">
        <v>22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46279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46279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46279</v>
      </c>
      <c r="F100" t="inlineStr">
        <is>
          <t>VÄSTERBOTTENS LÄN</t>
        </is>
      </c>
      <c r="G100" t="inlineStr">
        <is>
          <t>DOROTEA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46279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46279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46279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46279</v>
      </c>
      <c r="F104" t="inlineStr">
        <is>
          <t>VÄSTERBOTTENS LÄN</t>
        </is>
      </c>
      <c r="G104" t="inlineStr">
        <is>
          <t>DOROTEA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46279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7429-2023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44971</v>
      </c>
      <c r="E106" s="1" t="n">
        <v>46279</v>
      </c>
      <c r="F106" t="inlineStr">
        <is>
          <t>VÄSTERBOTTENS LÄN</t>
        </is>
      </c>
      <c r="G106" t="inlineStr">
        <is>
          <t>DOROTEA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46279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45883</v>
      </c>
      <c r="E108" s="1" t="n">
        <v>46279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46279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46279</v>
      </c>
      <c r="F110" t="inlineStr">
        <is>
          <t>VÄSTERBOTTENS LÄN</t>
        </is>
      </c>
      <c r="G110" t="inlineStr">
        <is>
          <t>DOROTEA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46279</v>
      </c>
      <c r="F111" t="inlineStr">
        <is>
          <t>VÄSTERBOTTENS LÄN</t>
        </is>
      </c>
      <c r="G111" t="inlineStr">
        <is>
          <t>DOROTEA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46279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45071</v>
      </c>
      <c r="E113" s="1" t="n">
        <v>46279</v>
      </c>
      <c r="F113" t="inlineStr">
        <is>
          <t>VÄSTERBOTTENS LÄN</t>
        </is>
      </c>
      <c r="G113" t="inlineStr">
        <is>
          <t>DOROTEA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46279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46279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45893</v>
      </c>
      <c r="E116" s="1" t="n">
        <v>46279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46279</v>
      </c>
      <c r="F117" t="inlineStr">
        <is>
          <t>VÄSTERBOTTENS LÄN</t>
        </is>
      </c>
      <c r="G117" t="inlineStr">
        <is>
          <t>DOROTEA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46279</v>
      </c>
      <c r="F118" t="inlineStr">
        <is>
          <t>VÄSTERBOTTENS LÄN</t>
        </is>
      </c>
      <c r="G118" t="inlineStr">
        <is>
          <t>DOROTEA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46279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45848</v>
      </c>
      <c r="E120" s="1" t="n">
        <v>46279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46279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46279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46279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46279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46279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46279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46279</v>
      </c>
      <c r="F127" t="inlineStr">
        <is>
          <t>VÄSTERBOTTENS LÄN</t>
        </is>
      </c>
      <c r="G127" t="inlineStr">
        <is>
          <t>DOROTEA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46279</v>
      </c>
      <c r="F128" t="inlineStr">
        <is>
          <t>VÄSTERBOTTENS LÄN</t>
        </is>
      </c>
      <c r="G128" t="inlineStr">
        <is>
          <t>DOROTEA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46279</v>
      </c>
      <c r="F129" t="inlineStr">
        <is>
          <t>VÄSTERBOTTENS LÄN</t>
        </is>
      </c>
      <c r="G129" t="inlineStr">
        <is>
          <t>DOROTEA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46279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25028-2024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45461</v>
      </c>
      <c r="E131" s="1" t="n">
        <v>46279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46072</v>
      </c>
      <c r="E132" s="1" t="n">
        <v>46279</v>
      </c>
      <c r="F132" t="inlineStr">
        <is>
          <t>VÄSTERBOTTENS LÄN</t>
        </is>
      </c>
      <c r="G132" t="inlineStr">
        <is>
          <t>DOROTEA</t>
        </is>
      </c>
      <c r="I132" t="n">
        <v>20.1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45866</v>
      </c>
      <c r="E133" s="1" t="n">
        <v>46279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46279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46279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46279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44282-2025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45916</v>
      </c>
      <c r="E138" s="1" t="n">
        <v>46279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46279</v>
      </c>
      <c r="F139" t="inlineStr">
        <is>
          <t>VÄSTERBOTTENS LÄN</t>
        </is>
      </c>
      <c r="G139" t="inlineStr">
        <is>
          <t>DOROTEA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46279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45915</v>
      </c>
      <c r="E141" s="1" t="n">
        <v>46279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46279</v>
      </c>
      <c r="F142" t="inlineStr">
        <is>
          <t>VÄSTERBOTTENS LÄN</t>
        </is>
      </c>
      <c r="G142" t="inlineStr">
        <is>
          <t>DOROTEA</t>
        </is>
      </c>
      <c r="H142" t="inlineStr">
        <is>
          <t>Övriga statliga verk och myndigheter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44956</v>
      </c>
      <c r="E143" s="1" t="n">
        <v>46279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46279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46279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46279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45874</v>
      </c>
      <c r="E147" s="1" t="n">
        <v>46279</v>
      </c>
      <c r="F147" t="inlineStr">
        <is>
          <t>VÄSTERBOTTENS LÄN</t>
        </is>
      </c>
      <c r="G147" t="inlineStr">
        <is>
          <t>DOROTEA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45876</v>
      </c>
      <c r="E148" s="1" t="n">
        <v>46279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46279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45876</v>
      </c>
      <c r="E150" s="1" t="n">
        <v>46279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46279</v>
      </c>
      <c r="F151" t="inlineStr">
        <is>
          <t>VÄSTERBOTTENS LÄN</t>
        </is>
      </c>
      <c r="G151" t="inlineStr">
        <is>
          <t>DOROTEA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46279</v>
      </c>
      <c r="F152" t="inlineStr">
        <is>
          <t>VÄSTERBOTTENS LÄN</t>
        </is>
      </c>
      <c r="G152" t="inlineStr">
        <is>
          <t>DOROTEA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46279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46279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45882</v>
      </c>
      <c r="E155" s="1" t="n">
        <v>46279</v>
      </c>
      <c r="F155" t="inlineStr">
        <is>
          <t>VÄSTERBOTTENS LÄN</t>
        </is>
      </c>
      <c r="G155" t="inlineStr">
        <is>
          <t>DOROTEA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45882</v>
      </c>
      <c r="E156" s="1" t="n">
        <v>46279</v>
      </c>
      <c r="F156" t="inlineStr">
        <is>
          <t>VÄSTERBOTTENS LÄN</t>
        </is>
      </c>
      <c r="G156" t="inlineStr">
        <is>
          <t>DOROTEA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46279</v>
      </c>
      <c r="F157" t="inlineStr">
        <is>
          <t>VÄSTERBOTTENS LÄN</t>
        </is>
      </c>
      <c r="G157" t="inlineStr">
        <is>
          <t>DOROTEA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45519</v>
      </c>
      <c r="E158" s="1" t="n">
        <v>46279</v>
      </c>
      <c r="F158" t="inlineStr">
        <is>
          <t>VÄSTERBOTTENS LÄN</t>
        </is>
      </c>
      <c r="G158" t="inlineStr">
        <is>
          <t>DOROTEA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46279</v>
      </c>
      <c r="F159" t="inlineStr">
        <is>
          <t>VÄSTERBOTTENS LÄN</t>
        </is>
      </c>
      <c r="G159" t="inlineStr">
        <is>
          <t>DOROTEA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46279</v>
      </c>
      <c r="F160" t="inlineStr">
        <is>
          <t>VÄSTERBOTTENS LÄN</t>
        </is>
      </c>
      <c r="G160" t="inlineStr">
        <is>
          <t>DOROTEA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46279</v>
      </c>
      <c r="F161" t="inlineStr">
        <is>
          <t>VÄSTERBOTTENS LÄN</t>
        </is>
      </c>
      <c r="G161" t="inlineStr">
        <is>
          <t>DOROTEA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46279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46279</v>
      </c>
      <c r="F163" t="inlineStr">
        <is>
          <t>VÄSTERBOTTENS LÄN</t>
        </is>
      </c>
      <c r="G163" t="inlineStr">
        <is>
          <t>DOROTEA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46279</v>
      </c>
      <c r="F164" t="inlineStr">
        <is>
          <t>VÄSTERBOTTENS LÄN</t>
        </is>
      </c>
      <c r="G164" t="inlineStr">
        <is>
          <t>DOROTEA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46279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46279</v>
      </c>
      <c r="F166" t="inlineStr">
        <is>
          <t>VÄSTERBOTTENS LÄN</t>
        </is>
      </c>
      <c r="G166" t="inlineStr">
        <is>
          <t>DOROTEA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46279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45125</v>
      </c>
      <c r="E168" s="1" t="n">
        <v>46279</v>
      </c>
      <c r="F168" t="inlineStr">
        <is>
          <t>VÄSTERBOTTENS LÄN</t>
        </is>
      </c>
      <c r="G168" t="inlineStr">
        <is>
          <t>DOROTEA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46279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46279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46279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45182</v>
      </c>
      <c r="E172" s="1" t="n">
        <v>46279</v>
      </c>
      <c r="F172" t="inlineStr">
        <is>
          <t>VÄSTERBOTTENS LÄN</t>
        </is>
      </c>
      <c r="G172" t="inlineStr">
        <is>
          <t>DOROTEA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45463</v>
      </c>
      <c r="E173" s="1" t="n">
        <v>46279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46279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45796</v>
      </c>
      <c r="E175" s="1" t="n">
        <v>46279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46279</v>
      </c>
      <c r="F176" t="inlineStr">
        <is>
          <t>VÄSTERBOTTENS LÄN</t>
        </is>
      </c>
      <c r="G176" t="inlineStr">
        <is>
          <t>DOROTEA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46279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46279</v>
      </c>
      <c r="F178" t="inlineStr">
        <is>
          <t>VÄSTERBOTTENS LÄN</t>
        </is>
      </c>
      <c r="G178" t="inlineStr">
        <is>
          <t>DOROTEA</t>
        </is>
      </c>
      <c r="H178" t="inlineStr">
        <is>
          <t>Allmännings- och besparingsskogar</t>
        </is>
      </c>
      <c r="I178" t="n">
        <v>22.1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46279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Allmännings- och besparingsskogar</t>
        </is>
      </c>
      <c r="I179" t="n">
        <v>20.3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45149</v>
      </c>
      <c r="E180" s="1" t="n">
        <v>46279</v>
      </c>
      <c r="F180" t="inlineStr">
        <is>
          <t>VÄSTERBOTTENS LÄN</t>
        </is>
      </c>
      <c r="G180" t="inlineStr">
        <is>
          <t>DOROTEA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46279</v>
      </c>
      <c r="F181" t="inlineStr">
        <is>
          <t>VÄSTERBOTTENS LÄN</t>
        </is>
      </c>
      <c r="G181" t="inlineStr">
        <is>
          <t>DOROTEA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40434-2023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46279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46279</v>
      </c>
      <c r="F184" t="inlineStr">
        <is>
          <t>VÄSTERBOTTENS LÄN</t>
        </is>
      </c>
      <c r="G184" t="inlineStr">
        <is>
          <t>DOROTEA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46279</v>
      </c>
      <c r="F185" t="inlineStr">
        <is>
          <t>VÄSTERBOTTENS LÄN</t>
        </is>
      </c>
      <c r="G185" t="inlineStr">
        <is>
          <t>DOROTEA</t>
        </is>
      </c>
      <c r="I185" t="n">
        <v>13.3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46279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46279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46279</v>
      </c>
      <c r="F188" t="inlineStr">
        <is>
          <t>VÄSTERBOTTENS LÄN</t>
        </is>
      </c>
      <c r="G188" t="inlineStr">
        <is>
          <t>DOROTEA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46279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46279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46279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46279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46279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46279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46279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46279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46279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46279</v>
      </c>
      <c r="F199" t="inlineStr">
        <is>
          <t>VÄSTERBOTTENS LÄN</t>
        </is>
      </c>
      <c r="G199" t="inlineStr">
        <is>
          <t>DOROTEA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46279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Kommuner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46279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46279</v>
      </c>
      <c r="F202" t="inlineStr">
        <is>
          <t>VÄSTERBOTTENS LÄN</t>
        </is>
      </c>
      <c r="G202" t="inlineStr">
        <is>
          <t>DOROTEA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46279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46279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20.3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46279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46279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46279</v>
      </c>
      <c r="F207" t="inlineStr">
        <is>
          <t>VÄSTERBOTTENS LÄN</t>
        </is>
      </c>
      <c r="G207" t="inlineStr">
        <is>
          <t>DOROTEA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46279</v>
      </c>
      <c r="F208" t="inlineStr">
        <is>
          <t>VÄSTERBOTTENS LÄN</t>
        </is>
      </c>
      <c r="G208" t="inlineStr">
        <is>
          <t>DOROTEA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45977</v>
      </c>
      <c r="E209" s="1" t="n">
        <v>46279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46279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46279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46279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46279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46279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18.2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46279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46279</v>
      </c>
      <c r="F216" t="inlineStr">
        <is>
          <t>VÄSTERBOTTENS LÄN</t>
        </is>
      </c>
      <c r="G216" t="inlineStr">
        <is>
          <t>DOROTEA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46279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46279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46123</v>
      </c>
      <c r="E219" s="1" t="n">
        <v>46279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46279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46279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46279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46279</v>
      </c>
      <c r="F223" t="inlineStr">
        <is>
          <t>VÄSTERBOTTENS LÄN</t>
        </is>
      </c>
      <c r="G223" t="inlineStr">
        <is>
          <t>DOROTEA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45714</v>
      </c>
      <c r="E224" s="1" t="n">
        <v>46279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46279</v>
      </c>
      <c r="F225" t="inlineStr">
        <is>
          <t>VÄSTERBOTTENS LÄN</t>
        </is>
      </c>
      <c r="G225" t="inlineStr">
        <is>
          <t>DOROTEA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46279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46279</v>
      </c>
      <c r="F227" t="inlineStr">
        <is>
          <t>VÄSTERBOTTENS LÄN</t>
        </is>
      </c>
      <c r="G227" t="inlineStr">
        <is>
          <t>DOROTEA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46279</v>
      </c>
      <c r="F228" t="inlineStr">
        <is>
          <t>VÄSTERBOTTENS LÄN</t>
        </is>
      </c>
      <c r="G228" t="inlineStr">
        <is>
          <t>DOROTEA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46279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45862</v>
      </c>
      <c r="E230" s="1" t="n">
        <v>46279</v>
      </c>
      <c r="F230" t="inlineStr">
        <is>
          <t>VÄSTERBOTTENS LÄN</t>
        </is>
      </c>
      <c r="G230" t="inlineStr">
        <is>
          <t>DOROTEA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46279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46279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46279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46279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46279</v>
      </c>
      <c r="F235" t="inlineStr">
        <is>
          <t>VÄSTERBOTTENS LÄN</t>
        </is>
      </c>
      <c r="G235" t="inlineStr">
        <is>
          <t>DOROTEA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44568</v>
      </c>
      <c r="E236" s="1" t="n">
        <v>46279</v>
      </c>
      <c r="F236" t="inlineStr">
        <is>
          <t>VÄSTERBOTTENS LÄN</t>
        </is>
      </c>
      <c r="G236" t="inlineStr">
        <is>
          <t>DOROTEA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46003</v>
      </c>
      <c r="E237" s="1" t="n">
        <v>46279</v>
      </c>
      <c r="F237" t="inlineStr">
        <is>
          <t>VÄSTERBOTTENS LÄN</t>
        </is>
      </c>
      <c r="G237" t="inlineStr">
        <is>
          <t>DOROTEA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46279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45539</v>
      </c>
      <c r="E239" s="1" t="n">
        <v>46279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46279</v>
      </c>
      <c r="F240" t="inlineStr">
        <is>
          <t>VÄSTERBOTTENS LÄN</t>
        </is>
      </c>
      <c r="G240" t="inlineStr">
        <is>
          <t>DOROTEA</t>
        </is>
      </c>
      <c r="I240" t="n">
        <v>16.7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46279</v>
      </c>
      <c r="F241" t="inlineStr">
        <is>
          <t>VÄSTERBOTTENS LÄN</t>
        </is>
      </c>
      <c r="G241" t="inlineStr">
        <is>
          <t>DOROTEA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46279</v>
      </c>
      <c r="F242" t="inlineStr">
        <is>
          <t>VÄSTERBOTTENS LÄN</t>
        </is>
      </c>
      <c r="G242" t="inlineStr">
        <is>
          <t>DOROTEA</t>
        </is>
      </c>
      <c r="I242" t="n">
        <v>13.2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45755</v>
      </c>
      <c r="E243" s="1" t="n">
        <v>46279</v>
      </c>
      <c r="F243" t="inlineStr">
        <is>
          <t>VÄSTERBOTTENS LÄN</t>
        </is>
      </c>
      <c r="G243" t="inlineStr">
        <is>
          <t>DOROTEA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46279</v>
      </c>
      <c r="F244" t="inlineStr">
        <is>
          <t>VÄSTERBOTTENS LÄN</t>
        </is>
      </c>
      <c r="G244" t="inlineStr">
        <is>
          <t>DOROTEA</t>
        </is>
      </c>
      <c r="I244" t="n">
        <v>12.3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46279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9.4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46279</v>
      </c>
      <c r="F246" t="inlineStr">
        <is>
          <t>VÄSTERBOTTENS LÄN</t>
        </is>
      </c>
      <c r="G246" t="inlineStr">
        <is>
          <t>DOROTEA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46279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46279</v>
      </c>
      <c r="F248" t="inlineStr">
        <is>
          <t>VÄSTERBOTTENS LÄN</t>
        </is>
      </c>
      <c r="G248" t="inlineStr">
        <is>
          <t>DOROTEA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46279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55919-2023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45239</v>
      </c>
      <c r="E250" s="1" t="n">
        <v>46279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46279</v>
      </c>
      <c r="F251" t="inlineStr">
        <is>
          <t>VÄSTERBOTTENS LÄN</t>
        </is>
      </c>
      <c r="G251" t="inlineStr">
        <is>
          <t>DOROTEA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46279</v>
      </c>
      <c r="F252" t="inlineStr">
        <is>
          <t>VÄSTERBOTTENS LÄN</t>
        </is>
      </c>
      <c r="G252" t="inlineStr">
        <is>
          <t>DOROTEA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45855</v>
      </c>
      <c r="E254" s="1" t="n">
        <v>46279</v>
      </c>
      <c r="F254" t="inlineStr">
        <is>
          <t>VÄSTERBOTTENS LÄN</t>
        </is>
      </c>
      <c r="G254" t="inlineStr">
        <is>
          <t>DOROTEA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46017</v>
      </c>
      <c r="E255" s="1" t="n">
        <v>46279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8.699999999999999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46279</v>
      </c>
      <c r="F256" t="inlineStr">
        <is>
          <t>VÄSTERBOTTENS LÄN</t>
        </is>
      </c>
      <c r="G256" t="inlineStr">
        <is>
          <t>DOROTEA</t>
        </is>
      </c>
      <c r="I256" t="n">
        <v>11.1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46279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46279</v>
      </c>
      <c r="F258" t="inlineStr">
        <is>
          <t>VÄSTERBOTTENS LÄN</t>
        </is>
      </c>
      <c r="G258" t="inlineStr">
        <is>
          <t>DOROTEA</t>
        </is>
      </c>
      <c r="I258" t="n">
        <v>18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45295</v>
      </c>
      <c r="E259" s="1" t="n">
        <v>46279</v>
      </c>
      <c r="F259" t="inlineStr">
        <is>
          <t>VÄSTERBOTTENS LÄN</t>
        </is>
      </c>
      <c r="G259" t="inlineStr">
        <is>
          <t>DOROTEA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46279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46279</v>
      </c>
      <c r="F261" t="inlineStr">
        <is>
          <t>VÄSTERBOTTENS LÄN</t>
        </is>
      </c>
      <c r="G261" t="inlineStr">
        <is>
          <t>DOROTEA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46279</v>
      </c>
      <c r="F262" t="inlineStr">
        <is>
          <t>VÄSTERBOTTENS LÄN</t>
        </is>
      </c>
      <c r="G262" t="inlineStr">
        <is>
          <t>DOROTEA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46279</v>
      </c>
      <c r="F263" t="inlineStr">
        <is>
          <t>VÄSTERBOTTENS LÄN</t>
        </is>
      </c>
      <c r="G263" t="inlineStr">
        <is>
          <t>DOROTEA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46279</v>
      </c>
      <c r="F264" t="inlineStr">
        <is>
          <t>VÄSTERBOTTENS LÄN</t>
        </is>
      </c>
      <c r="G264" t="inlineStr">
        <is>
          <t>DOROTEA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46279</v>
      </c>
      <c r="F265" t="inlineStr">
        <is>
          <t>VÄSTERBOTTENS LÄN</t>
        </is>
      </c>
      <c r="G265" t="inlineStr">
        <is>
          <t>DOROTEA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46279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46279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46279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46279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46279</v>
      </c>
      <c r="F270" t="inlineStr">
        <is>
          <t>VÄSTERBOTTENS LÄN</t>
        </is>
      </c>
      <c r="G270" t="inlineStr">
        <is>
          <t>DOROTEA</t>
        </is>
      </c>
      <c r="I270" t="n">
        <v>31.7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46279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46279</v>
      </c>
      <c r="F272" t="inlineStr">
        <is>
          <t>VÄSTERBOTTENS LÄN</t>
        </is>
      </c>
      <c r="G272" t="inlineStr">
        <is>
          <t>DOROTEA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55889-2022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44888</v>
      </c>
      <c r="E273" s="1" t="n">
        <v>46279</v>
      </c>
      <c r="F273" t="inlineStr">
        <is>
          <t>VÄSTERBOTTENS LÄN</t>
        </is>
      </c>
      <c r="G273" t="inlineStr">
        <is>
          <t>DOROTEA</t>
        </is>
      </c>
      <c r="I273" t="n">
        <v>15.8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46279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46279</v>
      </c>
      <c r="F275" t="inlineStr">
        <is>
          <t>VÄSTERBOTTENS LÄN</t>
        </is>
      </c>
      <c r="G275" t="inlineStr">
        <is>
          <t>DOROTEA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46279</v>
      </c>
      <c r="F276" t="inlineStr">
        <is>
          <t>VÄSTERBOTTENS LÄN</t>
        </is>
      </c>
      <c r="G276" t="inlineStr">
        <is>
          <t>DOROTEA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46279</v>
      </c>
      <c r="F277" t="inlineStr">
        <is>
          <t>VÄSTERBOTTENS LÄN</t>
        </is>
      </c>
      <c r="G277" t="inlineStr">
        <is>
          <t>DOROTEA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46279</v>
      </c>
      <c r="F278" t="inlineStr">
        <is>
          <t>VÄSTERBOTTENS LÄN</t>
        </is>
      </c>
      <c r="G278" t="inlineStr">
        <is>
          <t>DOROTEA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46279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46279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46279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46279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46054</v>
      </c>
      <c r="E283" s="1" t="n">
        <v>46279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46279</v>
      </c>
      <c r="F284" t="inlineStr">
        <is>
          <t>VÄSTERBOTTENS LÄN</t>
        </is>
      </c>
      <c r="G284" t="inlineStr">
        <is>
          <t>DOROTEA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46279</v>
      </c>
      <c r="F285" t="inlineStr">
        <is>
          <t>VÄSTERBOTTENS LÄN</t>
        </is>
      </c>
      <c r="G285" t="inlineStr">
        <is>
          <t>DOROTEA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46279</v>
      </c>
      <c r="F286" t="inlineStr">
        <is>
          <t>VÄSTERBOTTENS LÄN</t>
        </is>
      </c>
      <c r="G286" t="inlineStr">
        <is>
          <t>DOROTEA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46279</v>
      </c>
      <c r="F287" t="inlineStr">
        <is>
          <t>VÄSTERBOTTENS LÄN</t>
        </is>
      </c>
      <c r="G287" t="inlineStr">
        <is>
          <t>DOROTEA</t>
        </is>
      </c>
      <c r="I287" t="n">
        <v>13.3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45876</v>
      </c>
      <c r="E288" s="1" t="n">
        <v>46279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45351</v>
      </c>
      <c r="E289" s="1" t="n">
        <v>46279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46279</v>
      </c>
      <c r="F290" t="inlineStr">
        <is>
          <t>VÄSTERBOTTENS LÄN</t>
        </is>
      </c>
      <c r="G290" t="inlineStr">
        <is>
          <t>DOROTEA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46279</v>
      </c>
      <c r="F291" t="inlineStr">
        <is>
          <t>VÄSTERBOTTENS LÄN</t>
        </is>
      </c>
      <c r="G291" t="inlineStr">
        <is>
          <t>DOROTEA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46279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45556</v>
      </c>
      <c r="E293" s="1" t="n">
        <v>46279</v>
      </c>
      <c r="F293" t="inlineStr">
        <is>
          <t>VÄSTERBOTTENS LÄN</t>
        </is>
      </c>
      <c r="G293" t="inlineStr">
        <is>
          <t>DOROTEA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46279</v>
      </c>
      <c r="F294" t="inlineStr">
        <is>
          <t>VÄSTERBOTTENS LÄN</t>
        </is>
      </c>
      <c r="G294" t="inlineStr">
        <is>
          <t>DOROTEA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46279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46279</v>
      </c>
      <c r="F296" t="inlineStr">
        <is>
          <t>VÄSTERBOTTENS LÄN</t>
        </is>
      </c>
      <c r="G296" t="inlineStr">
        <is>
          <t>DOROTEA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46279</v>
      </c>
      <c r="F297" t="inlineStr">
        <is>
          <t>VÄSTERBOTTENS LÄN</t>
        </is>
      </c>
      <c r="G297" t="inlineStr">
        <is>
          <t>DOROTEA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46966-2024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45586</v>
      </c>
      <c r="E298" s="1" t="n">
        <v>46279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46141</v>
      </c>
      <c r="E299" s="1" t="n">
        <v>46279</v>
      </c>
      <c r="F299" t="inlineStr">
        <is>
          <t>VÄSTERBOTTENS LÄN</t>
        </is>
      </c>
      <c r="G299" t="inlineStr">
        <is>
          <t>DOROTEA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46279</v>
      </c>
      <c r="F300" t="inlineStr">
        <is>
          <t>VÄSTERBOTTENS LÄN</t>
        </is>
      </c>
      <c r="G300" t="inlineStr">
        <is>
          <t>DOROTEA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46279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46279</v>
      </c>
      <c r="F302" t="inlineStr">
        <is>
          <t>VÄSTERBOTTENS LÄN</t>
        </is>
      </c>
      <c r="G302" t="inlineStr">
        <is>
          <t>DOROTEA</t>
        </is>
      </c>
      <c r="I302" t="n">
        <v>21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46279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46279</v>
      </c>
      <c r="F304" t="inlineStr">
        <is>
          <t>VÄSTERBOTTENS LÄN</t>
        </is>
      </c>
      <c r="G304" t="inlineStr">
        <is>
          <t>DOROTEA</t>
        </is>
      </c>
      <c r="I304" t="n">
        <v>17.8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46279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46279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46279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45331</v>
      </c>
      <c r="E308" s="1" t="n">
        <v>46279</v>
      </c>
      <c r="F308" t="inlineStr">
        <is>
          <t>VÄSTERBOTTENS LÄN</t>
        </is>
      </c>
      <c r="G308" t="inlineStr">
        <is>
          <t>DOROTEA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46279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46279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46147</v>
      </c>
      <c r="E311" s="1" t="n">
        <v>46279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46279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46279</v>
      </c>
      <c r="F313" t="inlineStr">
        <is>
          <t>VÄSTERBOTTENS LÄN</t>
        </is>
      </c>
      <c r="G313" t="inlineStr">
        <is>
          <t>DOROTEA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46279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46279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46279</v>
      </c>
      <c r="F316" t="inlineStr">
        <is>
          <t>VÄSTERBOTTENS LÄN</t>
        </is>
      </c>
      <c r="G316" t="inlineStr">
        <is>
          <t>DOROTEA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46279</v>
      </c>
      <c r="F317" t="inlineStr">
        <is>
          <t>VÄSTERBOTTENS LÄN</t>
        </is>
      </c>
      <c r="G317" t="inlineStr">
        <is>
          <t>DOROTEA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46279</v>
      </c>
      <c r="F318" t="inlineStr">
        <is>
          <t>VÄSTERBOTTENS LÄN</t>
        </is>
      </c>
      <c r="G318" t="inlineStr">
        <is>
          <t>DOROTEA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46279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45614</v>
      </c>
      <c r="E320" s="1" t="n">
        <v>46279</v>
      </c>
      <c r="F320" t="inlineStr">
        <is>
          <t>VÄSTERBOTTENS LÄN</t>
        </is>
      </c>
      <c r="G320" t="inlineStr">
        <is>
          <t>DOROTEA</t>
        </is>
      </c>
      <c r="I320" t="n">
        <v>26.5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46279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55888-2022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46279</v>
      </c>
      <c r="F322" t="inlineStr">
        <is>
          <t>VÄSTERBOTTENS LÄN</t>
        </is>
      </c>
      <c r="G322" t="inlineStr">
        <is>
          <t>DOROTEA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46279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46279</v>
      </c>
      <c r="F324" t="inlineStr">
        <is>
          <t>VÄSTERBOTTENS LÄN</t>
        </is>
      </c>
      <c r="G324" t="inlineStr">
        <is>
          <t>DOROTEA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46279</v>
      </c>
      <c r="F325" t="inlineStr">
        <is>
          <t>VÄSTERBOTTENS LÄN</t>
        </is>
      </c>
      <c r="G325" t="inlineStr">
        <is>
          <t>DOROTEA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46279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46279</v>
      </c>
      <c r="F327" t="inlineStr">
        <is>
          <t>VÄSTERBOTTENS LÄN</t>
        </is>
      </c>
      <c r="G327" t="inlineStr">
        <is>
          <t>DOROTEA</t>
        </is>
      </c>
      <c r="H327" t="inlineStr">
        <is>
          <t>Kommuner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46279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46279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46279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45729</v>
      </c>
      <c r="E331" s="1" t="n">
        <v>46279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46279</v>
      </c>
      <c r="F332" t="inlineStr">
        <is>
          <t>VÄSTERBOTTENS LÄN</t>
        </is>
      </c>
      <c r="G332" t="inlineStr">
        <is>
          <t>DOROTEA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45505</v>
      </c>
      <c r="E333" s="1" t="n">
        <v>46279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46279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46279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30461-2024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45491</v>
      </c>
      <c r="E336" s="1" t="n">
        <v>46279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45962</v>
      </c>
      <c r="E337" s="1" t="n">
        <v>46279</v>
      </c>
      <c r="F337" t="inlineStr">
        <is>
          <t>VÄSTERBOTTENS LÄN</t>
        </is>
      </c>
      <c r="G337" t="inlineStr">
        <is>
          <t>DOROTEA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46279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46279</v>
      </c>
      <c r="F339" t="inlineStr">
        <is>
          <t>VÄSTERBOTTENS LÄN</t>
        </is>
      </c>
      <c r="G339" t="inlineStr">
        <is>
          <t>DOROTEA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45600</v>
      </c>
      <c r="E340" s="1" t="n">
        <v>46279</v>
      </c>
      <c r="F340" t="inlineStr">
        <is>
          <t>VÄSTERBOTTENS LÄN</t>
        </is>
      </c>
      <c r="G340" t="inlineStr">
        <is>
          <t>DOROTEA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46279</v>
      </c>
      <c r="F341" t="inlineStr">
        <is>
          <t>VÄSTERBOTTENS LÄN</t>
        </is>
      </c>
      <c r="G341" t="inlineStr">
        <is>
          <t>DOROTEA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44742</v>
      </c>
      <c r="E342" s="1" t="n">
        <v>46279</v>
      </c>
      <c r="F342" t="inlineStr">
        <is>
          <t>VÄSTERBOTTENS LÄN</t>
        </is>
      </c>
      <c r="G342" t="inlineStr">
        <is>
          <t>DOROTEA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46279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9103-2023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46279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46279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46279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46279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46279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46279</v>
      </c>
      <c r="F349" t="inlineStr">
        <is>
          <t>VÄSTERBOTTENS LÄN</t>
        </is>
      </c>
      <c r="G349" t="inlineStr">
        <is>
          <t>DOROTEA</t>
        </is>
      </c>
      <c r="I349" t="n">
        <v>26.2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46279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46178</v>
      </c>
      <c r="E351" s="1" t="n">
        <v>46279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45735</v>
      </c>
      <c r="E352" s="1" t="n">
        <v>46279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46279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46279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46279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44748</v>
      </c>
      <c r="E356" s="1" t="n">
        <v>46279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47494-2023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45202</v>
      </c>
      <c r="E357" s="1" t="n">
        <v>46279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46185</v>
      </c>
      <c r="E358" s="1" t="n">
        <v>46279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46279</v>
      </c>
      <c r="F359" t="inlineStr">
        <is>
          <t>VÄSTERBOTTENS LÄN</t>
        </is>
      </c>
      <c r="G359" t="inlineStr">
        <is>
          <t>DOROTEA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46191</v>
      </c>
      <c r="E360" s="1" t="n">
        <v>46279</v>
      </c>
      <c r="F360" t="inlineStr">
        <is>
          <t>VÄSTERBOTTENS LÄN</t>
        </is>
      </c>
      <c r="G360" t="inlineStr">
        <is>
          <t>DOROTEA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46279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46279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46279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56807-2021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44481</v>
      </c>
      <c r="E364" s="1" t="n">
        <v>46279</v>
      </c>
      <c r="F364" t="inlineStr">
        <is>
          <t>VÄSTERBOTTENS LÄN</t>
        </is>
      </c>
      <c r="G364" t="inlineStr">
        <is>
          <t>DOROTEA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46279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14163-2024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45392</v>
      </c>
      <c r="E366" s="1" t="n">
        <v>46279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46196</v>
      </c>
      <c r="E367" s="1" t="n">
        <v>46279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46279</v>
      </c>
      <c r="F368" t="inlineStr">
        <is>
          <t>VÄSTERBOTTENS LÄN</t>
        </is>
      </c>
      <c r="G368" t="inlineStr">
        <is>
          <t>DOROTEA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46279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46279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44848</v>
      </c>
      <c r="E371" s="1" t="n">
        <v>46279</v>
      </c>
      <c r="F371" t="inlineStr">
        <is>
          <t>VÄSTERBOTTENS LÄN</t>
        </is>
      </c>
      <c r="G371" t="inlineStr">
        <is>
          <t>DOROTEA</t>
        </is>
      </c>
      <c r="I371" t="n">
        <v>29.8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46279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45565</v>
      </c>
      <c r="E373" s="1" t="n">
        <v>46279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46965-2024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45586</v>
      </c>
      <c r="E374" s="1" t="n">
        <v>46279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46279</v>
      </c>
      <c r="F375" t="inlineStr">
        <is>
          <t>VÄSTERBOTTENS LÄN</t>
        </is>
      </c>
      <c r="G375" t="inlineStr">
        <is>
          <t>DOROTEA</t>
        </is>
      </c>
      <c r="I375" t="n">
        <v>18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46279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46279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46247</v>
      </c>
      <c r="E378" s="1" t="n">
        <v>46279</v>
      </c>
      <c r="F378" t="inlineStr">
        <is>
          <t>VÄSTERBOTTENS LÄN</t>
        </is>
      </c>
      <c r="G378" t="inlineStr">
        <is>
          <t>DOROTEA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46279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46279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27477-2023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45097</v>
      </c>
      <c r="E381" s="1" t="n">
        <v>46279</v>
      </c>
      <c r="F381" t="inlineStr">
        <is>
          <t>VÄSTERBOTTENS LÄN</t>
        </is>
      </c>
      <c r="G381" t="inlineStr">
        <is>
          <t>DOROTEA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44942</v>
      </c>
      <c r="E382" s="1" t="n">
        <v>46279</v>
      </c>
      <c r="F382" t="inlineStr">
        <is>
          <t>VÄSTERBOTTENS LÄN</t>
        </is>
      </c>
      <c r="G382" t="inlineStr">
        <is>
          <t>DOROTEA</t>
        </is>
      </c>
      <c r="I382" t="n">
        <v>22.7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46279</v>
      </c>
      <c r="F383" t="inlineStr">
        <is>
          <t>VÄSTERBOTTENS LÄN</t>
        </is>
      </c>
      <c r="G383" t="inlineStr">
        <is>
          <t>DOROTEA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46279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46279</v>
      </c>
      <c r="F385" t="inlineStr">
        <is>
          <t>VÄSTERBOTTENS LÄN</t>
        </is>
      </c>
      <c r="G385" t="inlineStr">
        <is>
          <t>DOROTEA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46279</v>
      </c>
      <c r="F386" t="inlineStr">
        <is>
          <t>VÄSTERBOTTENS LÄN</t>
        </is>
      </c>
      <c r="G386" t="inlineStr">
        <is>
          <t>DOROTEA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46211</v>
      </c>
      <c r="E387" s="1" t="n">
        <v>46279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46211</v>
      </c>
      <c r="E388" s="1" t="n">
        <v>46279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46279</v>
      </c>
      <c r="F389" t="inlineStr">
        <is>
          <t>VÄSTERBOTTENS LÄN</t>
        </is>
      </c>
      <c r="G389" t="inlineStr">
        <is>
          <t>DOROTEA</t>
        </is>
      </c>
      <c r="I389" t="n">
        <v>13.6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45639</v>
      </c>
      <c r="E390" s="1" t="n">
        <v>46279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46279</v>
      </c>
      <c r="F391" t="inlineStr">
        <is>
          <t>VÄSTERBOTTENS LÄN</t>
        </is>
      </c>
      <c r="G391" t="inlineStr">
        <is>
          <t>DOROTEA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46279</v>
      </c>
      <c r="F392" t="inlineStr">
        <is>
          <t>VÄSTERBOTTENS LÄN</t>
        </is>
      </c>
      <c r="G392" t="inlineStr">
        <is>
          <t>DOROTEA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46279</v>
      </c>
      <c r="F393" t="inlineStr">
        <is>
          <t>VÄSTERBOTTENS LÄN</t>
        </is>
      </c>
      <c r="G393" t="inlineStr">
        <is>
          <t>DOROTEA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46279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45356</v>
      </c>
      <c r="E395" s="1" t="n">
        <v>46279</v>
      </c>
      <c r="F395" t="inlineStr">
        <is>
          <t>VÄSTERBOTTENS LÄN</t>
        </is>
      </c>
      <c r="G395" t="inlineStr">
        <is>
          <t>DOROTEA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46279</v>
      </c>
      <c r="F396" t="inlineStr">
        <is>
          <t>VÄSTERBOTTENS LÄN</t>
        </is>
      </c>
      <c r="G396" t="inlineStr">
        <is>
          <t>DOROTEA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45770</v>
      </c>
      <c r="E397" s="1" t="n">
        <v>46279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45351</v>
      </c>
      <c r="E398" s="1" t="n">
        <v>46279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46279</v>
      </c>
      <c r="F399" t="inlineStr">
        <is>
          <t>VÄSTERBOTTENS LÄN</t>
        </is>
      </c>
      <c r="G399" t="inlineStr">
        <is>
          <t>DOROTEA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46279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46213</v>
      </c>
      <c r="E401" s="1" t="n">
        <v>46279</v>
      </c>
      <c r="F401" t="inlineStr">
        <is>
          <t>VÄSTERBOTTENS LÄN</t>
        </is>
      </c>
      <c r="G401" t="inlineStr">
        <is>
          <t>DOROTEA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46279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46279</v>
      </c>
      <c r="F403" t="inlineStr">
        <is>
          <t>VÄSTERBOTTENS LÄN</t>
        </is>
      </c>
      <c r="G403" t="inlineStr">
        <is>
          <t>DOROTEA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46279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46279</v>
      </c>
      <c r="F405" t="inlineStr">
        <is>
          <t>VÄSTERBOTTENS LÄN</t>
        </is>
      </c>
      <c r="G405" t="inlineStr">
        <is>
          <t>DOROTEA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45253</v>
      </c>
      <c r="E406" s="1" t="n">
        <v>46279</v>
      </c>
      <c r="F406" t="inlineStr">
        <is>
          <t>VÄSTERBOTTENS LÄN</t>
        </is>
      </c>
      <c r="G406" t="inlineStr">
        <is>
          <t>DOROTEA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45055</v>
      </c>
      <c r="E407" s="1" t="n">
        <v>46279</v>
      </c>
      <c r="F407" t="inlineStr">
        <is>
          <t>VÄSTERBOTTENS LÄN</t>
        </is>
      </c>
      <c r="G407" t="inlineStr">
        <is>
          <t>DOROTEA</t>
        </is>
      </c>
      <c r="H407" t="inlineStr">
        <is>
          <t>Övriga statliga verk och myndigheter</t>
        </is>
      </c>
      <c r="I407" t="n">
        <v>13.9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67686-2021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44524</v>
      </c>
      <c r="E408" s="1" t="n">
        <v>46279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31179-2026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46279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32821-2024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45516</v>
      </c>
      <c r="E410" s="1" t="n">
        <v>46279</v>
      </c>
      <c r="F410" t="inlineStr">
        <is>
          <t>VÄSTERBOTTENS LÄN</t>
        </is>
      </c>
      <c r="G410" t="inlineStr">
        <is>
          <t>DOROTEA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46279</v>
      </c>
      <c r="F411" t="inlineStr">
        <is>
          <t>VÄSTERBOTTENS LÄN</t>
        </is>
      </c>
      <c r="G411" t="inlineStr">
        <is>
          <t>DOROTEA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46218</v>
      </c>
      <c r="E412" s="1" t="n">
        <v>46279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46218</v>
      </c>
      <c r="E413" s="1" t="n">
        <v>46279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46261</v>
      </c>
      <c r="E414" s="1" t="n">
        <v>46279</v>
      </c>
      <c r="F414" t="inlineStr">
        <is>
          <t>VÄSTERBOTTENS LÄN</t>
        </is>
      </c>
      <c r="G414" t="inlineStr">
        <is>
          <t>DOROTEA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46261</v>
      </c>
      <c r="E415" s="1" t="n">
        <v>46279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46261</v>
      </c>
      <c r="E416" s="1" t="n">
        <v>46279</v>
      </c>
      <c r="F416" t="inlineStr">
        <is>
          <t>VÄSTERBOTTENS LÄN</t>
        </is>
      </c>
      <c r="G416" t="inlineStr">
        <is>
          <t>DOROTEA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46279</v>
      </c>
      <c r="F417" t="inlineStr">
        <is>
          <t>VÄSTERBOTTENS LÄN</t>
        </is>
      </c>
      <c r="G417" t="inlineStr">
        <is>
          <t>DOROTEA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46279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45125</v>
      </c>
      <c r="E419" s="1" t="n">
        <v>46279</v>
      </c>
      <c r="F419" t="inlineStr">
        <is>
          <t>VÄSTERBOTTENS LÄN</t>
        </is>
      </c>
      <c r="G419" t="inlineStr">
        <is>
          <t>DOROTEA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45142</v>
      </c>
      <c r="E420" s="1" t="n">
        <v>46279</v>
      </c>
      <c r="F420" t="inlineStr">
        <is>
          <t>VÄSTERBOTTENS LÄN</t>
        </is>
      </c>
      <c r="G420" t="inlineStr">
        <is>
          <t>DOROTEA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46262</v>
      </c>
      <c r="E421" s="1" t="n">
        <v>46279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46218</v>
      </c>
      <c r="E422" s="1" t="n">
        <v>46279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46279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46279</v>
      </c>
      <c r="F424" t="inlineStr">
        <is>
          <t>VÄSTERBOTTENS LÄN</t>
        </is>
      </c>
      <c r="G424" t="inlineStr">
        <is>
          <t>DOROTEA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46279</v>
      </c>
      <c r="F425" t="inlineStr">
        <is>
          <t>VÄSTERBOTTENS LÄN</t>
        </is>
      </c>
      <c r="G425" t="inlineStr">
        <is>
          <t>DOROTEA</t>
        </is>
      </c>
      <c r="I425" t="n">
        <v>12.3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45735</v>
      </c>
      <c r="E426" s="1" t="n">
        <v>46279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46224</v>
      </c>
      <c r="E427" s="1" t="n">
        <v>46279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46268</v>
      </c>
      <c r="E428" s="1" t="n">
        <v>46279</v>
      </c>
      <c r="F428" t="inlineStr">
        <is>
          <t>VÄSTERBOTTENS LÄN</t>
        </is>
      </c>
      <c r="G428" t="inlineStr">
        <is>
          <t>DOROTEA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46224</v>
      </c>
      <c r="E429" s="1" t="n">
        <v>46279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46224</v>
      </c>
      <c r="E430" s="1" t="n">
        <v>46279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46279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46279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45642</v>
      </c>
      <c r="E433" s="1" t="n">
        <v>46279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46279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60015-2023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45257</v>
      </c>
      <c r="E435" s="1" t="n">
        <v>46279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45315</v>
      </c>
      <c r="E436" s="1" t="n">
        <v>46279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45720</v>
      </c>
      <c r="E437" s="1" t="n">
        <v>46279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45253</v>
      </c>
      <c r="E438" s="1" t="n">
        <v>46279</v>
      </c>
      <c r="F438" t="inlineStr">
        <is>
          <t>VÄSTERBOTTENS LÄN</t>
        </is>
      </c>
      <c r="G438" t="inlineStr">
        <is>
          <t>DOROTEA</t>
        </is>
      </c>
      <c r="I438" t="n">
        <v>28.8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27305-2024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45471</v>
      </c>
      <c r="E439" s="1" t="n">
        <v>46279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46279</v>
      </c>
      <c r="F440" t="inlineStr">
        <is>
          <t>VÄSTERBOTTENS LÄN</t>
        </is>
      </c>
      <c r="G440" t="inlineStr">
        <is>
          <t>DOROTEA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45572</v>
      </c>
      <c r="E441" s="1" t="n">
        <v>46279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45478</v>
      </c>
      <c r="E442" s="1" t="n">
        <v>46279</v>
      </c>
      <c r="F442" t="inlineStr">
        <is>
          <t>VÄSTERBOTTENS LÄN</t>
        </is>
      </c>
      <c r="G442" t="inlineStr">
        <is>
          <t>DOROTEA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46279</v>
      </c>
      <c r="F443" t="inlineStr">
        <is>
          <t>VÄSTERBOTTENS LÄN</t>
        </is>
      </c>
      <c r="G443" t="inlineStr">
        <is>
          <t>DOROTEA</t>
        </is>
      </c>
      <c r="I443" t="n">
        <v>11.2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42104-2024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45562</v>
      </c>
      <c r="E444" s="1" t="n">
        <v>46279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45789</v>
      </c>
      <c r="E445" s="1" t="n">
        <v>46279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46279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45792</v>
      </c>
      <c r="E447" s="1" t="n">
        <v>46279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45485</v>
      </c>
      <c r="E448" s="1" t="n">
        <v>46279</v>
      </c>
      <c r="F448" t="inlineStr">
        <is>
          <t>VÄSTERBOTTENS LÄN</t>
        </is>
      </c>
      <c r="G448" t="inlineStr">
        <is>
          <t>DOROTEA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44645</v>
      </c>
      <c r="E449" s="1" t="n">
        <v>46279</v>
      </c>
      <c r="F449" t="inlineStr">
        <is>
          <t>VÄSTERBOTTENS LÄN</t>
        </is>
      </c>
      <c r="G449" t="inlineStr">
        <is>
          <t>DOROTEA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45140</v>
      </c>
      <c r="E450" s="1" t="n">
        <v>46279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46279</v>
      </c>
      <c r="F451" t="inlineStr">
        <is>
          <t>VÄSTERBOTTENS LÄN</t>
        </is>
      </c>
      <c r="G451" t="inlineStr">
        <is>
          <t>DOROTEA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33113-2024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45517</v>
      </c>
      <c r="E452" s="1" t="n">
        <v>46279</v>
      </c>
      <c r="F452" t="inlineStr">
        <is>
          <t>VÄSTERBOTTENS LÄN</t>
        </is>
      </c>
      <c r="G452" t="inlineStr">
        <is>
          <t>DOROTEA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46279</v>
      </c>
      <c r="F453" t="inlineStr">
        <is>
          <t>VÄSTERBOTTENS LÄN</t>
        </is>
      </c>
      <c r="G453" t="inlineStr">
        <is>
          <t>DOROTEA</t>
        </is>
      </c>
      <c r="I453" t="n">
        <v>12.8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45800</v>
      </c>
      <c r="E454" s="1" t="n">
        <v>46279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45803</v>
      </c>
      <c r="E455" s="1" t="n">
        <v>46279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46279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45807</v>
      </c>
      <c r="E457" s="1" t="n">
        <v>46279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45807</v>
      </c>
      <c r="E458" s="1" t="n">
        <v>46279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46279</v>
      </c>
      <c r="F459" t="inlineStr">
        <is>
          <t>VÄSTERBOTTENS LÄN</t>
        </is>
      </c>
      <c r="G459" t="inlineStr">
        <is>
          <t>DOROTEA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14759-2025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45742</v>
      </c>
      <c r="E460" s="1" t="n">
        <v>46279</v>
      </c>
      <c r="F460" t="inlineStr">
        <is>
          <t>VÄSTERBOTTENS LÄN</t>
        </is>
      </c>
      <c r="G460" t="inlineStr">
        <is>
          <t>DOROTEA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46279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45817</v>
      </c>
      <c r="E462" s="1" t="n">
        <v>46279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46279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46279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46279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46279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46279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46279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46279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2026-09-14T02:15:07Z</dcterms:created>
  <dcterms:modified xmlns:dcterms="http://purl.org/dc/terms/" xmlns:xsi="http://www.w3.org/2001/XMLSchema-instance" xsi:type="dcterms:W3CDTF">2026-09-14T02:15:07Z</dcterms:modified>
</cp:coreProperties>
</file>