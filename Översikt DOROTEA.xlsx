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46273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46273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46273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46273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46273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46273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46273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46273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46273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46273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46273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46273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46273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46273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46273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46273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46273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46273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A 28909-2025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45820</v>
      </c>
      <c r="E24" s="1" t="n">
        <v>46273</v>
      </c>
      <c r="F24" t="inlineStr">
        <is>
          <t>VÄSTERBOTTENS LÄN</t>
        </is>
      </c>
      <c r="G24" t="inlineStr">
        <is>
          <t>DOROTEA</t>
        </is>
      </c>
      <c r="H24" t="inlineStr">
        <is>
          <t>Kyrkan</t>
        </is>
      </c>
      <c r="I24" t="n">
        <v>5.5</v>
      </c>
      <c r="J24" t="n">
        <v>1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8</v>
      </c>
      <c r="U24" t="n">
        <v>8</v>
      </c>
      <c r="V24" s="2" t="inlineStr">
        <is>
          <t>Kolflarnlav
Mörk kolflarnlav
Tretåig hackspett</t>
        </is>
      </c>
      <c r="W24">
        <f>HYPERLINK("https://klasma.github.io/Logging_2425/artfynd/A 28909-2025 artfynd.xlsx", "A 28909-2025")</f>
        <v/>
      </c>
      <c r="X24">
        <f>HYPERLINK("https://klasma.github.io/Logging_2425/kartor/A 28909-2025 karta.png", "A 28909-2025")</f>
        <v/>
      </c>
      <c r="Y24">
        <f>HYPERLINK("https://klasma.github.io/Logging_2425/kartor_geotiff/A 28909-2025 georefererad karta.tif", "A 28909-2025")</f>
        <v/>
      </c>
      <c r="AA24">
        <f>HYPERLINK("https://klasma.github.io/Logging_2425/klagomål/A 28909-2025 FSC-klagomål.docx", "A 28909-2025")</f>
        <v/>
      </c>
      <c r="AB24">
        <f>HYPERLINK("https://klasma.github.io/Logging_2425/klagomålsmail/A 28909-2025 FSC-klagomål mail.docx", "A 28909-2025")</f>
        <v/>
      </c>
      <c r="AC24">
        <f>HYPERLINK("https://klasma.github.io/Logging_2425/tillsyn/A 28909-2025 tillsynsbegäran.docx", "A 28909-2025")</f>
        <v/>
      </c>
      <c r="AD24">
        <f>HYPERLINK("https://klasma.github.io/Logging_2425/tillsynsmail/A 28909-2025 tillsynsbegäran mail.docx", "A 28909-2025")</f>
        <v/>
      </c>
      <c r="AE24">
        <f>HYPERLINK("https://klasma.github.io/Logging_2425/fåglar/A 28909-2025 prioriterade fågelarter.docx", "A 28909-2025")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46273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46273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46273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46273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35336-2026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46273</v>
      </c>
      <c r="F30" t="inlineStr">
        <is>
          <t>VÄSTERBOTTENS LÄN</t>
        </is>
      </c>
      <c r="G30" t="inlineStr">
        <is>
          <t>DOROTEA</t>
        </is>
      </c>
      <c r="I30" t="n">
        <v>4.2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Blodticka</t>
        </is>
      </c>
      <c r="W30">
        <f>HYPERLINK("https://klasma.github.io/Logging_2425/artfynd/A 35336-2026 artfynd.xlsx", "A 35336-2026")</f>
        <v/>
      </c>
      <c r="X30">
        <f>HYPERLINK("https://klasma.github.io/Logging_2425/kartor/A 35336-2026 karta.png", "A 35336-2026")</f>
        <v/>
      </c>
      <c r="Y30">
        <f>HYPERLINK("https://klasma.github.io/Logging_2425/kartor_geotiff/A 35336-2026 georefererad karta.tif", "A 35336-2026")</f>
        <v/>
      </c>
      <c r="AA30">
        <f>HYPERLINK("https://klasma.github.io/Logging_2425/klagomål/A 35336-2026 FSC-klagomål.docx", "A 35336-2026")</f>
        <v/>
      </c>
      <c r="AB30">
        <f>HYPERLINK("https://klasma.github.io/Logging_2425/klagomålsmail/A 35336-2026 FSC-klagomål mail.docx", "A 35336-2026")</f>
        <v/>
      </c>
      <c r="AC30">
        <f>HYPERLINK("https://klasma.github.io/Logging_2425/tillsyn/A 35336-2026 tillsynsbegäran.docx", "A 35336-2026")</f>
        <v/>
      </c>
      <c r="AD30">
        <f>HYPERLINK("https://klasma.github.io/Logging_2425/tillsynsmail/A 35336-2026 tillsynsbegäran mail.docx", "A 35336-2026")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46273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46273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46273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46273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46273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20600-2023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45057</v>
      </c>
      <c r="E38" s="1" t="n">
        <v>46273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HYPERLINK("https://klasma.github.io/Logging_2425/artfynd/A 20600-2023 artfynd.xlsx", "A 20600-2023")</f>
        <v/>
      </c>
      <c r="X38">
        <f>HYPERLINK("https://klasma.github.io/Logging_2425/kartor/A 20600-2023 karta.png", "A 20600-2023")</f>
        <v/>
      </c>
      <c r="Y38">
        <f>HYPERLINK("https://klasma.github.io/Logging_2425/kartor_geotiff/A 20600-2023 georefererad karta.tif", "A 20600-2023")</f>
        <v/>
      </c>
      <c r="AA38">
        <f>HYPERLINK("https://klasma.github.io/Logging_2425/klagomål/A 20600-2023 FSC-klagomål.docx", "A 20600-2023")</f>
        <v/>
      </c>
      <c r="AB38">
        <f>HYPERLINK("https://klasma.github.io/Logging_2425/klagomålsmail/A 20600-2023 FSC-klagomål mail.docx", "A 20600-2023")</f>
        <v/>
      </c>
      <c r="AC38">
        <f>HYPERLINK("https://klasma.github.io/Logging_2425/tillsyn/A 20600-2023 tillsynsbegäran.docx", "A 20600-2023")</f>
        <v/>
      </c>
      <c r="AD38">
        <f>HYPERLINK("https://klasma.github.io/Logging_2425/tillsynsmail/A 20600-2023 tillsynsbegäran mail.docx", "A 20600-2023")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46273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46273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21926-2026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46273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Stuplav</t>
        </is>
      </c>
      <c r="W42">
        <f>HYPERLINK("https://klasma.github.io/Logging_2425/artfynd/A 21926-2026 artfynd.xlsx", "A 21926-2026")</f>
        <v/>
      </c>
      <c r="X42">
        <f>HYPERLINK("https://klasma.github.io/Logging_2425/kartor/A 21926-2026 karta.png", "A 21926-2026")</f>
        <v/>
      </c>
      <c r="Y42">
        <f>HYPERLINK("https://klasma.github.io/Logging_2425/kartor_geotiff/A 21926-2026 georefererad karta.tif", "A 21926-2026")</f>
        <v/>
      </c>
      <c r="AA42">
        <f>HYPERLINK("https://klasma.github.io/Logging_2425/klagomål/A 21926-2026 FSC-klagomål.docx", "A 21926-2026")</f>
        <v/>
      </c>
      <c r="AB42">
        <f>HYPERLINK("https://klasma.github.io/Logging_2425/klagomålsmail/A 21926-2026 FSC-klagomål mail.docx", "A 21926-2026")</f>
        <v/>
      </c>
      <c r="AC42">
        <f>HYPERLINK("https://klasma.github.io/Logging_2425/tillsyn/A 21926-2026 tillsynsbegäran.docx", "A 21926-2026")</f>
        <v/>
      </c>
      <c r="AD42">
        <f>HYPERLINK("https://klasma.github.io/Logging_2425/tillsynsmail/A 21926-2026 tillsynsbegäran mail.docx", "A 21926-2026")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46273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46273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25980-2026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46273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40.2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HYPERLINK("https://klasma.github.io/Logging_2425/artfynd/A 25980-2026 artfynd.xlsx", "A 25980-2026")</f>
        <v/>
      </c>
      <c r="X45">
        <f>HYPERLINK("https://klasma.github.io/Logging_2425/kartor/A 25980-2026 karta.png", "A 25980-2026")</f>
        <v/>
      </c>
      <c r="Y45">
        <f>HYPERLINK("https://klasma.github.io/Logging_2425/kartor_geotiff/A 25980-2026 georefererad karta.tif", "A 25980-2026")</f>
        <v/>
      </c>
      <c r="AA45">
        <f>HYPERLINK("https://klasma.github.io/Logging_2425/klagomål/A 25980-2026 FSC-klagomål.docx", "A 25980-2026")</f>
        <v/>
      </c>
      <c r="AB45">
        <f>HYPERLINK("https://klasma.github.io/Logging_2425/klagomålsmail/A 25980-2026 FSC-klagomål mail.docx", "A 25980-2026")</f>
        <v/>
      </c>
      <c r="AC45">
        <f>HYPERLINK("https://klasma.github.io/Logging_2425/tillsyn/A 25980-2026 tillsynsbegäran.docx", "A 25980-2026")</f>
        <v/>
      </c>
      <c r="AD45">
        <f>HYPERLINK("https://klasma.github.io/Logging_2425/tillsynsmail/A 25980-2026 tillsynsbegäran mail.docx", "A 25980-2026")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46273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32331-2026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46238</v>
      </c>
      <c r="E47" s="1" t="n">
        <v>46273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Skrovellav</t>
        </is>
      </c>
      <c r="W47">
        <f>HYPERLINK("https://klasma.github.io/Logging_2425/artfynd/A 32331-2026 artfynd.xlsx", "A 32331-2026")</f>
        <v/>
      </c>
      <c r="X47">
        <f>HYPERLINK("https://klasma.github.io/Logging_2425/kartor/A 32331-2026 karta.png", "A 32331-2026")</f>
        <v/>
      </c>
      <c r="Y47">
        <f>HYPERLINK("https://klasma.github.io/Logging_2425/kartor_geotiff/A 32331-2026 georefererad karta.tif", "A 32331-2026")</f>
        <v/>
      </c>
      <c r="AA47">
        <f>HYPERLINK("https://klasma.github.io/Logging_2425/klagomål/A 32331-2026 FSC-klagomål.docx", "A 32331-2026")</f>
        <v/>
      </c>
      <c r="AB47">
        <f>HYPERLINK("https://klasma.github.io/Logging_2425/klagomålsmail/A 32331-2026 FSC-klagomål mail.docx", "A 32331-2026")</f>
        <v/>
      </c>
      <c r="AC47">
        <f>HYPERLINK("https://klasma.github.io/Logging_2425/tillsyn/A 32331-2026 tillsynsbegäran.docx", "A 32331-2026")</f>
        <v/>
      </c>
      <c r="AD47">
        <f>HYPERLINK("https://klasma.github.io/Logging_2425/tillsynsmail/A 32331-2026 tillsynsbegäran mail.docx", "A 32331-2026")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46273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46273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46273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46273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46273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46273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46273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46273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46273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46273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46273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46273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46273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46273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46273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27199-2024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45471</v>
      </c>
      <c r="E70" s="1" t="n">
        <v>46273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46273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46273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46273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46273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46273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46273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46273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46273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46273</v>
      </c>
      <c r="F79" t="inlineStr">
        <is>
          <t>VÄSTERBOTTENS LÄN</t>
        </is>
      </c>
      <c r="G79" t="inlineStr">
        <is>
          <t>DOROTEA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46273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46273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46273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46273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46273</v>
      </c>
      <c r="F84" t="inlineStr">
        <is>
          <t>VÄSTERBOTTENS LÄN</t>
        </is>
      </c>
      <c r="G84" t="inlineStr">
        <is>
          <t>DOROTEA</t>
        </is>
      </c>
      <c r="I84" t="n">
        <v>14.8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44956</v>
      </c>
      <c r="E85" s="1" t="n">
        <v>46273</v>
      </c>
      <c r="F85" t="inlineStr">
        <is>
          <t>VÄSTERBOTTENS LÄN</t>
        </is>
      </c>
      <c r="G85" t="inlineStr">
        <is>
          <t>DOROTEA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46273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44582</v>
      </c>
      <c r="E87" s="1" t="n">
        <v>46273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57070-2023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45244</v>
      </c>
      <c r="E88" s="1" t="n">
        <v>46273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46273</v>
      </c>
      <c r="F89" t="inlineStr">
        <is>
          <t>VÄSTERBOTTENS LÄN</t>
        </is>
      </c>
      <c r="G89" t="inlineStr">
        <is>
          <t>DOROTEA</t>
        </is>
      </c>
      <c r="H89" t="inlineStr">
        <is>
          <t>Sveaskog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46273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46273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59418-2023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45253</v>
      </c>
      <c r="E92" s="1" t="n">
        <v>46273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46273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40435-2023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45169</v>
      </c>
      <c r="E94" s="1" t="n">
        <v>46273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46273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44484</v>
      </c>
      <c r="E96" s="1" t="n">
        <v>46273</v>
      </c>
      <c r="F96" t="inlineStr">
        <is>
          <t>VÄSTERBOTTENS LÄN</t>
        </is>
      </c>
      <c r="G96" t="inlineStr">
        <is>
          <t>DOROTEA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46273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45491</v>
      </c>
      <c r="E98" s="1" t="n">
        <v>46273</v>
      </c>
      <c r="F98" t="inlineStr">
        <is>
          <t>VÄSTERBOTTENS LÄN</t>
        </is>
      </c>
      <c r="G98" t="inlineStr">
        <is>
          <t>DOROTEA</t>
        </is>
      </c>
      <c r="H98" t="inlineStr">
        <is>
          <t>Sveaskog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44889</v>
      </c>
      <c r="E99" s="1" t="n">
        <v>46273</v>
      </c>
      <c r="F99" t="inlineStr">
        <is>
          <t>VÄSTERBOTTENS LÄN</t>
        </is>
      </c>
      <c r="G99" t="inlineStr">
        <is>
          <t>DOROTEA</t>
        </is>
      </c>
      <c r="I99" t="n">
        <v>15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74013-2021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46273</v>
      </c>
      <c r="F100" t="inlineStr">
        <is>
          <t>VÄSTERBOTTENS LÄN</t>
        </is>
      </c>
      <c r="G100" t="inlineStr">
        <is>
          <t>DOROTEA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44925</v>
      </c>
      <c r="E101" s="1" t="n">
        <v>46273</v>
      </c>
      <c r="F101" t="inlineStr">
        <is>
          <t>VÄSTERBOTTENS LÄN</t>
        </is>
      </c>
      <c r="G101" t="inlineStr">
        <is>
          <t>DOROTEA</t>
        </is>
      </c>
      <c r="I101" t="n">
        <v>22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46273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46273</v>
      </c>
      <c r="F103" t="inlineStr">
        <is>
          <t>VÄSTERBOTTENS LÄN</t>
        </is>
      </c>
      <c r="G103" t="inlineStr">
        <is>
          <t>DOROTEA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46273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46273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7429-2023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44971</v>
      </c>
      <c r="E106" s="1" t="n">
        <v>46273</v>
      </c>
      <c r="F106" t="inlineStr">
        <is>
          <t>VÄSTERBOTTENS LÄN</t>
        </is>
      </c>
      <c r="G106" t="inlineStr">
        <is>
          <t>DOROTEA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46273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46273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46273</v>
      </c>
      <c r="F109" t="inlineStr">
        <is>
          <t>VÄSTERBOTTENS LÄN</t>
        </is>
      </c>
      <c r="G109" t="inlineStr">
        <is>
          <t>DOROTEA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46273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46273</v>
      </c>
      <c r="F111" t="inlineStr">
        <is>
          <t>VÄSTERBOTTENS LÄN</t>
        </is>
      </c>
      <c r="G111" t="inlineStr">
        <is>
          <t>DOROTEA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25028-2024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45461</v>
      </c>
      <c r="E112" s="1" t="n">
        <v>46273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4617-2023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44956</v>
      </c>
      <c r="E113" s="1" t="n">
        <v>46273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46273</v>
      </c>
      <c r="F114" t="inlineStr">
        <is>
          <t>VÄSTERBOTTENS LÄN</t>
        </is>
      </c>
      <c r="G114" t="inlineStr">
        <is>
          <t>DOROTEA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60162-2024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46273</v>
      </c>
      <c r="F115" t="inlineStr">
        <is>
          <t>VÄSTERBOTTENS LÄN</t>
        </is>
      </c>
      <c r="G115" t="inlineStr">
        <is>
          <t>DOROTEA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46273</v>
      </c>
      <c r="F116" t="inlineStr">
        <is>
          <t>VÄSTERBOTTENS LÄN</t>
        </is>
      </c>
      <c r="G116" t="inlineStr">
        <is>
          <t>DOROTEA</t>
        </is>
      </c>
      <c r="I116" t="n">
        <v>14.7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46273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46273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46273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46273</v>
      </c>
      <c r="F120" t="inlineStr">
        <is>
          <t>VÄSTERBOTTENS LÄN</t>
        </is>
      </c>
      <c r="G120" t="inlineStr">
        <is>
          <t>DOROTEA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45866</v>
      </c>
      <c r="E121" s="1" t="n">
        <v>46273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46273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45295</v>
      </c>
      <c r="E123" s="1" t="n">
        <v>46273</v>
      </c>
      <c r="F123" t="inlineStr">
        <is>
          <t>VÄSTERBOTTENS LÄN</t>
        </is>
      </c>
      <c r="G123" t="inlineStr">
        <is>
          <t>DOROTEA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45893</v>
      </c>
      <c r="E124" s="1" t="n">
        <v>46273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46273</v>
      </c>
      <c r="F125" t="inlineStr">
        <is>
          <t>VÄSTERBOTTENS LÄN</t>
        </is>
      </c>
      <c r="G125" t="inlineStr">
        <is>
          <t>DOROTEA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46273</v>
      </c>
      <c r="F126" t="inlineStr">
        <is>
          <t>VÄSTERBOTTENS LÄN</t>
        </is>
      </c>
      <c r="G126" t="inlineStr">
        <is>
          <t>DOROTEA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45978</v>
      </c>
      <c r="E127" s="1" t="n">
        <v>46273</v>
      </c>
      <c r="F127" t="inlineStr">
        <is>
          <t>VÄSTERBOTTENS LÄN</t>
        </is>
      </c>
      <c r="G127" t="inlineStr">
        <is>
          <t>DOROTEA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45125</v>
      </c>
      <c r="E128" s="1" t="n">
        <v>46273</v>
      </c>
      <c r="F128" t="inlineStr">
        <is>
          <t>VÄSTERBOTTENS LÄN</t>
        </is>
      </c>
      <c r="G128" t="inlineStr">
        <is>
          <t>DOROTEA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46136</v>
      </c>
      <c r="E129" s="1" t="n">
        <v>46273</v>
      </c>
      <c r="F129" t="inlineStr">
        <is>
          <t>VÄSTERBOTTENS LÄN</t>
        </is>
      </c>
      <c r="G129" t="inlineStr">
        <is>
          <t>DOROTEA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46273</v>
      </c>
      <c r="F130" t="inlineStr">
        <is>
          <t>VÄSTERBOTTENS LÄN</t>
        </is>
      </c>
      <c r="G130" t="inlineStr">
        <is>
          <t>DOROTEA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46273</v>
      </c>
      <c r="F131" t="inlineStr">
        <is>
          <t>VÄSTERBOTTENS LÄN</t>
        </is>
      </c>
      <c r="G131" t="inlineStr">
        <is>
          <t>DOROTEA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46273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46273</v>
      </c>
      <c r="F133" t="inlineStr">
        <is>
          <t>VÄSTERBOTTENS LÄN</t>
        </is>
      </c>
      <c r="G133" t="inlineStr">
        <is>
          <t>DOROTEA</t>
        </is>
      </c>
      <c r="I133" t="n">
        <v>31.7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45182</v>
      </c>
      <c r="E134" s="1" t="n">
        <v>46273</v>
      </c>
      <c r="F134" t="inlineStr">
        <is>
          <t>VÄSTERBOTTENS LÄN</t>
        </is>
      </c>
      <c r="G134" t="inlineStr">
        <is>
          <t>DOROTEA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44888</v>
      </c>
      <c r="E135" s="1" t="n">
        <v>46273</v>
      </c>
      <c r="F135" t="inlineStr">
        <is>
          <t>VÄSTERBOTTENS LÄN</t>
        </is>
      </c>
      <c r="G135" t="inlineStr">
        <is>
          <t>DOROTEA</t>
        </is>
      </c>
      <c r="I135" t="n">
        <v>15.8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46273</v>
      </c>
      <c r="F136" t="inlineStr">
        <is>
          <t>VÄSTERBOTTENS LÄN</t>
        </is>
      </c>
      <c r="G136" t="inlineStr">
        <is>
          <t>DOROTEA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46273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Aktiebolag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46273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46273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45149</v>
      </c>
      <c r="E141" s="1" t="n">
        <v>46273</v>
      </c>
      <c r="F141" t="inlineStr">
        <is>
          <t>VÄSTERBOTTENS LÄN</t>
        </is>
      </c>
      <c r="G141" t="inlineStr">
        <is>
          <t>DOROTEA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45611</v>
      </c>
      <c r="E142" s="1" t="n">
        <v>46273</v>
      </c>
      <c r="F142" t="inlineStr">
        <is>
          <t>VÄSTERBOTTENS LÄN</t>
        </is>
      </c>
      <c r="G142" t="inlineStr">
        <is>
          <t>DOROTEA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40434-2023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45169</v>
      </c>
      <c r="E143" s="1" t="n">
        <v>46273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46273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46273</v>
      </c>
      <c r="F145" t="inlineStr">
        <is>
          <t>VÄSTERBOTTENS LÄN</t>
        </is>
      </c>
      <c r="G145" t="inlineStr">
        <is>
          <t>DOROTEA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46273</v>
      </c>
      <c r="F146" t="inlineStr">
        <is>
          <t>VÄSTERBOTTENS LÄN</t>
        </is>
      </c>
      <c r="G146" t="inlineStr">
        <is>
          <t>DOROTEA</t>
        </is>
      </c>
      <c r="I146" t="n">
        <v>13.3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45988</v>
      </c>
      <c r="E147" s="1" t="n">
        <v>46273</v>
      </c>
      <c r="F147" t="inlineStr">
        <is>
          <t>VÄSTERBOTTENS LÄN</t>
        </is>
      </c>
      <c r="G147" t="inlineStr">
        <is>
          <t>DOROTEA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46273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46273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46273</v>
      </c>
      <c r="F150" t="inlineStr">
        <is>
          <t>VÄSTERBOTTENS LÄN</t>
        </is>
      </c>
      <c r="G150" t="inlineStr">
        <is>
          <t>DOROTEA</t>
        </is>
      </c>
      <c r="I150" t="n">
        <v>13.3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46273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45876</v>
      </c>
      <c r="E152" s="1" t="n">
        <v>46273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46273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45916</v>
      </c>
      <c r="E154" s="1" t="n">
        <v>46273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46273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46273</v>
      </c>
      <c r="F156" t="inlineStr">
        <is>
          <t>VÄSTERBOTTENS LÄN</t>
        </is>
      </c>
      <c r="G156" t="inlineStr">
        <is>
          <t>DOROTEA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46273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46273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46273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46273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Övriga statliga verk och myndigheter</t>
        </is>
      </c>
      <c r="I160" t="n">
        <v>15.2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46273</v>
      </c>
      <c r="F161" t="inlineStr">
        <is>
          <t>VÄSTERBOTTENS LÄN</t>
        </is>
      </c>
      <c r="G161" t="inlineStr">
        <is>
          <t>DOROTEA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45720</v>
      </c>
      <c r="E162" s="1" t="n">
        <v>46273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46273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46273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46273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46273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46273</v>
      </c>
      <c r="F167" t="inlineStr">
        <is>
          <t>VÄSTERBOTTENS LÄN</t>
        </is>
      </c>
      <c r="G167" t="inlineStr">
        <is>
          <t>DOROTEA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46273</v>
      </c>
      <c r="F168" t="inlineStr">
        <is>
          <t>VÄSTERBOTTENS LÄN</t>
        </is>
      </c>
      <c r="G168" t="inlineStr">
        <is>
          <t>DOROTEA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46273</v>
      </c>
      <c r="F169" t="inlineStr">
        <is>
          <t>VÄSTERBOTTENS LÄN</t>
        </is>
      </c>
      <c r="G169" t="inlineStr">
        <is>
          <t>DOROTEA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46273</v>
      </c>
      <c r="F170" t="inlineStr">
        <is>
          <t>VÄSTERBOTTENS LÄN</t>
        </is>
      </c>
      <c r="G170" t="inlineStr">
        <is>
          <t>DOROTEA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46273</v>
      </c>
      <c r="F171" t="inlineStr">
        <is>
          <t>VÄSTERBOTTENS LÄN</t>
        </is>
      </c>
      <c r="G171" t="inlineStr">
        <is>
          <t>DOROTEA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46273</v>
      </c>
      <c r="F172" t="inlineStr">
        <is>
          <t>VÄSTERBOTTENS LÄN</t>
        </is>
      </c>
      <c r="G172" t="inlineStr">
        <is>
          <t>DOROTEA</t>
        </is>
      </c>
      <c r="I172" t="n">
        <v>21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46273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46273</v>
      </c>
      <c r="F174" t="inlineStr">
        <is>
          <t>VÄSTERBOTTENS LÄN</t>
        </is>
      </c>
      <c r="G174" t="inlineStr">
        <is>
          <t>DOROTEA</t>
        </is>
      </c>
      <c r="I174" t="n">
        <v>17.8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46273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46273</v>
      </c>
      <c r="F176" t="inlineStr">
        <is>
          <t>VÄSTERBOTTENS LÄN</t>
        </is>
      </c>
      <c r="G176" t="inlineStr">
        <is>
          <t>DOROTEA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46146</v>
      </c>
      <c r="E177" s="1" t="n">
        <v>46273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46273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46273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46147</v>
      </c>
      <c r="E180" s="1" t="n">
        <v>46273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46273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46273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46273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46273</v>
      </c>
      <c r="F184" t="inlineStr">
        <is>
          <t>VÄSTERBOTTENS LÄN</t>
        </is>
      </c>
      <c r="G184" t="inlineStr">
        <is>
          <t>DOROTEA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21902-2026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46273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46273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46189</v>
      </c>
      <c r="E187" s="1" t="n">
        <v>46273</v>
      </c>
      <c r="F187" t="inlineStr">
        <is>
          <t>VÄSTERBOTTENS LÄN</t>
        </is>
      </c>
      <c r="G187" t="inlineStr">
        <is>
          <t>DOROTEA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46189</v>
      </c>
      <c r="E188" s="1" t="n">
        <v>46273</v>
      </c>
      <c r="F188" t="inlineStr">
        <is>
          <t>VÄSTERBOTTENS LÄN</t>
        </is>
      </c>
      <c r="G188" t="inlineStr">
        <is>
          <t>DOROTEA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46189</v>
      </c>
      <c r="E189" s="1" t="n">
        <v>46273</v>
      </c>
      <c r="F189" t="inlineStr">
        <is>
          <t>VÄSTERBOTTENS LÄN</t>
        </is>
      </c>
      <c r="G189" t="inlineStr">
        <is>
          <t>DOROTEA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46273</v>
      </c>
      <c r="F190" t="inlineStr">
        <is>
          <t>VÄSTERBOTTENS LÄN</t>
        </is>
      </c>
      <c r="G190" t="inlineStr">
        <is>
          <t>DOROTEA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46273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46273</v>
      </c>
      <c r="F192" t="inlineStr">
        <is>
          <t>VÄSTERBOTTENS LÄN</t>
        </is>
      </c>
      <c r="G192" t="inlineStr">
        <is>
          <t>DOROTEA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46273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46273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46273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46273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44960</v>
      </c>
      <c r="E197" s="1" t="n">
        <v>46273</v>
      </c>
      <c r="F197" t="inlineStr">
        <is>
          <t>VÄSTERBOTTENS LÄN</t>
        </is>
      </c>
      <c r="G197" t="inlineStr">
        <is>
          <t>DOROTEA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46273</v>
      </c>
      <c r="F198" t="inlineStr">
        <is>
          <t>VÄSTERBOTTENS LÄN</t>
        </is>
      </c>
      <c r="G198" t="inlineStr">
        <is>
          <t>DOROTEA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45714</v>
      </c>
      <c r="E199" s="1" t="n">
        <v>46273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46273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46273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46273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45539</v>
      </c>
      <c r="E203" s="1" t="n">
        <v>46273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46273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46273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46273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46273</v>
      </c>
      <c r="F207" t="inlineStr">
        <is>
          <t>VÄSTERBOTTENS LÄN</t>
        </is>
      </c>
      <c r="G207" t="inlineStr">
        <is>
          <t>DOROTEA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46273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44568</v>
      </c>
      <c r="E209" s="1" t="n">
        <v>46273</v>
      </c>
      <c r="F209" t="inlineStr">
        <is>
          <t>VÄSTERBOTTENS LÄN</t>
        </is>
      </c>
      <c r="G209" t="inlineStr">
        <is>
          <t>DOROTEA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46273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46273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46273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30461-2024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45491</v>
      </c>
      <c r="E213" s="1" t="n">
        <v>46273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45962</v>
      </c>
      <c r="E214" s="1" t="n">
        <v>46273</v>
      </c>
      <c r="F214" t="inlineStr">
        <is>
          <t>VÄSTERBOTTENS LÄN</t>
        </is>
      </c>
      <c r="G214" t="inlineStr">
        <is>
          <t>DOROTEA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45757</v>
      </c>
      <c r="E215" s="1" t="n">
        <v>46273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45036</v>
      </c>
      <c r="E216" s="1" t="n">
        <v>46273</v>
      </c>
      <c r="F216" t="inlineStr">
        <is>
          <t>VÄSTERBOTTENS LÄN</t>
        </is>
      </c>
      <c r="G216" t="inlineStr">
        <is>
          <t>DOROTEA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46273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23214-2026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46273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46273</v>
      </c>
      <c r="F219" t="inlineStr">
        <is>
          <t>VÄSTERBOTTENS LÄN</t>
        </is>
      </c>
      <c r="G219" t="inlineStr">
        <is>
          <t>DOROTEA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46273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55919-2023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45239</v>
      </c>
      <c r="E221" s="1" t="n">
        <v>46273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46273</v>
      </c>
      <c r="F222" t="inlineStr">
        <is>
          <t>VÄSTERBOTTENS LÄN</t>
        </is>
      </c>
      <c r="G222" t="inlineStr">
        <is>
          <t>DOROTEA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46273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46273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50582-2024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45600</v>
      </c>
      <c r="E225" s="1" t="n">
        <v>46273</v>
      </c>
      <c r="F225" t="inlineStr">
        <is>
          <t>VÄSTERBOTTENS LÄN</t>
        </is>
      </c>
      <c r="G225" t="inlineStr">
        <is>
          <t>DOROTEA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46273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46273</v>
      </c>
      <c r="F227" t="inlineStr">
        <is>
          <t>VÄSTERBOTTENS LÄN</t>
        </is>
      </c>
      <c r="G227" t="inlineStr">
        <is>
          <t>DOROTEA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46273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46273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46273</v>
      </c>
      <c r="F230" t="inlineStr">
        <is>
          <t>VÄSTERBOTTENS LÄN</t>
        </is>
      </c>
      <c r="G230" t="inlineStr">
        <is>
          <t>DOROTEA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46273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46273</v>
      </c>
      <c r="F232" t="inlineStr">
        <is>
          <t>VÄSTERBOTTENS LÄN</t>
        </is>
      </c>
      <c r="G232" t="inlineStr">
        <is>
          <t>DOROTEA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46273</v>
      </c>
      <c r="F233" t="inlineStr">
        <is>
          <t>VÄSTERBOTTENS LÄN</t>
        </is>
      </c>
      <c r="G233" t="inlineStr">
        <is>
          <t>DOROTEA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46273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46273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46273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45977</v>
      </c>
      <c r="E237" s="1" t="n">
        <v>46273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46273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46273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46273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46273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18.2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46273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46273</v>
      </c>
      <c r="F243" t="inlineStr">
        <is>
          <t>VÄSTERBOTTENS LÄN</t>
        </is>
      </c>
      <c r="G243" t="inlineStr">
        <is>
          <t>DOROTEA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46273</v>
      </c>
      <c r="F244" t="inlineStr">
        <is>
          <t>VÄSTERBOTTENS LÄN</t>
        </is>
      </c>
      <c r="G244" t="inlineStr">
        <is>
          <t>DOROTEA</t>
        </is>
      </c>
      <c r="I244" t="n">
        <v>26.2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46273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46273</v>
      </c>
      <c r="F246" t="inlineStr">
        <is>
          <t>VÄSTERBOTTENS LÄN</t>
        </is>
      </c>
      <c r="G246" t="inlineStr">
        <is>
          <t>DOROTEA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26124-2026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46273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46273</v>
      </c>
      <c r="F248" t="inlineStr">
        <is>
          <t>VÄSTERBOTTENS LÄN</t>
        </is>
      </c>
      <c r="G248" t="inlineStr">
        <is>
          <t>DOROTEA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45988</v>
      </c>
      <c r="E249" s="1" t="n">
        <v>46273</v>
      </c>
      <c r="F249" t="inlineStr">
        <is>
          <t>VÄSTERBOTTENS LÄN</t>
        </is>
      </c>
      <c r="G249" t="inlineStr">
        <is>
          <t>DOROTEA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46273</v>
      </c>
      <c r="F250" t="inlineStr">
        <is>
          <t>VÄSTERBOTTENS LÄN</t>
        </is>
      </c>
      <c r="G250" t="inlineStr">
        <is>
          <t>DOROTEA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46273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46273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46273</v>
      </c>
      <c r="F253" t="inlineStr">
        <is>
          <t>VÄSTERBOTTENS LÄN</t>
        </is>
      </c>
      <c r="G253" t="inlineStr">
        <is>
          <t>DOROTEA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46273</v>
      </c>
      <c r="F254" t="inlineStr">
        <is>
          <t>VÄSTERBOTTENS LÄN</t>
        </is>
      </c>
      <c r="G254" t="inlineStr">
        <is>
          <t>DOROTEA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46182</v>
      </c>
      <c r="E255" s="1" t="n">
        <v>46273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35937-2025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45862</v>
      </c>
      <c r="E256" s="1" t="n">
        <v>46273</v>
      </c>
      <c r="F256" t="inlineStr">
        <is>
          <t>VÄSTERBOTTENS LÄN</t>
        </is>
      </c>
      <c r="G256" t="inlineStr">
        <is>
          <t>DOROTEA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45556</v>
      </c>
      <c r="E257" s="1" t="n">
        <v>46273</v>
      </c>
      <c r="F257" t="inlineStr">
        <is>
          <t>VÄSTERBOTTENS LÄN</t>
        </is>
      </c>
      <c r="G257" t="inlineStr">
        <is>
          <t>DOROTEA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45996</v>
      </c>
      <c r="E258" s="1" t="n">
        <v>46273</v>
      </c>
      <c r="F258" t="inlineStr">
        <is>
          <t>VÄSTERBOTTENS LÄN</t>
        </is>
      </c>
      <c r="G258" t="inlineStr">
        <is>
          <t>DOROTEA</t>
        </is>
      </c>
      <c r="I258" t="n">
        <v>23.9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46273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46966-2024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45586</v>
      </c>
      <c r="E260" s="1" t="n">
        <v>46273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Sveaskog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45180</v>
      </c>
      <c r="E261" s="1" t="n">
        <v>46273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62193-2025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46003</v>
      </c>
      <c r="E262" s="1" t="n">
        <v>46273</v>
      </c>
      <c r="F262" t="inlineStr">
        <is>
          <t>VÄSTERBOTTENS LÄN</t>
        </is>
      </c>
      <c r="G262" t="inlineStr">
        <is>
          <t>DOROTEA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46273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46273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46007</v>
      </c>
      <c r="E265" s="1" t="n">
        <v>46273</v>
      </c>
      <c r="F265" t="inlineStr">
        <is>
          <t>VÄSTERBOTTENS LÄN</t>
        </is>
      </c>
      <c r="G265" t="inlineStr">
        <is>
          <t>DOROTEA</t>
        </is>
      </c>
      <c r="I265" t="n">
        <v>16.7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46273</v>
      </c>
      <c r="F266" t="inlineStr">
        <is>
          <t>VÄSTERBOTTENS LÄN</t>
        </is>
      </c>
      <c r="G266" t="inlineStr">
        <is>
          <t>DOROTEA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46007</v>
      </c>
      <c r="E267" s="1" t="n">
        <v>46273</v>
      </c>
      <c r="F267" t="inlineStr">
        <is>
          <t>VÄSTERBOTTENS LÄN</t>
        </is>
      </c>
      <c r="G267" t="inlineStr">
        <is>
          <t>DOROTEA</t>
        </is>
      </c>
      <c r="I267" t="n">
        <v>13.2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46273</v>
      </c>
      <c r="F268" t="inlineStr">
        <is>
          <t>VÄSTERBOTTENS LÄN</t>
        </is>
      </c>
      <c r="G268" t="inlineStr">
        <is>
          <t>DOROTEA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45721</v>
      </c>
      <c r="E269" s="1" t="n">
        <v>46273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46007</v>
      </c>
      <c r="E270" s="1" t="n">
        <v>46273</v>
      </c>
      <c r="F270" t="inlineStr">
        <is>
          <t>VÄSTERBOTTENS LÄN</t>
        </is>
      </c>
      <c r="G270" t="inlineStr">
        <is>
          <t>DOROTEA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46273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9.4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63939-2025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46273</v>
      </c>
      <c r="F272" t="inlineStr">
        <is>
          <t>VÄSTERBOTTENS LÄN</t>
        </is>
      </c>
      <c r="G272" t="inlineStr">
        <is>
          <t>DOROTEA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27738-2026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46191</v>
      </c>
      <c r="E273" s="1" t="n">
        <v>46273</v>
      </c>
      <c r="F273" t="inlineStr">
        <is>
          <t>VÄSTERBOTTENS LÄN</t>
        </is>
      </c>
      <c r="G273" t="inlineStr">
        <is>
          <t>DOROTEA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46273</v>
      </c>
      <c r="F274" t="inlineStr">
        <is>
          <t>VÄSTERBOTTENS LÄN</t>
        </is>
      </c>
      <c r="G274" t="inlineStr">
        <is>
          <t>DOROTEA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45075</v>
      </c>
      <c r="E275" s="1" t="n">
        <v>46273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45036</v>
      </c>
      <c r="E276" s="1" t="n">
        <v>46273</v>
      </c>
      <c r="F276" t="inlineStr">
        <is>
          <t>VÄSTERBOTTENS LÄN</t>
        </is>
      </c>
      <c r="G276" t="inlineStr">
        <is>
          <t>DOROTEA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46195</v>
      </c>
      <c r="E277" s="1" t="n">
        <v>46273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63745-2025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46017</v>
      </c>
      <c r="E278" s="1" t="n">
        <v>46273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46273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45148</v>
      </c>
      <c r="E280" s="1" t="n">
        <v>46273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45614</v>
      </c>
      <c r="E281" s="1" t="n">
        <v>46273</v>
      </c>
      <c r="F281" t="inlineStr">
        <is>
          <t>VÄSTERBOTTENS LÄN</t>
        </is>
      </c>
      <c r="G281" t="inlineStr">
        <is>
          <t>DOROTEA</t>
        </is>
      </c>
      <c r="I281" t="n">
        <v>26.5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46273</v>
      </c>
      <c r="F282" t="inlineStr">
        <is>
          <t>VÄSTERBOTTENS LÄN</t>
        </is>
      </c>
      <c r="G282" t="inlineStr">
        <is>
          <t>DOROTEA</t>
        </is>
      </c>
      <c r="I282" t="n">
        <v>11.1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46273</v>
      </c>
      <c r="F283" t="inlineStr">
        <is>
          <t>VÄSTERBOTTENS LÄN</t>
        </is>
      </c>
      <c r="G283" t="inlineStr">
        <is>
          <t>DOROTEA</t>
        </is>
      </c>
      <c r="I283" t="n">
        <v>18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46273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46273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49.5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46273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Kommuner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46273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28782-2026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46273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46273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46273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46273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46273</v>
      </c>
      <c r="F292" t="inlineStr">
        <is>
          <t>VÄSTERBOTTENS LÄN</t>
        </is>
      </c>
      <c r="G292" t="inlineStr">
        <is>
          <t>DOROTEA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46273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13.5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46273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46273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46273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46273</v>
      </c>
      <c r="F297" t="inlineStr">
        <is>
          <t>VÄSTERBOTTENS LÄN</t>
        </is>
      </c>
      <c r="G297" t="inlineStr">
        <is>
          <t>DOROTEA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46036</v>
      </c>
      <c r="E298" s="1" t="n">
        <v>46273</v>
      </c>
      <c r="F298" t="inlineStr">
        <is>
          <t>VÄSTERBOTTENS LÄN</t>
        </is>
      </c>
      <c r="G298" t="inlineStr">
        <is>
          <t>DOROTEA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12773-2026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46091</v>
      </c>
      <c r="E299" s="1" t="n">
        <v>46273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46273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46273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46273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46054</v>
      </c>
      <c r="E303" s="1" t="n">
        <v>46273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29757-2026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46204</v>
      </c>
      <c r="E304" s="1" t="n">
        <v>46273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46273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46273</v>
      </c>
      <c r="F306" t="inlineStr">
        <is>
          <t>VÄSTERBOTTENS LÄN</t>
        </is>
      </c>
      <c r="G306" t="inlineStr">
        <is>
          <t>DOROTEA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46273</v>
      </c>
      <c r="F307" t="inlineStr">
        <is>
          <t>VÄSTERBOTTENS LÄN</t>
        </is>
      </c>
      <c r="G307" t="inlineStr">
        <is>
          <t>DOROTEA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46247</v>
      </c>
      <c r="E308" s="1" t="n">
        <v>46273</v>
      </c>
      <c r="F308" t="inlineStr">
        <is>
          <t>VÄSTERBOTTENS LÄN</t>
        </is>
      </c>
      <c r="G308" t="inlineStr">
        <is>
          <t>DOROTEA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46273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27558-2022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44742</v>
      </c>
      <c r="E310" s="1" t="n">
        <v>46273</v>
      </c>
      <c r="F310" t="inlineStr">
        <is>
          <t>VÄSTERBOTTENS LÄN</t>
        </is>
      </c>
      <c r="G310" t="inlineStr">
        <is>
          <t>DOROTEA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46273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46273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46072</v>
      </c>
      <c r="E313" s="1" t="n">
        <v>46273</v>
      </c>
      <c r="F313" t="inlineStr">
        <is>
          <t>VÄSTERBOTTENS LÄN</t>
        </is>
      </c>
      <c r="G313" t="inlineStr">
        <is>
          <t>DOROTEA</t>
        </is>
      </c>
      <c r="I313" t="n">
        <v>20.1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46273</v>
      </c>
      <c r="F314" t="inlineStr">
        <is>
          <t>VÄSTERBOTTENS LÄN</t>
        </is>
      </c>
      <c r="G314" t="inlineStr">
        <is>
          <t>DOROTEA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46273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46273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46273</v>
      </c>
      <c r="F317" t="inlineStr">
        <is>
          <t>VÄSTERBOTTENS LÄN</t>
        </is>
      </c>
      <c r="G317" t="inlineStr">
        <is>
          <t>DOROTEA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46273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30645-2026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46273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46273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46086</v>
      </c>
      <c r="E321" s="1" t="n">
        <v>46273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46253</v>
      </c>
      <c r="E322" s="1" t="n">
        <v>46273</v>
      </c>
      <c r="F322" t="inlineStr">
        <is>
          <t>VÄSTERBOTTENS LÄN</t>
        </is>
      </c>
      <c r="G322" t="inlineStr">
        <is>
          <t>DOROTEA</t>
        </is>
      </c>
      <c r="I322" t="n">
        <v>13.6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46273</v>
      </c>
      <c r="F323" t="inlineStr">
        <is>
          <t>VÄSTERBOTTENS LÄN</t>
        </is>
      </c>
      <c r="G323" t="inlineStr">
        <is>
          <t>DOROTEA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34149-2026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46253</v>
      </c>
      <c r="E324" s="1" t="n">
        <v>46273</v>
      </c>
      <c r="F324" t="inlineStr">
        <is>
          <t>VÄSTERBOTTENS LÄN</t>
        </is>
      </c>
      <c r="G324" t="inlineStr">
        <is>
          <t>DOROTEA</t>
        </is>
      </c>
      <c r="I324" t="n">
        <v>11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24003-2025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46273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46273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46212</v>
      </c>
      <c r="E327" s="1" t="n">
        <v>46273</v>
      </c>
      <c r="F327" t="inlineStr">
        <is>
          <t>VÄSTERBOTTENS LÄN</t>
        </is>
      </c>
      <c r="G327" t="inlineStr">
        <is>
          <t>DOROTEA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46273</v>
      </c>
      <c r="F328" t="inlineStr">
        <is>
          <t>VÄSTERBOTTENS LÄN</t>
        </is>
      </c>
      <c r="G328" t="inlineStr">
        <is>
          <t>DOROTEA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45852</v>
      </c>
      <c r="E329" s="1" t="n">
        <v>46273</v>
      </c>
      <c r="F329" t="inlineStr">
        <is>
          <t>VÄSTERBOTTENS LÄN</t>
        </is>
      </c>
      <c r="G329" t="inlineStr">
        <is>
          <t>DOROTEA</t>
        </is>
      </c>
      <c r="H329" t="inlineStr">
        <is>
          <t>Allmännings- och besparingsskogar</t>
        </is>
      </c>
      <c r="I329" t="n">
        <v>22.1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45852</v>
      </c>
      <c r="E330" s="1" t="n">
        <v>46273</v>
      </c>
      <c r="F330" t="inlineStr">
        <is>
          <t>VÄSTERBOTTENS LÄN</t>
        </is>
      </c>
      <c r="G330" t="inlineStr">
        <is>
          <t>DOROTEA</t>
        </is>
      </c>
      <c r="H330" t="inlineStr">
        <is>
          <t>Allmännings- och besparingsskogar</t>
        </is>
      </c>
      <c r="I330" t="n">
        <v>20.3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46212</v>
      </c>
      <c r="E331" s="1" t="n">
        <v>46273</v>
      </c>
      <c r="F331" t="inlineStr">
        <is>
          <t>VÄSTERBOTTENS LÄN</t>
        </is>
      </c>
      <c r="G331" t="inlineStr">
        <is>
          <t>DOROTEA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46212</v>
      </c>
      <c r="E332" s="1" t="n">
        <v>46273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46213</v>
      </c>
      <c r="E333" s="1" t="n">
        <v>46273</v>
      </c>
      <c r="F333" t="inlineStr">
        <is>
          <t>VÄSTERBOTTENS LÄN</t>
        </is>
      </c>
      <c r="G333" t="inlineStr">
        <is>
          <t>DOROTEA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46273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46213</v>
      </c>
      <c r="E335" s="1" t="n">
        <v>46273</v>
      </c>
      <c r="F335" t="inlineStr">
        <is>
          <t>VÄSTERBOTTENS LÄN</t>
        </is>
      </c>
      <c r="G335" t="inlineStr">
        <is>
          <t>DOROTEA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45771</v>
      </c>
      <c r="E336" s="1" t="n">
        <v>46273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46273</v>
      </c>
      <c r="F337" t="inlineStr">
        <is>
          <t>VÄSTERBOTTENS LÄN</t>
        </is>
      </c>
      <c r="G337" t="inlineStr">
        <is>
          <t>DOROTEA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46217</v>
      </c>
      <c r="E338" s="1" t="n">
        <v>46273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44748</v>
      </c>
      <c r="E339" s="1" t="n">
        <v>46273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47494-2023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45202</v>
      </c>
      <c r="E340" s="1" t="n">
        <v>46273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46273</v>
      </c>
      <c r="F341" t="inlineStr">
        <is>
          <t>VÄSTERBOTTENS LÄN</t>
        </is>
      </c>
      <c r="G341" t="inlineStr">
        <is>
          <t>DOROTEA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46273</v>
      </c>
      <c r="F342" t="inlineStr">
        <is>
          <t>VÄSTERBOTTENS LÄN</t>
        </is>
      </c>
      <c r="G342" t="inlineStr">
        <is>
          <t>DOROTEA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46217</v>
      </c>
      <c r="E343" s="1" t="n">
        <v>46273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46218</v>
      </c>
      <c r="E344" s="1" t="n">
        <v>46273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46273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46273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46261</v>
      </c>
      <c r="E347" s="1" t="n">
        <v>46273</v>
      </c>
      <c r="F347" t="inlineStr">
        <is>
          <t>VÄSTERBOTTENS LÄN</t>
        </is>
      </c>
      <c r="G347" t="inlineStr">
        <is>
          <t>DOROTEA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46261</v>
      </c>
      <c r="E348" s="1" t="n">
        <v>46273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46273</v>
      </c>
      <c r="F349" t="inlineStr">
        <is>
          <t>VÄSTERBOTTENS LÄN</t>
        </is>
      </c>
      <c r="G349" t="inlineStr">
        <is>
          <t>DOROTEA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46261</v>
      </c>
      <c r="E350" s="1" t="n">
        <v>46273</v>
      </c>
      <c r="F350" t="inlineStr">
        <is>
          <t>VÄSTERBOTTENS LÄN</t>
        </is>
      </c>
      <c r="G350" t="inlineStr">
        <is>
          <t>DOROTEA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46273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46261</v>
      </c>
      <c r="E352" s="1" t="n">
        <v>46273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46273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46111</v>
      </c>
      <c r="E354" s="1" t="n">
        <v>46273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46262</v>
      </c>
      <c r="E355" s="1" t="n">
        <v>46273</v>
      </c>
      <c r="F355" t="inlineStr">
        <is>
          <t>VÄSTERBOTTENS LÄN</t>
        </is>
      </c>
      <c r="G355" t="inlineStr">
        <is>
          <t>DOROTEA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46218</v>
      </c>
      <c r="E356" s="1" t="n">
        <v>46273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46273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Kommuner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31439-2026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46220</v>
      </c>
      <c r="E358" s="1" t="n">
        <v>46273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46114</v>
      </c>
      <c r="E359" s="1" t="n">
        <v>46273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46273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46273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57794-2023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46273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18143-2026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46125</v>
      </c>
      <c r="E363" s="1" t="n">
        <v>46273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46123</v>
      </c>
      <c r="E364" s="1" t="n">
        <v>46273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46273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18.3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46125</v>
      </c>
      <c r="E366" s="1" t="n">
        <v>46273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46273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46273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56807-2021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44481</v>
      </c>
      <c r="E369" s="1" t="n">
        <v>46273</v>
      </c>
      <c r="F369" t="inlineStr">
        <is>
          <t>VÄSTERBOTTENS LÄN</t>
        </is>
      </c>
      <c r="G369" t="inlineStr">
        <is>
          <t>DOROTEA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46224</v>
      </c>
      <c r="E370" s="1" t="n">
        <v>46273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46268</v>
      </c>
      <c r="E371" s="1" t="n">
        <v>46273</v>
      </c>
      <c r="F371" t="inlineStr">
        <is>
          <t>VÄSTERBOTTENS LÄN</t>
        </is>
      </c>
      <c r="G371" t="inlineStr">
        <is>
          <t>DOROTEA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46273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46224</v>
      </c>
      <c r="E373" s="1" t="n">
        <v>46273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45642</v>
      </c>
      <c r="E374" s="1" t="n">
        <v>46273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14163-2024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45392</v>
      </c>
      <c r="E375" s="1" t="n">
        <v>46273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46273</v>
      </c>
      <c r="F376" t="inlineStr">
        <is>
          <t>VÄSTERBOTTENS LÄN</t>
        </is>
      </c>
      <c r="G376" t="inlineStr">
        <is>
          <t>DOROTEA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19445-2026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46273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46273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46273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46273</v>
      </c>
      <c r="F380" t="inlineStr">
        <is>
          <t>VÄSTERBOTTENS LÄN</t>
        </is>
      </c>
      <c r="G380" t="inlineStr">
        <is>
          <t>DOROTEA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46817-2022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44848</v>
      </c>
      <c r="E381" s="1" t="n">
        <v>46273</v>
      </c>
      <c r="F381" t="inlineStr">
        <is>
          <t>VÄSTERBOTTENS LÄN</t>
        </is>
      </c>
      <c r="G381" t="inlineStr">
        <is>
          <t>DOROTEA</t>
        </is>
      </c>
      <c r="I381" t="n">
        <v>29.8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45565</v>
      </c>
      <c r="E382" s="1" t="n">
        <v>46273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46965-2024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45586</v>
      </c>
      <c r="E383" s="1" t="n">
        <v>46273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44980</v>
      </c>
      <c r="E384" s="1" t="n">
        <v>46273</v>
      </c>
      <c r="F384" t="inlineStr">
        <is>
          <t>VÄSTERBOTTENS LÄN</t>
        </is>
      </c>
      <c r="G384" t="inlineStr">
        <is>
          <t>DOROTEA</t>
        </is>
      </c>
      <c r="I384" t="n">
        <v>18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46273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27477-2023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45097</v>
      </c>
      <c r="E386" s="1" t="n">
        <v>46273</v>
      </c>
      <c r="F386" t="inlineStr">
        <is>
          <t>VÄSTERBOTTENS LÄN</t>
        </is>
      </c>
      <c r="G386" t="inlineStr">
        <is>
          <t>DOROTEA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46273</v>
      </c>
      <c r="F387" t="inlineStr">
        <is>
          <t>VÄSTERBOTTENS LÄN</t>
        </is>
      </c>
      <c r="G387" t="inlineStr">
        <is>
          <t>DOROTEA</t>
        </is>
      </c>
      <c r="I387" t="n">
        <v>22.7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45566</v>
      </c>
      <c r="E388" s="1" t="n">
        <v>46273</v>
      </c>
      <c r="F388" t="inlineStr">
        <is>
          <t>VÄSTERBOTTENS LÄN</t>
        </is>
      </c>
      <c r="G388" t="inlineStr">
        <is>
          <t>DOROTEA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45639</v>
      </c>
      <c r="E389" s="1" t="n">
        <v>46273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45036</v>
      </c>
      <c r="E390" s="1" t="n">
        <v>46273</v>
      </c>
      <c r="F390" t="inlineStr">
        <is>
          <t>VÄSTERBOTTENS LÄN</t>
        </is>
      </c>
      <c r="G390" t="inlineStr">
        <is>
          <t>DOROTEA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22944-2024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45448</v>
      </c>
      <c r="E391" s="1" t="n">
        <v>46273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46273</v>
      </c>
      <c r="F392" t="inlineStr">
        <is>
          <t>VÄSTERBOTTENS LÄN</t>
        </is>
      </c>
      <c r="G392" t="inlineStr">
        <is>
          <t>DOROTEA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19657-2025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45770</v>
      </c>
      <c r="E393" s="1" t="n">
        <v>46273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46273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45253</v>
      </c>
      <c r="E395" s="1" t="n">
        <v>46273</v>
      </c>
      <c r="F395" t="inlineStr">
        <is>
          <t>VÄSTERBOTTENS LÄN</t>
        </is>
      </c>
      <c r="G395" t="inlineStr">
        <is>
          <t>DOROTEA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46273</v>
      </c>
      <c r="F396" t="inlineStr">
        <is>
          <t>VÄSTERBOTTENS LÄN</t>
        </is>
      </c>
      <c r="G396" t="inlineStr">
        <is>
          <t>DOROTEA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20759-2023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45055</v>
      </c>
      <c r="E397" s="1" t="n">
        <v>46273</v>
      </c>
      <c r="F397" t="inlineStr">
        <is>
          <t>VÄSTERBOTTENS LÄN</t>
        </is>
      </c>
      <c r="G397" t="inlineStr">
        <is>
          <t>DOROTEA</t>
        </is>
      </c>
      <c r="H397" t="inlineStr">
        <is>
          <t>Övriga statliga verk och myndigheter</t>
        </is>
      </c>
      <c r="I397" t="n">
        <v>13.9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67686-2021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44524</v>
      </c>
      <c r="E398" s="1" t="n">
        <v>46273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32821-2024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45516</v>
      </c>
      <c r="E399" s="1" t="n">
        <v>46273</v>
      </c>
      <c r="F399" t="inlineStr">
        <is>
          <t>VÄSTERBOTTENS LÄN</t>
        </is>
      </c>
      <c r="G399" t="inlineStr">
        <is>
          <t>DOROTEA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46273</v>
      </c>
      <c r="F400" t="inlineStr">
        <is>
          <t>VÄSTERBOTTENS LÄN</t>
        </is>
      </c>
      <c r="G400" t="inlineStr">
        <is>
          <t>DOROTEA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34107-2023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45125</v>
      </c>
      <c r="E401" s="1" t="n">
        <v>46273</v>
      </c>
      <c r="F401" t="inlineStr">
        <is>
          <t>VÄSTERBOTTENS LÄN</t>
        </is>
      </c>
      <c r="G401" t="inlineStr">
        <is>
          <t>DOROTEA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45142</v>
      </c>
      <c r="E402" s="1" t="n">
        <v>46273</v>
      </c>
      <c r="F402" t="inlineStr">
        <is>
          <t>VÄSTERBOTTENS LÄN</t>
        </is>
      </c>
      <c r="G402" t="inlineStr">
        <is>
          <t>DOROTEA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45217</v>
      </c>
      <c r="E403" s="1" t="n">
        <v>46273</v>
      </c>
      <c r="F403" t="inlineStr">
        <is>
          <t>VÄSTERBOTTENS LÄN</t>
        </is>
      </c>
      <c r="G403" t="inlineStr">
        <is>
          <t>DOROTEA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46273</v>
      </c>
      <c r="F404" t="inlineStr">
        <is>
          <t>VÄSTERBOTTENS LÄN</t>
        </is>
      </c>
      <c r="G404" t="inlineStr">
        <is>
          <t>DOROTEA</t>
        </is>
      </c>
      <c r="I404" t="n">
        <v>12.3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46273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52144-2023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46273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45446</v>
      </c>
      <c r="E407" s="1" t="n">
        <v>46273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45642</v>
      </c>
      <c r="E408" s="1" t="n">
        <v>46273</v>
      </c>
      <c r="F408" t="inlineStr">
        <is>
          <t>VÄSTERBOTTENS LÄN</t>
        </is>
      </c>
      <c r="G408" t="inlineStr">
        <is>
          <t>DOROTEA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9030-2025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46273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60015-2023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45257</v>
      </c>
      <c r="E410" s="1" t="n">
        <v>46273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46273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10402-2025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45720</v>
      </c>
      <c r="E412" s="1" t="n">
        <v>46273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59394-2023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45253</v>
      </c>
      <c r="E413" s="1" t="n">
        <v>46273</v>
      </c>
      <c r="F413" t="inlineStr">
        <is>
          <t>VÄSTERBOTTENS LÄN</t>
        </is>
      </c>
      <c r="G413" t="inlineStr">
        <is>
          <t>DOROTEA</t>
        </is>
      </c>
      <c r="I413" t="n">
        <v>28.8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27305-2024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45471</v>
      </c>
      <c r="E414" s="1" t="n">
        <v>46273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46273</v>
      </c>
      <c r="F415" t="inlineStr">
        <is>
          <t>VÄSTERBOTTENS LÄN</t>
        </is>
      </c>
      <c r="G415" t="inlineStr">
        <is>
          <t>DOROTEA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45572</v>
      </c>
      <c r="E416" s="1" t="n">
        <v>46273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46273</v>
      </c>
      <c r="F417" t="inlineStr">
        <is>
          <t>VÄSTERBOTTENS LÄN</t>
        </is>
      </c>
      <c r="G417" t="inlineStr">
        <is>
          <t>DOROTEA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46273</v>
      </c>
      <c r="F418" t="inlineStr">
        <is>
          <t>VÄSTERBOTTENS LÄN</t>
        </is>
      </c>
      <c r="G418" t="inlineStr">
        <is>
          <t>DOROTEA</t>
        </is>
      </c>
      <c r="I418" t="n">
        <v>11.2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42104-2024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45562</v>
      </c>
      <c r="E419" s="1" t="n">
        <v>46273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45789</v>
      </c>
      <c r="E420" s="1" t="n">
        <v>46273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45771</v>
      </c>
      <c r="E421" s="1" t="n">
        <v>46273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45792</v>
      </c>
      <c r="E422" s="1" t="n">
        <v>46273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45485</v>
      </c>
      <c r="E423" s="1" t="n">
        <v>46273</v>
      </c>
      <c r="F423" t="inlineStr">
        <is>
          <t>VÄSTERBOTTENS LÄN</t>
        </is>
      </c>
      <c r="G423" t="inlineStr">
        <is>
          <t>DOROTEA</t>
        </is>
      </c>
      <c r="I423" t="n">
        <v>10.2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13451-2022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44645</v>
      </c>
      <c r="E424" s="1" t="n">
        <v>46273</v>
      </c>
      <c r="F424" t="inlineStr">
        <is>
          <t>VÄSTERBOTTENS LÄN</t>
        </is>
      </c>
      <c r="G424" t="inlineStr">
        <is>
          <t>DOROTEA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45140</v>
      </c>
      <c r="E425" s="1" t="n">
        <v>46273</v>
      </c>
      <c r="F425" t="inlineStr">
        <is>
          <t>VÄSTERBOTTENS LÄN</t>
        </is>
      </c>
      <c r="G425" t="inlineStr">
        <is>
          <t>DOROTEA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46273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45517</v>
      </c>
      <c r="E427" s="1" t="n">
        <v>46273</v>
      </c>
      <c r="F427" t="inlineStr">
        <is>
          <t>VÄSTERBOTTENS LÄN</t>
        </is>
      </c>
      <c r="G427" t="inlineStr">
        <is>
          <t>DOROTEA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53380-2024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45614</v>
      </c>
      <c r="E428" s="1" t="n">
        <v>46273</v>
      </c>
      <c r="F428" t="inlineStr">
        <is>
          <t>VÄSTERBOTTENS LÄN</t>
        </is>
      </c>
      <c r="G428" t="inlineStr">
        <is>
          <t>DOROTEA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46273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46273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46273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45807</v>
      </c>
      <c r="E432" s="1" t="n">
        <v>46273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45807</v>
      </c>
      <c r="E433" s="1" t="n">
        <v>46273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45664</v>
      </c>
      <c r="E434" s="1" t="n">
        <v>46273</v>
      </c>
      <c r="F434" t="inlineStr">
        <is>
          <t>VÄSTERBOTTENS LÄN</t>
        </is>
      </c>
      <c r="G434" t="inlineStr">
        <is>
          <t>DOROTEA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45742</v>
      </c>
      <c r="E435" s="1" t="n">
        <v>46273</v>
      </c>
      <c r="F435" t="inlineStr">
        <is>
          <t>VÄSTERBOTTENS LÄN</t>
        </is>
      </c>
      <c r="G435" t="inlineStr">
        <is>
          <t>DOROTEA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45811</v>
      </c>
      <c r="E436" s="1" t="n">
        <v>46273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46273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46273</v>
      </c>
      <c r="F438" t="inlineStr">
        <is>
          <t>VÄSTERBOTTENS LÄN</t>
        </is>
      </c>
      <c r="G438" t="inlineStr">
        <is>
          <t>DOROTEA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45833</v>
      </c>
      <c r="E439" s="1" t="n">
        <v>46273</v>
      </c>
      <c r="F439" t="inlineStr">
        <is>
          <t>VÄSTERBOTTENS LÄN</t>
        </is>
      </c>
      <c r="G439" t="inlineStr">
        <is>
          <t>DOROTEA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46273</v>
      </c>
      <c r="F440" t="inlineStr">
        <is>
          <t>VÄSTERBOTTENS LÄN</t>
        </is>
      </c>
      <c r="G440" t="inlineStr">
        <is>
          <t>DOROTEA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46273</v>
      </c>
      <c r="F441" t="inlineStr">
        <is>
          <t>VÄSTERBOTTENS LÄN</t>
        </is>
      </c>
      <c r="G441" t="inlineStr">
        <is>
          <t>DOROTEA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45848</v>
      </c>
      <c r="E442" s="1" t="n">
        <v>46273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45847</v>
      </c>
      <c r="E443" s="1" t="n">
        <v>46273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45849</v>
      </c>
      <c r="E444" s="1" t="n">
        <v>46273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45852</v>
      </c>
      <c r="E445" s="1" t="n">
        <v>46273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45855</v>
      </c>
      <c r="E446" s="1" t="n">
        <v>46273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46273</v>
      </c>
      <c r="F447" t="inlineStr">
        <is>
          <t>VÄSTERBOTTENS LÄN</t>
        </is>
      </c>
      <c r="G447" t="inlineStr">
        <is>
          <t>DOROTEA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46273</v>
      </c>
      <c r="F448" t="inlineStr">
        <is>
          <t>VÄSTERBOTTENS LÄN</t>
        </is>
      </c>
      <c r="G448" t="inlineStr">
        <is>
          <t>DOROTEA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46273</v>
      </c>
      <c r="F449" t="inlineStr">
        <is>
          <t>VÄSTERBOTTENS LÄN</t>
        </is>
      </c>
      <c r="G449" t="inlineStr">
        <is>
          <t>DOROTEA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46273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45866</v>
      </c>
      <c r="E451" s="1" t="n">
        <v>46273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36845-2025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45874</v>
      </c>
      <c r="E452" s="1" t="n">
        <v>46273</v>
      </c>
      <c r="F452" t="inlineStr">
        <is>
          <t>VÄSTERBOTTENS LÄN</t>
        </is>
      </c>
      <c r="G452" t="inlineStr">
        <is>
          <t>DOROTEA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45874</v>
      </c>
      <c r="E453" s="1" t="n">
        <v>46273</v>
      </c>
      <c r="F453" t="inlineStr">
        <is>
          <t>VÄSTERBOTTENS LÄN</t>
        </is>
      </c>
      <c r="G453" t="inlineStr">
        <is>
          <t>DOROTEA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37259-2025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45876</v>
      </c>
      <c r="E454" s="1" t="n">
        <v>46273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46273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37276-2025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45876</v>
      </c>
      <c r="E456" s="1" t="n">
        <v>46273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37476-2025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45877</v>
      </c>
      <c r="E457" s="1" t="n">
        <v>46273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45712</v>
      </c>
      <c r="E458" s="1" t="n">
        <v>46273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46273</v>
      </c>
      <c r="F459" t="inlineStr">
        <is>
          <t>VÄSTERBOTTENS LÄN</t>
        </is>
      </c>
      <c r="G459" t="inlineStr">
        <is>
          <t>DOROTEA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46273</v>
      </c>
      <c r="F460" t="inlineStr">
        <is>
          <t>VÄSTERBOTTENS LÄN</t>
        </is>
      </c>
      <c r="G460" t="inlineStr">
        <is>
          <t>DOROTEA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46273</v>
      </c>
      <c r="F461" t="inlineStr">
        <is>
          <t>VÄSTERBOTTENS LÄN</t>
        </is>
      </c>
      <c r="G461" t="inlineStr">
        <is>
          <t>DOROTEA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46273</v>
      </c>
      <c r="F462" t="inlineStr">
        <is>
          <t>VÄSTERBOTTENS LÄN</t>
        </is>
      </c>
      <c r="G462" t="inlineStr">
        <is>
          <t>DOROTEA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38098-2025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45882</v>
      </c>
      <c r="E463" s="1" t="n">
        <v>46273</v>
      </c>
      <c r="F463" t="inlineStr">
        <is>
          <t>VÄSTERBOTTENS LÄN</t>
        </is>
      </c>
      <c r="G463" t="inlineStr">
        <is>
          <t>DOROTEA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46273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46273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46273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46273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46273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46273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2026-09-08T02:06:29Z</dcterms:created>
  <dcterms:modified xmlns:dcterms="http://purl.org/dc/terms/" xmlns:xsi="http://www.w3.org/2001/XMLSchema-instance" xsi:type="dcterms:W3CDTF">2026-09-08T02:06:29Z</dcterms:modified>
</cp:coreProperties>
</file>