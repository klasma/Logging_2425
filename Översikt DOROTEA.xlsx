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46302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46302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46302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46302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46302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46302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46302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46302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46302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46302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46302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30755-2026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46302</v>
      </c>
      <c r="F13" t="inlineStr">
        <is>
          <t>VÄSTERBOTTENS LÄN</t>
        </is>
      </c>
      <c r="G13" t="inlineStr">
        <is>
          <t>DOROTEA</t>
        </is>
      </c>
      <c r="H13" t="inlineStr">
        <is>
          <t>SCA</t>
        </is>
      </c>
      <c r="I13" t="n">
        <v>2.5</v>
      </c>
      <c r="J13" t="n">
        <v>1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Gammelgransskål
Rynkskinn
Plattlummer
Skinnlav
Stuplav</t>
        </is>
      </c>
      <c r="W13">
        <f>HYPERLINK("https://klasma.github.io/Logging_2425/artfynd/A 30755-2026 artfynd.xlsx", "A 30755-2026")</f>
        <v/>
      </c>
      <c r="X13">
        <f>HYPERLINK("https://klasma.github.io/Logging_2425/kartor/A 30755-2026 karta.png", "A 30755-2026")</f>
        <v/>
      </c>
      <c r="Y13">
        <f>HYPERLINK("https://klasma.github.io/Logging_2425/kartor_geotiff/A 30755-2026 georefererad karta.tif", "A 30755-2026")</f>
        <v/>
      </c>
      <c r="AA13">
        <f>HYPERLINK("https://klasma.github.io/Logging_2425/klagomål/A 30755-2026 FSC-klagomål.docx", "A 30755-2026")</f>
        <v/>
      </c>
      <c r="AB13">
        <f>HYPERLINK("https://klasma.github.io/Logging_2425/klagomålsmail/A 30755-2026 FSC-klagomål mail.docx", "A 30755-2026")</f>
        <v/>
      </c>
      <c r="AC13">
        <f>HYPERLINK("https://klasma.github.io/Logging_2425/tillsyn/A 30755-2026 tillsynsbegäran.docx", "A 30755-2026")</f>
        <v/>
      </c>
      <c r="AD13">
        <f>HYPERLINK("https://klasma.github.io/Logging_2425/tillsynsmail/A 30755-2026 tillsynsbegäran mail.docx", "A 30755-2026")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46302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46302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46302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46302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46302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46302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46302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46302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46302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46302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46302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4554-2026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46047</v>
      </c>
      <c r="E26" s="1" t="n">
        <v>46302</v>
      </c>
      <c r="F26" t="inlineStr">
        <is>
          <t>VÄSTERBOTTENS LÄN</t>
        </is>
      </c>
      <c r="G26" t="inlineStr">
        <is>
          <t>DOROTEA</t>
        </is>
      </c>
      <c r="I26" t="n">
        <v>6.1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Violettkantad guldvinge
Kricka</t>
        </is>
      </c>
      <c r="W26">
        <f>HYPERLINK("https://klasma.github.io/Logging_2425/artfynd/A 4554-2026 artfynd.xlsx", "A 4554-2026")</f>
        <v/>
      </c>
      <c r="X26">
        <f>HYPERLINK("https://klasma.github.io/Logging_2425/kartor/A 4554-2026 karta.png", "A 4554-2026")</f>
        <v/>
      </c>
      <c r="Y26">
        <f>HYPERLINK("https://klasma.github.io/Logging_2425/kartor_geotiff/A 4554-2026 georefererad karta.tif", "A 4554-2026")</f>
        <v/>
      </c>
      <c r="AA26">
        <f>HYPERLINK("https://klasma.github.io/Logging_2425/klagomål/A 4554-2026 FSC-klagomål.docx", "A 4554-2026")</f>
        <v/>
      </c>
      <c r="AB26">
        <f>HYPERLINK("https://klasma.github.io/Logging_2425/klagomålsmail/A 4554-2026 FSC-klagomål mail.docx", "A 4554-2026")</f>
        <v/>
      </c>
      <c r="AC26">
        <f>HYPERLINK("https://klasma.github.io/Logging_2425/tillsyn/A 4554-2026 tillsynsbegäran.docx", "A 4554-2026")</f>
        <v/>
      </c>
      <c r="AD26">
        <f>HYPERLINK("https://klasma.github.io/Logging_2425/tillsynsmail/A 4554-2026 tillsynsbegäran mail.docx", "A 4554-2026")</f>
        <v/>
      </c>
      <c r="AE26">
        <f>HYPERLINK("https://klasma.github.io/Logging_2425/fåglar/A 4554-2026 prioriterade fågelarter.docx", "A 4554-2026")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46302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27234-2024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46302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2.2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Rynkskinn
Skrovellav</t>
        </is>
      </c>
      <c r="W28">
        <f>HYPERLINK("https://klasma.github.io/Logging_2425/artfynd/A 27234-2024 artfynd.xlsx", "A 27234-2024")</f>
        <v/>
      </c>
      <c r="X28">
        <f>HYPERLINK("https://klasma.github.io/Logging_2425/kartor/A 27234-2024 karta.png", "A 27234-2024")</f>
        <v/>
      </c>
      <c r="Y28">
        <f>HYPERLINK("https://klasma.github.io/Logging_2425/kartor_geotiff/A 27234-2024 georefererad karta.tif", "A 27234-2024")</f>
        <v/>
      </c>
      <c r="AA28">
        <f>HYPERLINK("https://klasma.github.io/Logging_2425/klagomål/A 27234-2024 FSC-klagomål.docx", "A 27234-2024")</f>
        <v/>
      </c>
      <c r="AB28">
        <f>HYPERLINK("https://klasma.github.io/Logging_2425/klagomålsmail/A 27234-2024 FSC-klagomål mail.docx", "A 27234-2024")</f>
        <v/>
      </c>
      <c r="AC28">
        <f>HYPERLINK("https://klasma.github.io/Logging_2425/tillsyn/A 27234-2024 tillsynsbegäran.docx", "A 27234-2024")</f>
        <v/>
      </c>
      <c r="AD28">
        <f>HYPERLINK("https://klasma.github.io/Logging_2425/tillsynsmail/A 27234-2024 tillsynsbegäran mail.docx", "A 27234-2024")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46302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46302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46302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46302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46302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46302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46302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46302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46302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46302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46302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46302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46302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46302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21926-2026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46302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Stuplav</t>
        </is>
      </c>
      <c r="W44">
        <f>HYPERLINK("https://klasma.github.io/Logging_2425/artfynd/A 21926-2026 artfynd.xlsx", "A 21926-2026")</f>
        <v/>
      </c>
      <c r="X44">
        <f>HYPERLINK("https://klasma.github.io/Logging_2425/kartor/A 21926-2026 karta.png", "A 21926-2026")</f>
        <v/>
      </c>
      <c r="Y44">
        <f>HYPERLINK("https://klasma.github.io/Logging_2425/kartor_geotiff/A 21926-2026 georefererad karta.tif", "A 21926-2026")</f>
        <v/>
      </c>
      <c r="AA44">
        <f>HYPERLINK("https://klasma.github.io/Logging_2425/klagomål/A 21926-2026 FSC-klagomål.docx", "A 21926-2026")</f>
        <v/>
      </c>
      <c r="AB44">
        <f>HYPERLINK("https://klasma.github.io/Logging_2425/klagomålsmail/A 21926-2026 FSC-klagomål mail.docx", "A 21926-2026")</f>
        <v/>
      </c>
      <c r="AC44">
        <f>HYPERLINK("https://klasma.github.io/Logging_2425/tillsyn/A 21926-2026 tillsynsbegäran.docx", "A 21926-2026")</f>
        <v/>
      </c>
      <c r="AD44">
        <f>HYPERLINK("https://klasma.github.io/Logging_2425/tillsynsmail/A 21926-2026 tillsynsbegäran mail.docx", "A 21926-2026")</f>
        <v/>
      </c>
    </row>
    <row r="45" ht="15" customHeight="1">
      <c r="A45" t="inlineStr">
        <is>
          <t>A 25980-2026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46302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40.2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HYPERLINK("https://klasma.github.io/Logging_2425/artfynd/A 25980-2026 artfynd.xlsx", "A 25980-2026")</f>
        <v/>
      </c>
      <c r="X45">
        <f>HYPERLINK("https://klasma.github.io/Logging_2425/kartor/A 25980-2026 karta.png", "A 25980-2026")</f>
        <v/>
      </c>
      <c r="Y45">
        <f>HYPERLINK("https://klasma.github.io/Logging_2425/kartor_geotiff/A 25980-2026 georefererad karta.tif", "A 25980-2026")</f>
        <v/>
      </c>
      <c r="AA45">
        <f>HYPERLINK("https://klasma.github.io/Logging_2425/klagomål/A 25980-2026 FSC-klagomål.docx", "A 25980-2026")</f>
        <v/>
      </c>
      <c r="AB45">
        <f>HYPERLINK("https://klasma.github.io/Logging_2425/klagomålsmail/A 25980-2026 FSC-klagomål mail.docx", "A 25980-2026")</f>
        <v/>
      </c>
      <c r="AC45">
        <f>HYPERLINK("https://klasma.github.io/Logging_2425/tillsyn/A 25980-2026 tillsynsbegäran.docx", "A 25980-2026")</f>
        <v/>
      </c>
      <c r="AD45">
        <f>HYPERLINK("https://klasma.github.io/Logging_2425/tillsynsmail/A 25980-2026 tillsynsbegäran mail.docx", "A 25980-2026")</f>
        <v/>
      </c>
    </row>
    <row r="46" ht="15" customHeight="1">
      <c r="A46" t="inlineStr">
        <is>
          <t>A 30286-2023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46302</v>
      </c>
      <c r="F46" t="inlineStr">
        <is>
          <t>VÄSTERBOTTENS LÄN</t>
        </is>
      </c>
      <c r="G46" t="inlineStr">
        <is>
          <t>DOROTEA</t>
        </is>
      </c>
      <c r="I46" t="n">
        <v>21.2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Skogsrör</t>
        </is>
      </c>
      <c r="W46">
        <f>HYPERLINK("https://klasma.github.io/Logging_2425/artfynd/A 30286-2023 artfynd.xlsx", "A 30286-2023")</f>
        <v/>
      </c>
      <c r="X46">
        <f>HYPERLINK("https://klasma.github.io/Logging_2425/kartor/A 30286-2023 karta.png", "A 30286-2023")</f>
        <v/>
      </c>
      <c r="Y46">
        <f>HYPERLINK("https://klasma.github.io/Logging_2425/kartor_geotiff/A 30286-2023 georefererad karta.tif", "A 30286-2023")</f>
        <v/>
      </c>
      <c r="AA46">
        <f>HYPERLINK("https://klasma.github.io/Logging_2425/klagomål/A 30286-2023 FSC-klagomål.docx", "A 30286-2023")</f>
        <v/>
      </c>
      <c r="AB46">
        <f>HYPERLINK("https://klasma.github.io/Logging_2425/klagomålsmail/A 30286-2023 FSC-klagomål mail.docx", "A 30286-2023")</f>
        <v/>
      </c>
      <c r="AC46">
        <f>HYPERLINK("https://klasma.github.io/Logging_2425/tillsyn/A 30286-2023 tillsynsbegäran.docx", "A 30286-2023")</f>
        <v/>
      </c>
      <c r="AD46">
        <f>HYPERLINK("https://klasma.github.io/Logging_2425/tillsynsmail/A 30286-2023 tillsynsbegäran mail.docx", "A 30286-2023")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46302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30357-2026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46209</v>
      </c>
      <c r="E48" s="1" t="n">
        <v>46302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Tajgahumla</t>
        </is>
      </c>
      <c r="W48">
        <f>HYPERLINK("https://klasma.github.io/Logging_2425/artfynd/A 30357-2026 artfynd.xlsx", "A 30357-2026")</f>
        <v/>
      </c>
      <c r="X48">
        <f>HYPERLINK("https://klasma.github.io/Logging_2425/kartor/A 30357-2026 karta.png", "A 30357-2026")</f>
        <v/>
      </c>
      <c r="Y48">
        <f>HYPERLINK("https://klasma.github.io/Logging_2425/kartor_geotiff/A 30357-2026 georefererad karta.tif", "A 30357-2026")</f>
        <v/>
      </c>
      <c r="AA48">
        <f>HYPERLINK("https://klasma.github.io/Logging_2425/klagomål/A 30357-2026 FSC-klagomål.docx", "A 30357-2026")</f>
        <v/>
      </c>
      <c r="AB48">
        <f>HYPERLINK("https://klasma.github.io/Logging_2425/klagomålsmail/A 30357-2026 FSC-klagomål mail.docx", "A 30357-2026")</f>
        <v/>
      </c>
      <c r="AC48">
        <f>HYPERLINK("https://klasma.github.io/Logging_2425/tillsyn/A 30357-2026 tillsynsbegäran.docx", "A 30357-2026")</f>
        <v/>
      </c>
      <c r="AD48">
        <f>HYPERLINK("https://klasma.github.io/Logging_2425/tillsynsmail/A 30357-2026 tillsynsbegäran mail.docx", "A 30357-2026")</f>
        <v/>
      </c>
    </row>
    <row r="49" ht="15" customHeight="1">
      <c r="A49" t="inlineStr">
        <is>
          <t>A 35297-2026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46302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5.5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Harticka</t>
        </is>
      </c>
      <c r="W49">
        <f>HYPERLINK("https://klasma.github.io/Logging_2425/artfynd/A 35297-2026 artfynd.xlsx", "A 35297-2026")</f>
        <v/>
      </c>
      <c r="X49">
        <f>HYPERLINK("https://klasma.github.io/Logging_2425/kartor/A 35297-2026 karta.png", "A 35297-2026")</f>
        <v/>
      </c>
      <c r="Y49">
        <f>HYPERLINK("https://klasma.github.io/Logging_2425/kartor_geotiff/A 35297-2026 georefererad karta.tif", "A 35297-2026")</f>
        <v/>
      </c>
      <c r="AA49">
        <f>HYPERLINK("https://klasma.github.io/Logging_2425/klagomål/A 35297-2026 FSC-klagomål.docx", "A 35297-2026")</f>
        <v/>
      </c>
      <c r="AB49">
        <f>HYPERLINK("https://klasma.github.io/Logging_2425/klagomålsmail/A 35297-2026 FSC-klagomål mail.docx", "A 35297-2026")</f>
        <v/>
      </c>
      <c r="AC49">
        <f>HYPERLINK("https://klasma.github.io/Logging_2425/tillsyn/A 35297-2026 tillsynsbegäran.docx", "A 35297-2026")</f>
        <v/>
      </c>
      <c r="AD49">
        <f>HYPERLINK("https://klasma.github.io/Logging_2425/tillsynsmail/A 35297-2026 tillsynsbegäran mail.docx", "A 35297-2026")</f>
        <v/>
      </c>
    </row>
    <row r="50" ht="15" customHeight="1">
      <c r="A50" t="inlineStr">
        <is>
          <t>A 12005-2023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44994</v>
      </c>
      <c r="E50" s="1" t="n">
        <v>46302</v>
      </c>
      <c r="F50" t="inlineStr">
        <is>
          <t>VÄSTERBOTTENS LÄN</t>
        </is>
      </c>
      <c r="G50" t="inlineStr">
        <is>
          <t>DOROTEA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HYPERLINK("https://klasma.github.io/Logging_2425/artfynd/A 12005-2023 artfynd.xlsx", "A 12005-2023")</f>
        <v/>
      </c>
      <c r="X50">
        <f>HYPERLINK("https://klasma.github.io/Logging_2425/kartor/A 12005-2023 karta.png", "A 12005-2023")</f>
        <v/>
      </c>
      <c r="Y50">
        <f>HYPERLINK("https://klasma.github.io/Logging_2425/kartor_geotiff/A 12005-2023 georefererad karta.tif", "A 12005-2023")</f>
        <v/>
      </c>
      <c r="AA50">
        <f>HYPERLINK("https://klasma.github.io/Logging_2425/klagomål/A 12005-2023 FSC-klagomål.docx", "A 12005-2023")</f>
        <v/>
      </c>
      <c r="AB50">
        <f>HYPERLINK("https://klasma.github.io/Logging_2425/klagomålsmail/A 12005-2023 FSC-klagomål mail.docx", "A 12005-2023")</f>
        <v/>
      </c>
      <c r="AC50">
        <f>HYPERLINK("https://klasma.github.io/Logging_2425/tillsyn/A 12005-2023 tillsynsbegäran.docx", "A 12005-2023")</f>
        <v/>
      </c>
      <c r="AD50">
        <f>HYPERLINK("https://klasma.github.io/Logging_2425/tillsynsmail/A 12005-2023 tillsynsbegäran mail.docx", "A 12005-2023")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46302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57060-2024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46302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57060-2024 artfynd.xlsx", "A 57060-2024")</f>
        <v/>
      </c>
      <c r="X52">
        <f>HYPERLINK("https://klasma.github.io/Logging_2425/kartor/A 57060-2024 karta.png", "A 57060-2024")</f>
        <v/>
      </c>
      <c r="Y52">
        <f>HYPERLINK("https://klasma.github.io/Logging_2425/kartor_geotiff/A 57060-2024 georefererad karta.tif", "A 57060-2024")</f>
        <v/>
      </c>
      <c r="AA52">
        <f>HYPERLINK("https://klasma.github.io/Logging_2425/klagomål/A 57060-2024 FSC-klagomål.docx", "A 57060-2024")</f>
        <v/>
      </c>
      <c r="AB52">
        <f>HYPERLINK("https://klasma.github.io/Logging_2425/klagomålsmail/A 57060-2024 FSC-klagomål mail.docx", "A 57060-2024")</f>
        <v/>
      </c>
      <c r="AC52">
        <f>HYPERLINK("https://klasma.github.io/Logging_2425/tillsyn/A 57060-2024 tillsynsbegäran.docx", "A 57060-2024")</f>
        <v/>
      </c>
      <c r="AD52">
        <f>HYPERLINK("https://klasma.github.io/Logging_2425/tillsynsmail/A 57060-2024 tillsynsbegäran mail.docx", "A 57060-2024")</f>
        <v/>
      </c>
    </row>
    <row r="53" ht="15" customHeight="1">
      <c r="A53" t="inlineStr">
        <is>
          <t>A 20600-2023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45057</v>
      </c>
      <c r="E53" s="1" t="n">
        <v>46302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Korallrot</t>
        </is>
      </c>
      <c r="W53">
        <f>HYPERLINK("https://klasma.github.io/Logging_2425/artfynd/A 20600-2023 artfynd.xlsx", "A 20600-2023")</f>
        <v/>
      </c>
      <c r="X53">
        <f>HYPERLINK("https://klasma.github.io/Logging_2425/kartor/A 20600-2023 karta.png", "A 20600-2023")</f>
        <v/>
      </c>
      <c r="Y53">
        <f>HYPERLINK("https://klasma.github.io/Logging_2425/kartor_geotiff/A 20600-2023 georefererad karta.tif", "A 20600-2023")</f>
        <v/>
      </c>
      <c r="AA53">
        <f>HYPERLINK("https://klasma.github.io/Logging_2425/klagomål/A 20600-2023 FSC-klagomål.docx", "A 20600-2023")</f>
        <v/>
      </c>
      <c r="AB53">
        <f>HYPERLINK("https://klasma.github.io/Logging_2425/klagomålsmail/A 20600-2023 FSC-klagomål mail.docx", "A 20600-2023")</f>
        <v/>
      </c>
      <c r="AC53">
        <f>HYPERLINK("https://klasma.github.io/Logging_2425/tillsyn/A 20600-2023 tillsynsbegäran.docx", "A 20600-2023")</f>
        <v/>
      </c>
      <c r="AD53">
        <f>HYPERLINK("https://klasma.github.io/Logging_2425/tillsynsmail/A 20600-2023 tillsynsbegäran mail.docx", "A 20600-2023")</f>
        <v/>
      </c>
    </row>
    <row r="54" ht="15" customHeight="1">
      <c r="A54" t="inlineStr">
        <is>
          <t>A 57058-2024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46302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57058-2024 artfynd.xlsx", "A 57058-2024")</f>
        <v/>
      </c>
      <c r="X54">
        <f>HYPERLINK("https://klasma.github.io/Logging_2425/kartor/A 57058-2024 karta.png", "A 57058-2024")</f>
        <v/>
      </c>
      <c r="Y54">
        <f>HYPERLINK("https://klasma.github.io/Logging_2425/kartor_geotiff/A 57058-2024 georefererad karta.tif", "A 57058-2024")</f>
        <v/>
      </c>
      <c r="AA54">
        <f>HYPERLINK("https://klasma.github.io/Logging_2425/klagomål/A 57058-2024 FSC-klagomål.docx", "A 57058-2024")</f>
        <v/>
      </c>
      <c r="AB54">
        <f>HYPERLINK("https://klasma.github.io/Logging_2425/klagomålsmail/A 57058-2024 FSC-klagomål mail.docx", "A 57058-2024")</f>
        <v/>
      </c>
      <c r="AC54">
        <f>HYPERLINK("https://klasma.github.io/Logging_2425/tillsyn/A 57058-2024 tillsynsbegäran.docx", "A 57058-2024")</f>
        <v/>
      </c>
      <c r="AD54">
        <f>HYPERLINK("https://klasma.github.io/Logging_2425/tillsynsmail/A 57058-2024 tillsynsbegäran mail.docx", "A 57058-2024")</f>
        <v/>
      </c>
    </row>
    <row r="55" ht="15" customHeight="1">
      <c r="A55" t="inlineStr">
        <is>
          <t>A 46815-2023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45198</v>
      </c>
      <c r="E55" s="1" t="n">
        <v>46302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3.7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46815-2023 artfynd.xlsx", "A 46815-2023")</f>
        <v/>
      </c>
      <c r="X55">
        <f>HYPERLINK("https://klasma.github.io/Logging_2425/kartor/A 46815-2023 karta.png", "A 46815-2023")</f>
        <v/>
      </c>
      <c r="Y55">
        <f>HYPERLINK("https://klasma.github.io/Logging_2425/kartor_geotiff/A 46815-2023 georefererad karta.tif", "A 46815-2023")</f>
        <v/>
      </c>
      <c r="AA55">
        <f>HYPERLINK("https://klasma.github.io/Logging_2425/klagomål/A 46815-2023 FSC-klagomål.docx", "A 46815-2023")</f>
        <v/>
      </c>
      <c r="AB55">
        <f>HYPERLINK("https://klasma.github.io/Logging_2425/klagomålsmail/A 46815-2023 FSC-klagomål mail.docx", "A 46815-2023")</f>
        <v/>
      </c>
      <c r="AC55">
        <f>HYPERLINK("https://klasma.github.io/Logging_2425/tillsyn/A 46815-2023 tillsynsbegäran.docx", "A 46815-2023")</f>
        <v/>
      </c>
      <c r="AD55">
        <f>HYPERLINK("https://klasma.github.io/Logging_2425/tillsynsmail/A 46815-2023 tillsynsbegäran mail.docx", "A 46815-2023")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46302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46302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46302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46302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46302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46302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46302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46302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46302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46302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46302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46302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46302</v>
      </c>
      <c r="F69" t="inlineStr">
        <is>
          <t>VÄSTERBOTTENS LÄN</t>
        </is>
      </c>
      <c r="G69" t="inlineStr">
        <is>
          <t>DOROTEA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45170</v>
      </c>
      <c r="E70" s="1" t="n">
        <v>46302</v>
      </c>
      <c r="F70" t="inlineStr">
        <is>
          <t>VÄSTERBOTTENS LÄN</t>
        </is>
      </c>
      <c r="G70" t="inlineStr">
        <is>
          <t>DOROTEA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46302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45556</v>
      </c>
      <c r="E72" s="1" t="n">
        <v>46302</v>
      </c>
      <c r="F72" t="inlineStr">
        <is>
          <t>VÄSTERBOTTENS LÄN</t>
        </is>
      </c>
      <c r="G72" t="inlineStr">
        <is>
          <t>DOROTEA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46302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46302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60015-2023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45257</v>
      </c>
      <c r="E75" s="1" t="n">
        <v>46302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45036</v>
      </c>
      <c r="E76" s="1" t="n">
        <v>46302</v>
      </c>
      <c r="F76" t="inlineStr">
        <is>
          <t>VÄSTERBOTTENS LÄN</t>
        </is>
      </c>
      <c r="G76" t="inlineStr">
        <is>
          <t>DOROTEA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44876</v>
      </c>
      <c r="E77" s="1" t="n">
        <v>46302</v>
      </c>
      <c r="F77" t="inlineStr">
        <is>
          <t>VÄSTERBOTTENS LÄN</t>
        </is>
      </c>
      <c r="G77" t="inlineStr">
        <is>
          <t>DOROTEA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46302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46302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46302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46302</v>
      </c>
      <c r="F81" t="inlineStr">
        <is>
          <t>VÄSTERBOTTENS LÄN</t>
        </is>
      </c>
      <c r="G81" t="inlineStr">
        <is>
          <t>DOROTEA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45140</v>
      </c>
      <c r="E82" s="1" t="n">
        <v>46302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46302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46302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46302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46030</v>
      </c>
      <c r="E86" s="1" t="n">
        <v>46302</v>
      </c>
      <c r="F86" t="inlineStr">
        <is>
          <t>VÄSTERBOTTENS LÄN</t>
        </is>
      </c>
      <c r="G86" t="inlineStr">
        <is>
          <t>DOROTEA</t>
        </is>
      </c>
      <c r="I86" t="n">
        <v>18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46302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26315-2025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46302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46302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46029</v>
      </c>
      <c r="E90" s="1" t="n">
        <v>46302</v>
      </c>
      <c r="F90" t="inlineStr">
        <is>
          <t>VÄSTERBOTTENS LÄN</t>
        </is>
      </c>
      <c r="G90" t="inlineStr">
        <is>
          <t>DOROTEA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46038</v>
      </c>
      <c r="E91" s="1" t="n">
        <v>46302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46302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46302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46302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46302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45664</v>
      </c>
      <c r="E96" s="1" t="n">
        <v>46302</v>
      </c>
      <c r="F96" t="inlineStr">
        <is>
          <t>VÄSTERBOTTENS LÄN</t>
        </is>
      </c>
      <c r="G96" t="inlineStr">
        <is>
          <t>DOROTEA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45742</v>
      </c>
      <c r="E97" s="1" t="n">
        <v>46302</v>
      </c>
      <c r="F97" t="inlineStr">
        <is>
          <t>VÄSTERBOTTENS LÄN</t>
        </is>
      </c>
      <c r="G97" t="inlineStr">
        <is>
          <t>DOROTEA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46302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46302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46302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38700-2024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45547</v>
      </c>
      <c r="E101" s="1" t="n">
        <v>46302</v>
      </c>
      <c r="F101" t="inlineStr">
        <is>
          <t>VÄSTERBOTTENS LÄN</t>
        </is>
      </c>
      <c r="G101" t="inlineStr">
        <is>
          <t>DOROTEA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46302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46302</v>
      </c>
      <c r="F103" t="inlineStr">
        <is>
          <t>VÄSTERBOTTENS LÄN</t>
        </is>
      </c>
      <c r="G103" t="inlineStr">
        <is>
          <t>DOROTEA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46302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25028-2024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45461</v>
      </c>
      <c r="E105" s="1" t="n">
        <v>46302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46302</v>
      </c>
      <c r="F106" t="inlineStr">
        <is>
          <t>VÄSTERBOTTENS LÄN</t>
        </is>
      </c>
      <c r="G106" t="inlineStr">
        <is>
          <t>DOROTEA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46302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46302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46302</v>
      </c>
      <c r="F109" t="inlineStr">
        <is>
          <t>VÄSTERBOTTENS LÄN</t>
        </is>
      </c>
      <c r="G109" t="inlineStr">
        <is>
          <t>DOROTEA</t>
        </is>
      </c>
      <c r="I109" t="n">
        <v>11.8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46302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46302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45351</v>
      </c>
      <c r="E112" s="1" t="n">
        <v>46302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45893</v>
      </c>
      <c r="E113" s="1" t="n">
        <v>46302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46302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46054</v>
      </c>
      <c r="E115" s="1" t="n">
        <v>46302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46302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46302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46302</v>
      </c>
      <c r="F118" t="inlineStr">
        <is>
          <t>VÄSTERBOTTENS LÄN</t>
        </is>
      </c>
      <c r="G118" t="inlineStr">
        <is>
          <t>DOROTEA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7713-2026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46302</v>
      </c>
      <c r="F119" t="inlineStr">
        <is>
          <t>VÄSTERBOTTENS LÄN</t>
        </is>
      </c>
      <c r="G119" t="inlineStr">
        <is>
          <t>DOROTEA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46302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46063</v>
      </c>
      <c r="E121" s="1" t="n">
        <v>46302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46302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46302</v>
      </c>
      <c r="F123" t="inlineStr">
        <is>
          <t>VÄSTERBOTTENS LÄN</t>
        </is>
      </c>
      <c r="G123" t="inlineStr">
        <is>
          <t>DOROTEA</t>
        </is>
      </c>
      <c r="H123" t="inlineStr">
        <is>
          <t>Övriga Aktiebolag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48006-2023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45198</v>
      </c>
      <c r="E124" s="1" t="n">
        <v>46302</v>
      </c>
      <c r="F124" t="inlineStr">
        <is>
          <t>VÄSTERBOTTENS LÄN</t>
        </is>
      </c>
      <c r="G124" t="inlineStr">
        <is>
          <t>DOROTEA</t>
        </is>
      </c>
      <c r="H124" t="inlineStr">
        <is>
          <t>Övriga statliga verk och myndigheter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46302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45915</v>
      </c>
      <c r="E126" s="1" t="n">
        <v>46302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45228</v>
      </c>
      <c r="E127" s="1" t="n">
        <v>46302</v>
      </c>
      <c r="F127" t="inlineStr">
        <is>
          <t>VÄSTERBOTTENS LÄN</t>
        </is>
      </c>
      <c r="G127" t="inlineStr">
        <is>
          <t>DOROTEA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45228</v>
      </c>
      <c r="E128" s="1" t="n">
        <v>46302</v>
      </c>
      <c r="F128" t="inlineStr">
        <is>
          <t>VÄSTERBOTTENS LÄN</t>
        </is>
      </c>
      <c r="G128" t="inlineStr">
        <is>
          <t>DOROTEA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46302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46302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46302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46302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44282-2025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45916</v>
      </c>
      <c r="E133" s="1" t="n">
        <v>46302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46302</v>
      </c>
      <c r="F134" t="inlineStr">
        <is>
          <t>VÄSTERBOTTENS LÄN</t>
        </is>
      </c>
      <c r="G134" t="inlineStr">
        <is>
          <t>DOROTEA</t>
        </is>
      </c>
      <c r="H134" t="inlineStr">
        <is>
          <t>Övriga statliga verk och myndigheter</t>
        </is>
      </c>
      <c r="I134" t="n">
        <v>15.2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46302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46302</v>
      </c>
      <c r="F136" t="inlineStr">
        <is>
          <t>VÄSTERBOTTENS LÄN</t>
        </is>
      </c>
      <c r="G136" t="inlineStr">
        <is>
          <t>DOROTEA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46072</v>
      </c>
      <c r="E137" s="1" t="n">
        <v>46302</v>
      </c>
      <c r="F137" t="inlineStr">
        <is>
          <t>VÄSTERBOTTENS LÄN</t>
        </is>
      </c>
      <c r="G137" t="inlineStr">
        <is>
          <t>DOROTEA</t>
        </is>
      </c>
      <c r="I137" t="n">
        <v>20.1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46302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46302</v>
      </c>
      <c r="F139" t="inlineStr">
        <is>
          <t>VÄSTERBOTTENS LÄN</t>
        </is>
      </c>
      <c r="G139" t="inlineStr">
        <is>
          <t>DOROTEA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46302</v>
      </c>
      <c r="F140" t="inlineStr">
        <is>
          <t>VÄSTERBOTTENS LÄN</t>
        </is>
      </c>
      <c r="G140" t="inlineStr">
        <is>
          <t>DOROTEA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44582</v>
      </c>
      <c r="E141" s="1" t="n">
        <v>46302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12082-2026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46086</v>
      </c>
      <c r="E142" s="1" t="n">
        <v>46302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46302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46965-2024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45586</v>
      </c>
      <c r="E144" s="1" t="n">
        <v>46302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45852</v>
      </c>
      <c r="E145" s="1" t="n">
        <v>46302</v>
      </c>
      <c r="F145" t="inlineStr">
        <is>
          <t>VÄSTERBOTTENS LÄN</t>
        </is>
      </c>
      <c r="G145" t="inlineStr">
        <is>
          <t>DOROTEA</t>
        </is>
      </c>
      <c r="H145" t="inlineStr">
        <is>
          <t>Allmännings- och besparingsskogar</t>
        </is>
      </c>
      <c r="I145" t="n">
        <v>22.1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45852</v>
      </c>
      <c r="E146" s="1" t="n">
        <v>46302</v>
      </c>
      <c r="F146" t="inlineStr">
        <is>
          <t>VÄSTERBOTTENS LÄN</t>
        </is>
      </c>
      <c r="G146" t="inlineStr">
        <is>
          <t>DOROTEA</t>
        </is>
      </c>
      <c r="H146" t="inlineStr">
        <is>
          <t>Allmännings- och besparingsskogar</t>
        </is>
      </c>
      <c r="I146" t="n">
        <v>20.3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46302</v>
      </c>
      <c r="F147" t="inlineStr">
        <is>
          <t>VÄSTERBOTTENS LÄN</t>
        </is>
      </c>
      <c r="G147" t="inlineStr">
        <is>
          <t>DOROTEA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46302</v>
      </c>
      <c r="F148" t="inlineStr">
        <is>
          <t>VÄSTERBOTTENS LÄN</t>
        </is>
      </c>
      <c r="G148" t="inlineStr">
        <is>
          <t>DOROTEA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45013</v>
      </c>
      <c r="E149" s="1" t="n">
        <v>46302</v>
      </c>
      <c r="F149" t="inlineStr">
        <is>
          <t>VÄSTERBOTTENS LÄN</t>
        </is>
      </c>
      <c r="G149" t="inlineStr">
        <is>
          <t>DOROTEA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46302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46302</v>
      </c>
      <c r="F151" t="inlineStr">
        <is>
          <t>VÄSTERBOTTENS LÄN</t>
        </is>
      </c>
      <c r="G151" t="inlineStr">
        <is>
          <t>DOROTEA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46302</v>
      </c>
      <c r="F152" t="inlineStr">
        <is>
          <t>VÄSTERBOTTENS LÄN</t>
        </is>
      </c>
      <c r="G152" t="inlineStr">
        <is>
          <t>DOROTEA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46302</v>
      </c>
      <c r="F153" t="inlineStr">
        <is>
          <t>VÄSTERBOTTENS LÄN</t>
        </is>
      </c>
      <c r="G153" t="inlineStr">
        <is>
          <t>DOROTEA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44742</v>
      </c>
      <c r="E154" s="1" t="n">
        <v>46302</v>
      </c>
      <c r="F154" t="inlineStr">
        <is>
          <t>VÄSTERBOTTENS LÄN</t>
        </is>
      </c>
      <c r="G154" t="inlineStr">
        <is>
          <t>DOROTEA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46302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46302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46302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46302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46302</v>
      </c>
      <c r="F159" t="inlineStr">
        <is>
          <t>VÄSTERBOTTENS LÄN</t>
        </is>
      </c>
      <c r="G159" t="inlineStr">
        <is>
          <t>DOROTEA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46104</v>
      </c>
      <c r="E160" s="1" t="n">
        <v>46302</v>
      </c>
      <c r="F160" t="inlineStr">
        <is>
          <t>VÄSTERBOTTENS LÄN</t>
        </is>
      </c>
      <c r="G160" t="inlineStr">
        <is>
          <t>DOROTEA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46302</v>
      </c>
      <c r="F161" t="inlineStr">
        <is>
          <t>VÄSTERBOTTENS LÄN</t>
        </is>
      </c>
      <c r="G161" t="inlineStr">
        <is>
          <t>DOROTEA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27305-2024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45471</v>
      </c>
      <c r="E162" s="1" t="n">
        <v>46302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45847</v>
      </c>
      <c r="E163" s="1" t="n">
        <v>46302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45846</v>
      </c>
      <c r="E164" s="1" t="n">
        <v>46302</v>
      </c>
      <c r="F164" t="inlineStr">
        <is>
          <t>VÄSTERBOTTENS LÄN</t>
        </is>
      </c>
      <c r="G164" t="inlineStr">
        <is>
          <t>DOROTEA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45848</v>
      </c>
      <c r="E165" s="1" t="n">
        <v>46302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46302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45539</v>
      </c>
      <c r="E167" s="1" t="n">
        <v>46302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46302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46302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46302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45852</v>
      </c>
      <c r="E171" s="1" t="n">
        <v>46302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46302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46302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45855</v>
      </c>
      <c r="E174" s="1" t="n">
        <v>46302</v>
      </c>
      <c r="F174" t="inlineStr">
        <is>
          <t>VÄSTERBOTTENS LÄN</t>
        </is>
      </c>
      <c r="G174" t="inlineStr">
        <is>
          <t>DOROTEA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45855</v>
      </c>
      <c r="E175" s="1" t="n">
        <v>46302</v>
      </c>
      <c r="F175" t="inlineStr">
        <is>
          <t>VÄSTERBOTTENS LÄN</t>
        </is>
      </c>
      <c r="G175" t="inlineStr">
        <is>
          <t>DOROTEA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46302</v>
      </c>
      <c r="F176" t="inlineStr">
        <is>
          <t>VÄSTERBOTTENS LÄN</t>
        </is>
      </c>
      <c r="G176" t="inlineStr">
        <is>
          <t>DOROTEA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46302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46302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33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46114</v>
      </c>
      <c r="E179" s="1" t="n">
        <v>46302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45866</v>
      </c>
      <c r="E180" s="1" t="n">
        <v>46302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45866</v>
      </c>
      <c r="E181" s="1" t="n">
        <v>46302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52412-2025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46302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46113</v>
      </c>
      <c r="E183" s="1" t="n">
        <v>46302</v>
      </c>
      <c r="F183" t="inlineStr">
        <is>
          <t>VÄSTERBOTTENS LÄN</t>
        </is>
      </c>
      <c r="G183" t="inlineStr">
        <is>
          <t>DOROTEA</t>
        </is>
      </c>
      <c r="H183" t="inlineStr">
        <is>
          <t>Kommuner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46302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46120</v>
      </c>
      <c r="E185" s="1" t="n">
        <v>46302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8.6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46302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46123</v>
      </c>
      <c r="E187" s="1" t="n">
        <v>46302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46302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18.3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18254-2026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46126</v>
      </c>
      <c r="E189" s="1" t="n">
        <v>46302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46302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46302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46302</v>
      </c>
      <c r="F192" t="inlineStr">
        <is>
          <t>VÄSTERBOTTENS LÄN</t>
        </is>
      </c>
      <c r="G192" t="inlineStr">
        <is>
          <t>DOROTEA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45331</v>
      </c>
      <c r="E193" s="1" t="n">
        <v>46302</v>
      </c>
      <c r="F193" t="inlineStr">
        <is>
          <t>VÄSTERBOTTENS LÄN</t>
        </is>
      </c>
      <c r="G193" t="inlineStr">
        <is>
          <t>DOROTEA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46302</v>
      </c>
      <c r="F194" t="inlineStr">
        <is>
          <t>VÄSTERBOTTENS LÄN</t>
        </is>
      </c>
      <c r="G194" t="inlineStr">
        <is>
          <t>DOROTEA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45875</v>
      </c>
      <c r="E195" s="1" t="n">
        <v>46302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45876</v>
      </c>
      <c r="E196" s="1" t="n">
        <v>46302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45877</v>
      </c>
      <c r="E197" s="1" t="n">
        <v>46302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44889</v>
      </c>
      <c r="E198" s="1" t="n">
        <v>46302</v>
      </c>
      <c r="F198" t="inlineStr">
        <is>
          <t>VÄSTERBOTTENS LÄN</t>
        </is>
      </c>
      <c r="G198" t="inlineStr">
        <is>
          <t>DOROTEA</t>
        </is>
      </c>
      <c r="I198" t="n">
        <v>15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45876</v>
      </c>
      <c r="E199" s="1" t="n">
        <v>46302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46302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45882</v>
      </c>
      <c r="E201" s="1" t="n">
        <v>46302</v>
      </c>
      <c r="F201" t="inlineStr">
        <is>
          <t>VÄSTERBOTTENS LÄN</t>
        </is>
      </c>
      <c r="G201" t="inlineStr">
        <is>
          <t>DOROTEA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46302</v>
      </c>
      <c r="F202" t="inlineStr">
        <is>
          <t>VÄSTERBOTTENS LÄN</t>
        </is>
      </c>
      <c r="G202" t="inlineStr">
        <is>
          <t>DOROTEA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46133</v>
      </c>
      <c r="E203" s="1" t="n">
        <v>46302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46302</v>
      </c>
      <c r="F204" t="inlineStr">
        <is>
          <t>VÄSTERBOTTENS LÄN</t>
        </is>
      </c>
      <c r="G204" t="inlineStr">
        <is>
          <t>DOROTEA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45882</v>
      </c>
      <c r="E205" s="1" t="n">
        <v>46302</v>
      </c>
      <c r="F205" t="inlineStr">
        <is>
          <t>VÄSTERBOTTENS LÄN</t>
        </is>
      </c>
      <c r="G205" t="inlineStr">
        <is>
          <t>DOROTEA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46302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46302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45883</v>
      </c>
      <c r="E208" s="1" t="n">
        <v>46302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46302</v>
      </c>
      <c r="F209" t="inlineStr">
        <is>
          <t>VÄSTERBOTTENS LÄN</t>
        </is>
      </c>
      <c r="G209" t="inlineStr">
        <is>
          <t>DOROTEA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19445-2026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46302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46302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46302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45140</v>
      </c>
      <c r="E213" s="1" t="n">
        <v>46302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46302</v>
      </c>
      <c r="F214" t="inlineStr">
        <is>
          <t>VÄSTERBOTTENS LÄN</t>
        </is>
      </c>
      <c r="G214" t="inlineStr">
        <is>
          <t>DOROTEA</t>
        </is>
      </c>
      <c r="I214" t="n">
        <v>14.7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46302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46302</v>
      </c>
      <c r="F216" t="inlineStr">
        <is>
          <t>VÄSTERBOTTENS LÄN</t>
        </is>
      </c>
      <c r="G216" t="inlineStr">
        <is>
          <t>DOROTEA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46302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20333-2026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46302</v>
      </c>
      <c r="F218" t="inlineStr">
        <is>
          <t>VÄSTERBOTTENS LÄN</t>
        </is>
      </c>
      <c r="G218" t="inlineStr">
        <is>
          <t>DOROTEA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46302</v>
      </c>
      <c r="F219" t="inlineStr">
        <is>
          <t>VÄSTERBOTTENS LÄN</t>
        </is>
      </c>
      <c r="G219" t="inlineStr">
        <is>
          <t>DOROTEA</t>
        </is>
      </c>
      <c r="I219" t="n">
        <v>15.8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45977</v>
      </c>
      <c r="E220" s="1" t="n">
        <v>46302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46302</v>
      </c>
      <c r="F221" t="inlineStr">
        <is>
          <t>VÄSTERBOTTENS LÄN</t>
        </is>
      </c>
      <c r="G221" t="inlineStr">
        <is>
          <t>DOROTEA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46302</v>
      </c>
      <c r="F222" t="inlineStr">
        <is>
          <t>VÄSTERBOTTENS LÄN</t>
        </is>
      </c>
      <c r="G222" t="inlineStr">
        <is>
          <t>DOROTEA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45705</v>
      </c>
      <c r="E223" s="1" t="n">
        <v>46302</v>
      </c>
      <c r="F223" t="inlineStr">
        <is>
          <t>VÄSTERBOTTENS LÄN</t>
        </is>
      </c>
      <c r="G223" t="inlineStr">
        <is>
          <t>DOROTEA</t>
        </is>
      </c>
      <c r="I223" t="n">
        <v>13.3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46302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45980</v>
      </c>
      <c r="E225" s="1" t="n">
        <v>46302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46302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46302</v>
      </c>
      <c r="F227" t="inlineStr">
        <is>
          <t>VÄSTERBOTTENS LÄN</t>
        </is>
      </c>
      <c r="G227" t="inlineStr">
        <is>
          <t>DOROTEA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46302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46302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46302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45351</v>
      </c>
      <c r="E231" s="1" t="n">
        <v>46302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46302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18.2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45142</v>
      </c>
      <c r="E233" s="1" t="n">
        <v>46302</v>
      </c>
      <c r="F233" t="inlineStr">
        <is>
          <t>VÄSTERBOTTENS LÄN</t>
        </is>
      </c>
      <c r="G233" t="inlineStr">
        <is>
          <t>DOROTEA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46302</v>
      </c>
      <c r="F234" t="inlineStr">
        <is>
          <t>VÄSTERBOTTENS LÄN</t>
        </is>
      </c>
      <c r="G234" t="inlineStr">
        <is>
          <t>DOROTEA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46302</v>
      </c>
      <c r="F235" t="inlineStr">
        <is>
          <t>VÄSTERBOTTENS LÄN</t>
        </is>
      </c>
      <c r="G235" t="inlineStr">
        <is>
          <t>DOROTEA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46302</v>
      </c>
      <c r="F236" t="inlineStr">
        <is>
          <t>VÄSTERBOTTENS LÄN</t>
        </is>
      </c>
      <c r="G236" t="inlineStr">
        <is>
          <t>DOROTEA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46302</v>
      </c>
      <c r="F237" t="inlineStr">
        <is>
          <t>VÄSTERBOTTENS LÄN</t>
        </is>
      </c>
      <c r="G237" t="inlineStr">
        <is>
          <t>DOROTEA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46302</v>
      </c>
      <c r="F238" t="inlineStr">
        <is>
          <t>VÄSTERBOTTENS LÄN</t>
        </is>
      </c>
      <c r="G238" t="inlineStr">
        <is>
          <t>DOROTEA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45988</v>
      </c>
      <c r="E239" s="1" t="n">
        <v>46302</v>
      </c>
      <c r="F239" t="inlineStr">
        <is>
          <t>VÄSTERBOTTENS LÄN</t>
        </is>
      </c>
      <c r="G239" t="inlineStr">
        <is>
          <t>DOROTEA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63294-2025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46010</v>
      </c>
      <c r="E240" s="1" t="n">
        <v>46302</v>
      </c>
      <c r="F240" t="inlineStr">
        <is>
          <t>VÄSTERBOTTENS LÄN</t>
        </is>
      </c>
      <c r="G240" t="inlineStr">
        <is>
          <t>DOROTEA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46302</v>
      </c>
      <c r="F241" t="inlineStr">
        <is>
          <t>VÄSTERBOTTENS LÄN</t>
        </is>
      </c>
      <c r="G241" t="inlineStr">
        <is>
          <t>DOROTEA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46302</v>
      </c>
      <c r="F242" t="inlineStr">
        <is>
          <t>VÄSTERBOTTENS LÄN</t>
        </is>
      </c>
      <c r="G242" t="inlineStr">
        <is>
          <t>DOROTEA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35937-2025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45862</v>
      </c>
      <c r="E243" s="1" t="n">
        <v>46302</v>
      </c>
      <c r="F243" t="inlineStr">
        <is>
          <t>VÄSTERBOTTENS LÄN</t>
        </is>
      </c>
      <c r="G243" t="inlineStr">
        <is>
          <t>DOROTEA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45855</v>
      </c>
      <c r="E244" s="1" t="n">
        <v>46302</v>
      </c>
      <c r="F244" t="inlineStr">
        <is>
          <t>VÄSTERBOTTENS LÄN</t>
        </is>
      </c>
      <c r="G244" t="inlineStr">
        <is>
          <t>DOROTEA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60724-2025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46302</v>
      </c>
      <c r="F245" t="inlineStr">
        <is>
          <t>VÄSTERBOTTENS LÄN</t>
        </is>
      </c>
      <c r="G245" t="inlineStr">
        <is>
          <t>DOROTEA</t>
        </is>
      </c>
      <c r="I245" t="n">
        <v>23.9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46302</v>
      </c>
      <c r="F246" t="inlineStr">
        <is>
          <t>VÄSTERBOTTENS LÄN</t>
        </is>
      </c>
      <c r="G246" t="inlineStr">
        <is>
          <t>DOROTEA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46302</v>
      </c>
      <c r="F247" t="inlineStr">
        <is>
          <t>VÄSTERBOTTENS LÄN</t>
        </is>
      </c>
      <c r="G247" t="inlineStr">
        <is>
          <t>DOROTEA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46302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62193-2025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46003</v>
      </c>
      <c r="E249" s="1" t="n">
        <v>46302</v>
      </c>
      <c r="F249" t="inlineStr">
        <is>
          <t>VÄSTERBOTTENS LÄN</t>
        </is>
      </c>
      <c r="G249" t="inlineStr">
        <is>
          <t>DOROTEA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46302</v>
      </c>
      <c r="F250" t="inlineStr">
        <is>
          <t>VÄSTERBOTTENS LÄN</t>
        </is>
      </c>
      <c r="G250" t="inlineStr">
        <is>
          <t>DOROTEA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46302</v>
      </c>
      <c r="F251" t="inlineStr">
        <is>
          <t>VÄSTERBOTTENS LÄN</t>
        </is>
      </c>
      <c r="G251" t="inlineStr">
        <is>
          <t>DOROTEA</t>
        </is>
      </c>
      <c r="I251" t="n">
        <v>16.7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46302</v>
      </c>
      <c r="F252" t="inlineStr">
        <is>
          <t>VÄSTERBOTTENS LÄN</t>
        </is>
      </c>
      <c r="G252" t="inlineStr">
        <is>
          <t>DOROTEA</t>
        </is>
      </c>
      <c r="I252" t="n">
        <v>13.2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45755</v>
      </c>
      <c r="E253" s="1" t="n">
        <v>46302</v>
      </c>
      <c r="F253" t="inlineStr">
        <is>
          <t>VÄSTERBOTTENS LÄN</t>
        </is>
      </c>
      <c r="G253" t="inlineStr">
        <is>
          <t>DOROTEA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46302</v>
      </c>
      <c r="F254" t="inlineStr">
        <is>
          <t>VÄSTERBOTTENS LÄN</t>
        </is>
      </c>
      <c r="G254" t="inlineStr">
        <is>
          <t>DOROTEA</t>
        </is>
      </c>
      <c r="I254" t="n">
        <v>12.3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46302</v>
      </c>
      <c r="F255" t="inlineStr">
        <is>
          <t>VÄSTERBOTTENS LÄN</t>
        </is>
      </c>
      <c r="G255" t="inlineStr">
        <is>
          <t>DOROTEA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46302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45539</v>
      </c>
      <c r="E257" s="1" t="n">
        <v>46302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45295</v>
      </c>
      <c r="E258" s="1" t="n">
        <v>46302</v>
      </c>
      <c r="F258" t="inlineStr">
        <is>
          <t>VÄSTERBOTTENS LÄN</t>
        </is>
      </c>
      <c r="G258" t="inlineStr">
        <is>
          <t>DOROTEA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46302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45876</v>
      </c>
      <c r="E260" s="1" t="n">
        <v>46302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46302</v>
      </c>
      <c r="F261" t="inlineStr">
        <is>
          <t>VÄSTERBOTTENS LÄN</t>
        </is>
      </c>
      <c r="G261" t="inlineStr">
        <is>
          <t>DOROTEA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46302</v>
      </c>
      <c r="F262" t="inlineStr">
        <is>
          <t>VÄSTERBOTTENS LÄN</t>
        </is>
      </c>
      <c r="G262" t="inlineStr">
        <is>
          <t>DOROTEA</t>
        </is>
      </c>
      <c r="I262" t="n">
        <v>17.8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46302</v>
      </c>
      <c r="F263" t="inlineStr">
        <is>
          <t>VÄSTERBOTTENS LÄN</t>
        </is>
      </c>
      <c r="G263" t="inlineStr">
        <is>
          <t>DOROTEA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20522-2026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46140</v>
      </c>
      <c r="E264" s="1" t="n">
        <v>46302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46141</v>
      </c>
      <c r="E265" s="1" t="n">
        <v>46302</v>
      </c>
      <c r="F265" t="inlineStr">
        <is>
          <t>VÄSTERBOTTENS LÄN</t>
        </is>
      </c>
      <c r="G265" t="inlineStr">
        <is>
          <t>DOROTEA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63745-2025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46017</v>
      </c>
      <c r="E266" s="1" t="n">
        <v>46302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8.699999999999999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53272-2024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46302</v>
      </c>
      <c r="F267" t="inlineStr">
        <is>
          <t>VÄSTERBOTTENS LÄN</t>
        </is>
      </c>
      <c r="G267" t="inlineStr">
        <is>
          <t>DOROTEA</t>
        </is>
      </c>
      <c r="I267" t="n">
        <v>31.7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46013</v>
      </c>
      <c r="E268" s="1" t="n">
        <v>46302</v>
      </c>
      <c r="F268" t="inlineStr">
        <is>
          <t>VÄSTERBOTTENS LÄN</t>
        </is>
      </c>
      <c r="G268" t="inlineStr">
        <is>
          <t>DOROTEA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46302</v>
      </c>
      <c r="F269" t="inlineStr">
        <is>
          <t>VÄSTERBOTTENS LÄN</t>
        </is>
      </c>
      <c r="G269" t="inlineStr">
        <is>
          <t>DOROTEA</t>
        </is>
      </c>
      <c r="I269" t="n">
        <v>21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46302</v>
      </c>
      <c r="F270" t="inlineStr">
        <is>
          <t>VÄSTERBOTTENS LÄN</t>
        </is>
      </c>
      <c r="G270" t="inlineStr">
        <is>
          <t>DOROTEA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45866</v>
      </c>
      <c r="E271" s="1" t="n">
        <v>46302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46146</v>
      </c>
      <c r="E272" s="1" t="n">
        <v>46302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46147</v>
      </c>
      <c r="E273" s="1" t="n">
        <v>46302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46302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46147</v>
      </c>
      <c r="E275" s="1" t="n">
        <v>46302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46302</v>
      </c>
      <c r="F276" t="inlineStr">
        <is>
          <t>VÄSTERBOTTENS LÄN</t>
        </is>
      </c>
      <c r="G276" t="inlineStr">
        <is>
          <t>DOROTEA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46189</v>
      </c>
      <c r="E277" s="1" t="n">
        <v>46302</v>
      </c>
      <c r="F277" t="inlineStr">
        <is>
          <t>VÄSTERBOTTENS LÄN</t>
        </is>
      </c>
      <c r="G277" t="inlineStr">
        <is>
          <t>DOROTEA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46189</v>
      </c>
      <c r="E278" s="1" t="n">
        <v>46302</v>
      </c>
      <c r="F278" t="inlineStr">
        <is>
          <t>VÄSTERBOTTENS LÄN</t>
        </is>
      </c>
      <c r="G278" t="inlineStr">
        <is>
          <t>DOROTEA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21749-2026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46149</v>
      </c>
      <c r="E279" s="1" t="n">
        <v>46302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45747</v>
      </c>
      <c r="E280" s="1" t="n">
        <v>46302</v>
      </c>
      <c r="F280" t="inlineStr">
        <is>
          <t>VÄSTERBOTTENS LÄN</t>
        </is>
      </c>
      <c r="G280" t="inlineStr">
        <is>
          <t>DOROTEA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46150</v>
      </c>
      <c r="E281" s="1" t="n">
        <v>46302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46302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46302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46302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46155</v>
      </c>
      <c r="E285" s="1" t="n">
        <v>46302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44888</v>
      </c>
      <c r="E286" s="1" t="n">
        <v>46302</v>
      </c>
      <c r="F286" t="inlineStr">
        <is>
          <t>VÄSTERBOTTENS LÄN</t>
        </is>
      </c>
      <c r="G286" t="inlineStr">
        <is>
          <t>DOROTEA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44960</v>
      </c>
      <c r="E287" s="1" t="n">
        <v>46302</v>
      </c>
      <c r="F287" t="inlineStr">
        <is>
          <t>VÄSTERBOTTENS LÄN</t>
        </is>
      </c>
      <c r="G287" t="inlineStr">
        <is>
          <t>DOROTEA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38096-2025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45882</v>
      </c>
      <c r="E288" s="1" t="n">
        <v>46302</v>
      </c>
      <c r="F288" t="inlineStr">
        <is>
          <t>VÄSTERBOTTENS LÄN</t>
        </is>
      </c>
      <c r="G288" t="inlineStr">
        <is>
          <t>DOROTEA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15735-2026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46107</v>
      </c>
      <c r="E289" s="1" t="n">
        <v>46302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46302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45505</v>
      </c>
      <c r="E291" s="1" t="n">
        <v>46302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30461-2024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45491</v>
      </c>
      <c r="E292" s="1" t="n">
        <v>46302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54031-2025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45962</v>
      </c>
      <c r="E293" s="1" t="n">
        <v>46302</v>
      </c>
      <c r="F293" t="inlineStr">
        <is>
          <t>VÄSTERBOTTENS LÄN</t>
        </is>
      </c>
      <c r="G293" t="inlineStr">
        <is>
          <t>DOROTEA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46162</v>
      </c>
      <c r="E294" s="1" t="n">
        <v>46302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14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46302</v>
      </c>
      <c r="F295" t="inlineStr">
        <is>
          <t>VÄSTERBOTTENS LÄN</t>
        </is>
      </c>
      <c r="G295" t="inlineStr">
        <is>
          <t>DOROTEA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45483</v>
      </c>
      <c r="E296" s="1" t="n">
        <v>46302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46302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46162</v>
      </c>
      <c r="E298" s="1" t="n">
        <v>46302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50582-2024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45600</v>
      </c>
      <c r="E299" s="1" t="n">
        <v>46302</v>
      </c>
      <c r="F299" t="inlineStr">
        <is>
          <t>VÄSTERBOTTENS LÄN</t>
        </is>
      </c>
      <c r="G299" t="inlineStr">
        <is>
          <t>DOROTEA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46302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45098</v>
      </c>
      <c r="E301" s="1" t="n">
        <v>46302</v>
      </c>
      <c r="F301" t="inlineStr">
        <is>
          <t>VÄSTERBOTTENS LÄN</t>
        </is>
      </c>
      <c r="G301" t="inlineStr">
        <is>
          <t>DOROTEA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46302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46302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46302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46302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46302</v>
      </c>
      <c r="F306" t="inlineStr">
        <is>
          <t>VÄSTERBOTTENS LÄN</t>
        </is>
      </c>
      <c r="G306" t="inlineStr">
        <is>
          <t>DOROTEA</t>
        </is>
      </c>
      <c r="I306" t="n">
        <v>26.2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46302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46302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46182</v>
      </c>
      <c r="E309" s="1" t="n">
        <v>46302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8095-2023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44974</v>
      </c>
      <c r="E310" s="1" t="n">
        <v>46302</v>
      </c>
      <c r="F310" t="inlineStr">
        <is>
          <t>VÄSTERBOTTENS LÄN</t>
        </is>
      </c>
      <c r="G310" t="inlineStr">
        <is>
          <t>DOROTEA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45770</v>
      </c>
      <c r="E311" s="1" t="n">
        <v>46302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46185</v>
      </c>
      <c r="E312" s="1" t="n">
        <v>46302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59653-2024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45639</v>
      </c>
      <c r="E313" s="1" t="n">
        <v>46302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45672</v>
      </c>
      <c r="E314" s="1" t="n">
        <v>46302</v>
      </c>
      <c r="F314" t="inlineStr">
        <is>
          <t>VÄSTERBOTTENS LÄN</t>
        </is>
      </c>
      <c r="G314" t="inlineStr">
        <is>
          <t>DOROTEA</t>
        </is>
      </c>
      <c r="H314" t="inlineStr">
        <is>
          <t>Kommuner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46302</v>
      </c>
      <c r="F315" t="inlineStr">
        <is>
          <t>VÄSTERBOTTENS LÄN</t>
        </is>
      </c>
      <c r="G315" t="inlineStr">
        <is>
          <t>DOROTEA</t>
        </is>
      </c>
      <c r="I315" t="n">
        <v>28.8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45642</v>
      </c>
      <c r="E316" s="1" t="n">
        <v>46302</v>
      </c>
      <c r="F316" t="inlineStr">
        <is>
          <t>VÄSTERBOTTENS LÄN</t>
        </is>
      </c>
      <c r="G316" t="inlineStr">
        <is>
          <t>DOROTEA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7429-2023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44971</v>
      </c>
      <c r="E317" s="1" t="n">
        <v>46302</v>
      </c>
      <c r="F317" t="inlineStr">
        <is>
          <t>VÄSTERBOTTENS LÄN</t>
        </is>
      </c>
      <c r="G317" t="inlineStr">
        <is>
          <t>DOROTEA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27738-2026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46191</v>
      </c>
      <c r="E318" s="1" t="n">
        <v>46302</v>
      </c>
      <c r="F318" t="inlineStr">
        <is>
          <t>VÄSTERBOTTENS LÄN</t>
        </is>
      </c>
      <c r="G318" t="inlineStr">
        <is>
          <t>DOROTEA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46302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62657-2022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44925</v>
      </c>
      <c r="E320" s="1" t="n">
        <v>46302</v>
      </c>
      <c r="F320" t="inlineStr">
        <is>
          <t>VÄSTERBOTTENS LÄN</t>
        </is>
      </c>
      <c r="G320" t="inlineStr">
        <is>
          <t>DOROTEA</t>
        </is>
      </c>
      <c r="I320" t="n">
        <v>22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46195</v>
      </c>
      <c r="E321" s="1" t="n">
        <v>46302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46302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46302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49.5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45069</v>
      </c>
      <c r="E324" s="1" t="n">
        <v>46302</v>
      </c>
      <c r="F324" t="inlineStr">
        <is>
          <t>VÄSTERBOTTENS LÄN</t>
        </is>
      </c>
      <c r="G324" t="inlineStr">
        <is>
          <t>DOROTEA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46302</v>
      </c>
      <c r="F325" t="inlineStr">
        <is>
          <t>VÄSTERBOTTENS LÄN</t>
        </is>
      </c>
      <c r="G325" t="inlineStr">
        <is>
          <t>DOROTEA</t>
        </is>
      </c>
      <c r="I325" t="n">
        <v>26.5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46302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45642</v>
      </c>
      <c r="E327" s="1" t="n">
        <v>46302</v>
      </c>
      <c r="F327" t="inlineStr">
        <is>
          <t>VÄSTERBOTTENS LÄN</t>
        </is>
      </c>
      <c r="G327" t="inlineStr">
        <is>
          <t>DOROTEA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52393-2023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45224</v>
      </c>
      <c r="E328" s="1" t="n">
        <v>46302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45713</v>
      </c>
      <c r="E329" s="1" t="n">
        <v>46302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46302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46302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45217</v>
      </c>
      <c r="E332" s="1" t="n">
        <v>46302</v>
      </c>
      <c r="F332" t="inlineStr">
        <is>
          <t>VÄSTERBOTTENS LÄN</t>
        </is>
      </c>
      <c r="G332" t="inlineStr">
        <is>
          <t>DOROTEA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44974</v>
      </c>
      <c r="E333" s="1" t="n">
        <v>46302</v>
      </c>
      <c r="F333" t="inlineStr">
        <is>
          <t>VÄSTERBOTTENS LÄN</t>
        </is>
      </c>
      <c r="G333" t="inlineStr">
        <is>
          <t>DOROTEA</t>
        </is>
      </c>
      <c r="I333" t="n">
        <v>14.8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46302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46302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46209</v>
      </c>
      <c r="E336" s="1" t="n">
        <v>46302</v>
      </c>
      <c r="F336" t="inlineStr">
        <is>
          <t>VÄSTERBOTTENS LÄN</t>
        </is>
      </c>
      <c r="G336" t="inlineStr">
        <is>
          <t>DOROTEA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46302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46302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41771-2024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46302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45642</v>
      </c>
      <c r="E340" s="1" t="n">
        <v>46302</v>
      </c>
      <c r="F340" t="inlineStr">
        <is>
          <t>VÄSTERBOTTENS LÄN</t>
        </is>
      </c>
      <c r="G340" t="inlineStr">
        <is>
          <t>DOROTEA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45642</v>
      </c>
      <c r="E341" s="1" t="n">
        <v>46302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30645-2026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46211</v>
      </c>
      <c r="E342" s="1" t="n">
        <v>46302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46212</v>
      </c>
      <c r="E343" s="1" t="n">
        <v>46302</v>
      </c>
      <c r="F343" t="inlineStr">
        <is>
          <t>VÄSTERBOTTENS LÄN</t>
        </is>
      </c>
      <c r="G343" t="inlineStr">
        <is>
          <t>DOROTEA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46212</v>
      </c>
      <c r="E344" s="1" t="n">
        <v>46302</v>
      </c>
      <c r="F344" t="inlineStr">
        <is>
          <t>VÄSTERBOTTENS LÄN</t>
        </is>
      </c>
      <c r="G344" t="inlineStr">
        <is>
          <t>DOROTEA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46302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46211</v>
      </c>
      <c r="E346" s="1" t="n">
        <v>46302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44568</v>
      </c>
      <c r="E347" s="1" t="n">
        <v>46302</v>
      </c>
      <c r="F347" t="inlineStr">
        <is>
          <t>VÄSTERBOTTENS LÄN</t>
        </is>
      </c>
      <c r="G347" t="inlineStr">
        <is>
          <t>DOROTEA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46213</v>
      </c>
      <c r="E348" s="1" t="n">
        <v>46302</v>
      </c>
      <c r="F348" t="inlineStr">
        <is>
          <t>VÄSTERBOTTENS LÄN</t>
        </is>
      </c>
      <c r="G348" t="inlineStr">
        <is>
          <t>DOROTEA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46213</v>
      </c>
      <c r="E349" s="1" t="n">
        <v>46302</v>
      </c>
      <c r="F349" t="inlineStr">
        <is>
          <t>VÄSTERBOTTENS LÄN</t>
        </is>
      </c>
      <c r="G349" t="inlineStr">
        <is>
          <t>DOROTEA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46218</v>
      </c>
      <c r="E350" s="1" t="n">
        <v>46302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46261</v>
      </c>
      <c r="E351" s="1" t="n">
        <v>46302</v>
      </c>
      <c r="F351" t="inlineStr">
        <is>
          <t>VÄSTERBOTTENS LÄN</t>
        </is>
      </c>
      <c r="G351" t="inlineStr">
        <is>
          <t>DOROTEA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46218</v>
      </c>
      <c r="E352" s="1" t="n">
        <v>46302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46217</v>
      </c>
      <c r="E353" s="1" t="n">
        <v>46302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46261</v>
      </c>
      <c r="E354" s="1" t="n">
        <v>46302</v>
      </c>
      <c r="F354" t="inlineStr">
        <is>
          <t>VÄSTERBOTTENS LÄN</t>
        </is>
      </c>
      <c r="G354" t="inlineStr">
        <is>
          <t>DOROTEA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46217</v>
      </c>
      <c r="E355" s="1" t="n">
        <v>46302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46218</v>
      </c>
      <c r="E356" s="1" t="n">
        <v>46302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46261</v>
      </c>
      <c r="E357" s="1" t="n">
        <v>46302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46302</v>
      </c>
      <c r="F358" t="inlineStr">
        <is>
          <t>VÄSTERBOTTENS LÄN</t>
        </is>
      </c>
      <c r="G358" t="inlineStr">
        <is>
          <t>DOROTEA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35353-2026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46261</v>
      </c>
      <c r="E359" s="1" t="n">
        <v>46302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31439-2026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46220</v>
      </c>
      <c r="E360" s="1" t="n">
        <v>46302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46262</v>
      </c>
      <c r="E361" s="1" t="n">
        <v>46302</v>
      </c>
      <c r="F361" t="inlineStr">
        <is>
          <t>VÄSTERBOTTENS LÄN</t>
        </is>
      </c>
      <c r="G361" t="inlineStr">
        <is>
          <t>DOROTEA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32821-2024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45516</v>
      </c>
      <c r="E362" s="1" t="n">
        <v>46302</v>
      </c>
      <c r="F362" t="inlineStr">
        <is>
          <t>VÄSTERBOTTENS LÄN</t>
        </is>
      </c>
      <c r="G362" t="inlineStr">
        <is>
          <t>DOROTEA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10360-2023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44980</v>
      </c>
      <c r="E363" s="1" t="n">
        <v>46302</v>
      </c>
      <c r="F363" t="inlineStr">
        <is>
          <t>VÄSTERBOTTENS LÄN</t>
        </is>
      </c>
      <c r="G363" t="inlineStr">
        <is>
          <t>DOROTEA</t>
        </is>
      </c>
      <c r="I363" t="n">
        <v>18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46302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45448</v>
      </c>
      <c r="E365" s="1" t="n">
        <v>46302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45071</v>
      </c>
      <c r="E366" s="1" t="n">
        <v>46302</v>
      </c>
      <c r="F366" t="inlineStr">
        <is>
          <t>VÄSTERBOTTENS LÄN</t>
        </is>
      </c>
      <c r="G366" t="inlineStr">
        <is>
          <t>DOROTEA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45399</v>
      </c>
      <c r="E367" s="1" t="n">
        <v>46302</v>
      </c>
      <c r="F367" t="inlineStr">
        <is>
          <t>VÄSTERBOTTENS LÄN</t>
        </is>
      </c>
      <c r="G367" t="inlineStr">
        <is>
          <t>DOROTEA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46224</v>
      </c>
      <c r="E368" s="1" t="n">
        <v>46302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31573-2026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46224</v>
      </c>
      <c r="E369" s="1" t="n">
        <v>46302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57236-2022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44889</v>
      </c>
      <c r="E370" s="1" t="n">
        <v>46302</v>
      </c>
      <c r="F370" t="inlineStr">
        <is>
          <t>VÄSTERBOTTENS LÄN</t>
        </is>
      </c>
      <c r="G370" t="inlineStr">
        <is>
          <t>DOROTEA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31575-2026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46224</v>
      </c>
      <c r="E371" s="1" t="n">
        <v>46302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46268</v>
      </c>
      <c r="E372" s="1" t="n">
        <v>46302</v>
      </c>
      <c r="F372" t="inlineStr">
        <is>
          <t>VÄSTERBOTTENS LÄN</t>
        </is>
      </c>
      <c r="G372" t="inlineStr">
        <is>
          <t>DOROTEA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67686-2021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44524</v>
      </c>
      <c r="E373" s="1" t="n">
        <v>46302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39721-2024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45552</v>
      </c>
      <c r="E374" s="1" t="n">
        <v>46302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36137-2023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45149</v>
      </c>
      <c r="E375" s="1" t="n">
        <v>46302</v>
      </c>
      <c r="F375" t="inlineStr">
        <is>
          <t>VÄSTERBOTTENS LÄN</t>
        </is>
      </c>
      <c r="G375" t="inlineStr">
        <is>
          <t>DOROTEA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46302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9.4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44761</v>
      </c>
      <c r="E377" s="1" t="n">
        <v>46302</v>
      </c>
      <c r="F377" t="inlineStr">
        <is>
          <t>VÄSTERBOTTENS LÄN</t>
        </is>
      </c>
      <c r="G377" t="inlineStr">
        <is>
          <t>DOROTEA</t>
        </is>
      </c>
      <c r="I377" t="n">
        <v>10.6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45036</v>
      </c>
      <c r="E378" s="1" t="n">
        <v>46302</v>
      </c>
      <c r="F378" t="inlineStr">
        <is>
          <t>VÄSTERBOTTENS LÄN</t>
        </is>
      </c>
      <c r="G378" t="inlineStr">
        <is>
          <t>DOROTEA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14163-2024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45392</v>
      </c>
      <c r="E379" s="1" t="n">
        <v>46302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23213-2022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44719</v>
      </c>
      <c r="E380" s="1" t="n">
        <v>46302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40435-2023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45169</v>
      </c>
      <c r="E381" s="1" t="n">
        <v>46302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46279</v>
      </c>
      <c r="E382" s="1" t="n">
        <v>46302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40434-2023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45169</v>
      </c>
      <c r="E383" s="1" t="n">
        <v>46302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4958-2023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44956</v>
      </c>
      <c r="E384" s="1" t="n">
        <v>46302</v>
      </c>
      <c r="F384" t="inlineStr">
        <is>
          <t>VÄSTERBOTTENS LÄN</t>
        </is>
      </c>
      <c r="G384" t="inlineStr">
        <is>
          <t>DOROTEA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41353-2022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44824</v>
      </c>
      <c r="E385" s="1" t="n">
        <v>46302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60304-2022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44910</v>
      </c>
      <c r="E386" s="1" t="n">
        <v>46302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27199-2024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45471</v>
      </c>
      <c r="E387" s="1" t="n">
        <v>46302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45551</v>
      </c>
      <c r="E388" s="1" t="n">
        <v>46302</v>
      </c>
      <c r="F388" t="inlineStr">
        <is>
          <t>VÄSTERBOTTENS LÄN</t>
        </is>
      </c>
      <c r="G388" t="inlineStr">
        <is>
          <t>DOROTEA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45055</v>
      </c>
      <c r="E389" s="1" t="n">
        <v>46302</v>
      </c>
      <c r="F389" t="inlineStr">
        <is>
          <t>VÄSTERBOTTENS LÄN</t>
        </is>
      </c>
      <c r="G389" t="inlineStr">
        <is>
          <t>DOROTEA</t>
        </is>
      </c>
      <c r="H389" t="inlineStr">
        <is>
          <t>Övriga statliga verk och myndigheter</t>
        </is>
      </c>
      <c r="I389" t="n">
        <v>13.9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46281</v>
      </c>
      <c r="E390" s="1" t="n">
        <v>46302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46302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46302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19726-2025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45771</v>
      </c>
      <c r="E393" s="1" t="n">
        <v>46302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38299-2026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46282</v>
      </c>
      <c r="E394" s="1" t="n">
        <v>46302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44958</v>
      </c>
      <c r="E395" s="1" t="n">
        <v>46302</v>
      </c>
      <c r="F395" t="inlineStr">
        <is>
          <t>VÄSTERBOTTENS LÄN</t>
        </is>
      </c>
      <c r="G395" t="inlineStr">
        <is>
          <t>DOROTEA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74013-2021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44557</v>
      </c>
      <c r="E396" s="1" t="n">
        <v>46302</v>
      </c>
      <c r="F396" t="inlineStr">
        <is>
          <t>VÄSTERBOTTENS LÄN</t>
        </is>
      </c>
      <c r="G396" t="inlineStr">
        <is>
          <t>DOROTEA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57794-2023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46302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45565</v>
      </c>
      <c r="E398" s="1" t="n">
        <v>46302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55919-2023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45239</v>
      </c>
      <c r="E399" s="1" t="n">
        <v>46302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39088-2026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46287</v>
      </c>
      <c r="E400" s="1" t="n">
        <v>46302</v>
      </c>
      <c r="F400" t="inlineStr">
        <is>
          <t>VÄSTERBOTTENS LÄN</t>
        </is>
      </c>
      <c r="G400" t="inlineStr">
        <is>
          <t>DOROTEA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45562</v>
      </c>
      <c r="E401" s="1" t="n">
        <v>46302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45223</v>
      </c>
      <c r="E402" s="1" t="n">
        <v>46302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46265</v>
      </c>
      <c r="E403" s="1" t="n">
        <v>46302</v>
      </c>
      <c r="F403" t="inlineStr">
        <is>
          <t>VÄSTERBOTTENS LÄN</t>
        </is>
      </c>
      <c r="G403" t="inlineStr">
        <is>
          <t>DOROTEA</t>
        </is>
      </c>
      <c r="H403" t="inlineStr">
        <is>
          <t>Allmännings- och besparingsskogar</t>
        </is>
      </c>
      <c r="I403" t="n">
        <v>16.4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46302</v>
      </c>
      <c r="F404" t="inlineStr">
        <is>
          <t>VÄSTERBOTTENS LÄN</t>
        </is>
      </c>
      <c r="G404" t="inlineStr">
        <is>
          <t>DOROTEA</t>
        </is>
      </c>
      <c r="H404" t="inlineStr">
        <is>
          <t>Allmännings- och besparingsskogar</t>
        </is>
      </c>
      <c r="I404" t="n">
        <v>12.6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46248</v>
      </c>
      <c r="E405" s="1" t="n">
        <v>46302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47494-2023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45202</v>
      </c>
      <c r="E406" s="1" t="n">
        <v>46302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46302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45448</v>
      </c>
      <c r="E408" s="1" t="n">
        <v>46302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33364-2026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46302</v>
      </c>
      <c r="F409" t="inlineStr">
        <is>
          <t>VÄSTERBOTTENS LÄN</t>
        </is>
      </c>
      <c r="G409" t="inlineStr">
        <is>
          <t>DOROTEA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46302</v>
      </c>
      <c r="F410" t="inlineStr">
        <is>
          <t>VÄSTERBOTTENS LÄN</t>
        </is>
      </c>
      <c r="G410" t="inlineStr">
        <is>
          <t>DOROTEA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45565</v>
      </c>
      <c r="E411" s="1" t="n">
        <v>46302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57070-2023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45244</v>
      </c>
      <c r="E412" s="1" t="n">
        <v>46302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46302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22944-2024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45448</v>
      </c>
      <c r="E414" s="1" t="n">
        <v>46302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33738-2024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45520</v>
      </c>
      <c r="E415" s="1" t="n">
        <v>46302</v>
      </c>
      <c r="F415" t="inlineStr">
        <is>
          <t>VÄSTERBOTTENS LÄN</t>
        </is>
      </c>
      <c r="G415" t="inlineStr">
        <is>
          <t>DOROTEA</t>
        </is>
      </c>
      <c r="I415" t="n">
        <v>11.1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46302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46302</v>
      </c>
      <c r="F417" t="inlineStr">
        <is>
          <t>VÄSTERBOTTENS LÄN</t>
        </is>
      </c>
      <c r="G417" t="inlineStr">
        <is>
          <t>DOROTEA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46302</v>
      </c>
      <c r="F418" t="inlineStr">
        <is>
          <t>VÄSTERBOTTENS LÄN</t>
        </is>
      </c>
      <c r="G418" t="inlineStr">
        <is>
          <t>DOROTEA</t>
        </is>
      </c>
      <c r="I418" t="n">
        <v>22.7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58313-2024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46302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40614-2026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46295</v>
      </c>
      <c r="E420" s="1" t="n">
        <v>46302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46302</v>
      </c>
      <c r="F421" t="inlineStr">
        <is>
          <t>VÄSTERBOTTENS LÄN</t>
        </is>
      </c>
      <c r="G421" t="inlineStr">
        <is>
          <t>DOROTEA</t>
        </is>
      </c>
      <c r="I421" t="n">
        <v>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46253</v>
      </c>
      <c r="E422" s="1" t="n">
        <v>46302</v>
      </c>
      <c r="F422" t="inlineStr">
        <is>
          <t>VÄSTERBOTTENS LÄN</t>
        </is>
      </c>
      <c r="G422" t="inlineStr">
        <is>
          <t>DOROTEA</t>
        </is>
      </c>
      <c r="I422" t="n">
        <v>11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46302</v>
      </c>
      <c r="F423" t="inlineStr">
        <is>
          <t>VÄSTERBOTTENS LÄN</t>
        </is>
      </c>
      <c r="G423" t="inlineStr">
        <is>
          <t>DOROTEA</t>
        </is>
      </c>
      <c r="I423" t="n">
        <v>13.6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46302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14320-2024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45393</v>
      </c>
      <c r="E425" s="1" t="n">
        <v>46302</v>
      </c>
      <c r="F425" t="inlineStr">
        <is>
          <t>VÄSTERBOTTENS LÄN</t>
        </is>
      </c>
      <c r="G425" t="inlineStr">
        <is>
          <t>DOROTEA</t>
        </is>
      </c>
      <c r="I425" t="n">
        <v>10.2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59418-2023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45253</v>
      </c>
      <c r="E426" s="1" t="n">
        <v>46302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46302</v>
      </c>
      <c r="F427" t="inlineStr">
        <is>
          <t>VÄSTERBOTTENS LÄN</t>
        </is>
      </c>
      <c r="G427" t="inlineStr">
        <is>
          <t>DOROTEA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46302</v>
      </c>
      <c r="F428" t="inlineStr">
        <is>
          <t>VÄSTERBOTTENS LÄN</t>
        </is>
      </c>
      <c r="G428" t="inlineStr">
        <is>
          <t>DOROTEA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45111</v>
      </c>
      <c r="E429" s="1" t="n">
        <v>46302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45180</v>
      </c>
      <c r="E430" s="1" t="n">
        <v>46302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41261-2026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46300</v>
      </c>
      <c r="E431" s="1" t="n">
        <v>46302</v>
      </c>
      <c r="F431" t="inlineStr">
        <is>
          <t>VÄSTERBOTTENS LÄN</t>
        </is>
      </c>
      <c r="G431" t="inlineStr">
        <is>
          <t>DOROTEA</t>
        </is>
      </c>
      <c r="I431" t="n">
        <v>13.1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41157-2026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46300</v>
      </c>
      <c r="E432" s="1" t="n">
        <v>46302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46302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4617-2023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44956</v>
      </c>
      <c r="E434" s="1" t="n">
        <v>46302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56807-2021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44481</v>
      </c>
      <c r="E435" s="1" t="n">
        <v>46302</v>
      </c>
      <c r="F435" t="inlineStr">
        <is>
          <t>VÄSTERBOTTENS LÄN</t>
        </is>
      </c>
      <c r="G435" t="inlineStr">
        <is>
          <t>DOROTEA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59395-2023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45253</v>
      </c>
      <c r="E436" s="1" t="n">
        <v>46302</v>
      </c>
      <c r="F436" t="inlineStr">
        <is>
          <t>VÄSTERBOTTENS LÄN</t>
        </is>
      </c>
      <c r="G436" t="inlineStr">
        <is>
          <t>DOROTEA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45253</v>
      </c>
      <c r="E437" s="1" t="n">
        <v>46302</v>
      </c>
      <c r="F437" t="inlineStr">
        <is>
          <t>VÄSTERBOTTENS LÄN</t>
        </is>
      </c>
      <c r="G437" t="inlineStr">
        <is>
          <t>DOROTEA</t>
        </is>
      </c>
      <c r="I437" t="n">
        <v>8.5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35990-2023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45148</v>
      </c>
      <c r="E438" s="1" t="n">
        <v>46302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46818-2023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45198</v>
      </c>
      <c r="E439" s="1" t="n">
        <v>46302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57955-2021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44484</v>
      </c>
      <c r="E440" s="1" t="n">
        <v>46302</v>
      </c>
      <c r="F440" t="inlineStr">
        <is>
          <t>VÄSTERBOTTENS LÄN</t>
        </is>
      </c>
      <c r="G440" t="inlineStr">
        <is>
          <t>DOROTEA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57071-2023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46302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60145-2021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44494</v>
      </c>
      <c r="E442" s="1" t="n">
        <v>46302</v>
      </c>
      <c r="F442" t="inlineStr">
        <is>
          <t>VÄSTERBOTTENS LÄN</t>
        </is>
      </c>
      <c r="G442" t="inlineStr">
        <is>
          <t>DOROTEA</t>
        </is>
      </c>
      <c r="I442" t="n">
        <v>13.3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45103</v>
      </c>
      <c r="E443" s="1" t="n">
        <v>46302</v>
      </c>
      <c r="F443" t="inlineStr">
        <is>
          <t>VÄSTERBOTTENS LÄN</t>
        </is>
      </c>
      <c r="G443" t="inlineStr">
        <is>
          <t>DOROTEA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46817-2022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44848</v>
      </c>
      <c r="E444" s="1" t="n">
        <v>46302</v>
      </c>
      <c r="F444" t="inlineStr">
        <is>
          <t>VÄSTERBOTTENS LÄN</t>
        </is>
      </c>
      <c r="G444" t="inlineStr">
        <is>
          <t>DOROTEA</t>
        </is>
      </c>
      <c r="I444" t="n">
        <v>29.8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13035-2024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45385</v>
      </c>
      <c r="E445" s="1" t="n">
        <v>46302</v>
      </c>
      <c r="F445" t="inlineStr">
        <is>
          <t>VÄSTERBOTTENS LÄN</t>
        </is>
      </c>
      <c r="G445" t="inlineStr">
        <is>
          <t>DOROTEA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46966-2024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45586</v>
      </c>
      <c r="E446" s="1" t="n">
        <v>46302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Sveaskog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45075</v>
      </c>
      <c r="E447" s="1" t="n">
        <v>46302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44748</v>
      </c>
      <c r="E448" s="1" t="n">
        <v>46302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45488</v>
      </c>
      <c r="E449" s="1" t="n">
        <v>46302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46302</v>
      </c>
      <c r="F450" t="inlineStr">
        <is>
          <t>VÄSTERBOTTENS LÄN</t>
        </is>
      </c>
      <c r="G450" t="inlineStr">
        <is>
          <t>DOROTEA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45734</v>
      </c>
      <c r="E451" s="1" t="n">
        <v>46302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45572</v>
      </c>
      <c r="E452" s="1" t="n">
        <v>46302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46302</v>
      </c>
      <c r="F453" t="inlineStr">
        <is>
          <t>VÄSTERBOTTENS LÄN</t>
        </is>
      </c>
      <c r="G453" t="inlineStr">
        <is>
          <t>DOROTEA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45614</v>
      </c>
      <c r="E454" s="1" t="n">
        <v>46302</v>
      </c>
      <c r="F454" t="inlineStr">
        <is>
          <t>VÄSTERBOTTENS LÄN</t>
        </is>
      </c>
      <c r="G454" t="inlineStr">
        <is>
          <t>DOROTEA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42104-2024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45562</v>
      </c>
      <c r="E455" s="1" t="n">
        <v>46302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46302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13451-2022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44645</v>
      </c>
      <c r="E457" s="1" t="n">
        <v>46302</v>
      </c>
      <c r="F457" t="inlineStr">
        <is>
          <t>VÄSTERBOTTENS LÄN</t>
        </is>
      </c>
      <c r="G457" t="inlineStr">
        <is>
          <t>DOROTEA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46302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34820-2023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45140</v>
      </c>
      <c r="E459" s="1" t="n">
        <v>46302</v>
      </c>
      <c r="F459" t="inlineStr">
        <is>
          <t>VÄSTERBOTTENS LÄN</t>
        </is>
      </c>
      <c r="G459" t="inlineStr">
        <is>
          <t>DOROTEA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46302</v>
      </c>
      <c r="F460" t="inlineStr">
        <is>
          <t>VÄSTERBOTTENS LÄN</t>
        </is>
      </c>
      <c r="G460" t="inlineStr">
        <is>
          <t>DOROTEA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23457-2025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45792</v>
      </c>
      <c r="E461" s="1" t="n">
        <v>46302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39470-2024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45551</v>
      </c>
      <c r="E462" s="1" t="n">
        <v>46302</v>
      </c>
      <c r="F462" t="inlineStr">
        <is>
          <t>VÄSTERBOTTENS LÄN</t>
        </is>
      </c>
      <c r="G462" t="inlineStr">
        <is>
          <t>DOROTEA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45517</v>
      </c>
      <c r="E463" s="1" t="n">
        <v>46302</v>
      </c>
      <c r="F463" t="inlineStr">
        <is>
          <t>VÄSTERBOTTENS LÄN</t>
        </is>
      </c>
      <c r="G463" t="inlineStr">
        <is>
          <t>DOROTEA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53380-2024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45614</v>
      </c>
      <c r="E464" s="1" t="n">
        <v>46302</v>
      </c>
      <c r="F464" t="inlineStr">
        <is>
          <t>VÄSTERBOTTENS LÄN</t>
        </is>
      </c>
      <c r="G464" t="inlineStr">
        <is>
          <t>DOROTEA</t>
        </is>
      </c>
      <c r="I464" t="n">
        <v>12.8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46302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46302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46302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46302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46302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46302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46302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46302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2026-10-07T02:05:22Z</dcterms:created>
  <dcterms:modified xmlns:dcterms="http://purl.org/dc/terms/" xmlns:xsi="http://www.w3.org/2001/XMLSchema-instance" xsi:type="dcterms:W3CDTF">2026-10-07T02:05:23Z</dcterms:modified>
</cp:coreProperties>
</file>