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46277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3</v>
      </c>
      <c r="K2" t="n">
        <v>4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15</v>
      </c>
      <c r="T2" t="n">
        <v>38</v>
      </c>
      <c r="U2" t="n">
        <v>32</v>
      </c>
      <c r="V2" s="2" t="inlineStr">
        <is>
          <t>Garnlav
Ostticka
Harticka
Lunglav
Bårdlav
Spindelblomster
Stuplav
Vedticka
Ekbräken
Hultbräken
Linnea
Majbräken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46277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46277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46277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46277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46277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46277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46277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46277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21.4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12</v>
      </c>
      <c r="U10" t="n">
        <v>12</v>
      </c>
      <c r="V10" s="2" t="inlineStr">
        <is>
          <t>Garnlav
Fjällig taggsvamp s.str.
Harticka
Rosenticka
Ullticka
Trådticka</t>
        </is>
      </c>
      <c r="W10">
        <f>HYPERLINK("https://klasma.github.io/Logging_2425/artfynd/A 33655-2023 artfynd.xlsx", "A 33655-2023")</f>
        <v/>
      </c>
      <c r="X10">
        <f>HYPERLINK("https://klasma.github.io/Logging_2425/kartor/A 33655-2023 karta.png", "A 33655-2023")</f>
        <v/>
      </c>
      <c r="Y10">
        <f>HYPERLINK("https://klasma.github.io/Logging_2425/kartor_geotiff/A 33655-2023 georefererad karta.tif", "A 33655-2023")</f>
        <v/>
      </c>
      <c r="AA10">
        <f>HYPERLINK("https://klasma.github.io/Logging_2425/klagomål/A 33655-2023 FSC-klagomål.docx", "A 33655-2023")</f>
        <v/>
      </c>
      <c r="AB10">
        <f>HYPERLINK("https://klasma.github.io/Logging_2425/klagomålsmail/A 33655-2023 FSC-klagomål mail.docx", "A 33655-2023")</f>
        <v/>
      </c>
      <c r="AC10">
        <f>HYPERLINK("https://klasma.github.io/Logging_2425/tillsyn/A 33655-2023 tillsynsbegäran.docx", "A 33655-2023")</f>
        <v/>
      </c>
      <c r="AD10">
        <f>HYPERLINK("https://klasma.github.io/Logging_2425/tillsynsmail/A 33655-2023 tillsynsbegäran mail.docx", "A 33655-2023")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46277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46277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46277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46277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46277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46277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46277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46277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S 1152-2025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45756</v>
      </c>
      <c r="E19" s="1" t="n">
        <v>46277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19.2</v>
      </c>
      <c r="J19" t="n">
        <v>0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Dvärgbägarlav
Kortskaftad ärgspik
Lunglav
Vedtrappmossa</t>
        </is>
      </c>
      <c r="W19">
        <f>HYPERLINK("https://klasma.github.io/Logging_2425/artfynd/S 1152-2025 artfynd.xlsx", "S 1152-2025")</f>
        <v/>
      </c>
      <c r="X19">
        <f>HYPERLINK("https://klasma.github.io/Logging_2425/kartor/S 1152-2025 karta.png", "S 1152-2025")</f>
        <v/>
      </c>
      <c r="Y19">
        <f>HYPERLINK("https://klasma.github.io/Logging_2425/kartor_geotiff/S 1152-2025 georefererad karta.tif", "S 1152-2025")</f>
        <v/>
      </c>
      <c r="AA19">
        <f>HYPERLINK("https://klasma.github.io/Logging_2425/klagomål/S 1152-2025 FSC-klagomål.docx", "S 1152-2025")</f>
        <v/>
      </c>
      <c r="AB19">
        <f>HYPERLINK("https://klasma.github.io/Logging_2425/klagomålsmail/S 1152-2025 FSC-klagomål mail.docx", "S 1152-2025")</f>
        <v/>
      </c>
      <c r="AC19">
        <f>HYPERLINK("https://klasma.github.io/Logging_2425/tillsyn/S 1152-2025 tillsynsbegäran.docx", "S 1152-2025")</f>
        <v/>
      </c>
      <c r="AD19">
        <f>HYPERLINK("https://klasma.github.io/Logging_2425/tillsynsmail/S 1152-2025 tillsynsbegäran mail.docx", "S 1152-2025")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46277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46277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46277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A 21672-2023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46277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7.4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Doftskinn
Skrovellav
Ullticka</t>
        </is>
      </c>
      <c r="W23">
        <f>HYPERLINK("https://klasma.github.io/Logging_2425/artfynd/A 21672-2023 artfynd.xlsx", "A 21672-2023")</f>
        <v/>
      </c>
      <c r="X23">
        <f>HYPERLINK("https://klasma.github.io/Logging_2425/kartor/A 21672-2023 karta.png", "A 21672-2023")</f>
        <v/>
      </c>
      <c r="Y23">
        <f>HYPERLINK("https://klasma.github.io/Logging_2425/kartor_geotiff/A 21672-2023 georefererad karta.tif", "A 21672-2023")</f>
        <v/>
      </c>
      <c r="AA23">
        <f>HYPERLINK("https://klasma.github.io/Logging_2425/klagomål/A 21672-2023 FSC-klagomål.docx", "A 21672-2023")</f>
        <v/>
      </c>
      <c r="AB23">
        <f>HYPERLINK("https://klasma.github.io/Logging_2425/klagomålsmail/A 21672-2023 FSC-klagomål mail.docx", "A 21672-2023")</f>
        <v/>
      </c>
      <c r="AC23">
        <f>HYPERLINK("https://klasma.github.io/Logging_2425/tillsyn/A 21672-2023 tillsynsbegäran.docx", "A 21672-2023")</f>
        <v/>
      </c>
      <c r="AD23">
        <f>HYPERLINK("https://klasma.github.io/Logging_2425/tillsynsmail/A 21672-2023 tillsynsbegäran mail.docx", "A 21672-2023")</f>
        <v/>
      </c>
    </row>
    <row r="24" ht="15" customHeight="1">
      <c r="A24" t="inlineStr">
        <is>
          <t>S 2006-2025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45834</v>
      </c>
      <c r="E24" s="1" t="n">
        <v>46277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1.3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Kransrams
Stuplav</t>
        </is>
      </c>
      <c r="W24">
        <f>HYPERLINK("https://klasma.github.io/Logging_2425/artfynd/S 2006-2025 artfynd.xlsx", "S 2006-2025")</f>
        <v/>
      </c>
      <c r="X24">
        <f>HYPERLINK("https://klasma.github.io/Logging_2425/kartor/S 2006-2025 karta.png", "S 2006-2025")</f>
        <v/>
      </c>
      <c r="Y24">
        <f>HYPERLINK("https://klasma.github.io/Logging_2425/kartor_geotiff/S 2006-2025 georefererad karta.tif", "S 2006-2025")</f>
        <v/>
      </c>
      <c r="AA24">
        <f>HYPERLINK("https://klasma.github.io/Logging_2425/klagomål/S 2006-2025 FSC-klagomål.docx", "S 2006-2025")</f>
        <v/>
      </c>
      <c r="AB24">
        <f>HYPERLINK("https://klasma.github.io/Logging_2425/klagomålsmail/S 2006-2025 FSC-klagomål mail.docx", "S 2006-2025")</f>
        <v/>
      </c>
      <c r="AC24">
        <f>HYPERLINK("https://klasma.github.io/Logging_2425/tillsyn/S 2006-2025 tillsynsbegäran.docx", "S 2006-2025")</f>
        <v/>
      </c>
      <c r="AD24">
        <f>HYPERLINK("https://klasma.github.io/Logging_2425/tillsynsmail/S 2006-2025 tillsynsbegäran mail.docx", "S 2006-2025")</f>
        <v/>
      </c>
    </row>
    <row r="25" ht="15" customHeight="1">
      <c r="A25" t="inlineStr">
        <is>
          <t>A 40013-2024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45553</v>
      </c>
      <c r="E25" s="1" t="n">
        <v>46277</v>
      </c>
      <c r="F25" t="inlineStr">
        <is>
          <t>VÄSTERBOTTENS LÄN</t>
        </is>
      </c>
      <c r="G25" t="inlineStr">
        <is>
          <t>DOROTEA</t>
        </is>
      </c>
      <c r="H25" t="inlineStr">
        <is>
          <t>Övriga statliga verk och myndigheter</t>
        </is>
      </c>
      <c r="I25" t="n">
        <v>1.5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Tretåig hackspett
Tjäder</t>
        </is>
      </c>
      <c r="W25">
        <f>HYPERLINK("https://klasma.github.io/Logging_2425/artfynd/A 40013-2024 artfynd.xlsx", "A 40013-2024")</f>
        <v/>
      </c>
      <c r="X25">
        <f>HYPERLINK("https://klasma.github.io/Logging_2425/kartor/A 40013-2024 karta.png", "A 40013-2024")</f>
        <v/>
      </c>
      <c r="Y25">
        <f>HYPERLINK("https://klasma.github.io/Logging_2425/kartor_geotiff/A 40013-2024 georefererad karta.tif", "A 40013-2024")</f>
        <v/>
      </c>
      <c r="AA25">
        <f>HYPERLINK("https://klasma.github.io/Logging_2425/klagomål/A 40013-2024 FSC-klagomål.docx", "A 40013-2024")</f>
        <v/>
      </c>
      <c r="AB25">
        <f>HYPERLINK("https://klasma.github.io/Logging_2425/klagomålsmail/A 40013-2024 FSC-klagomål mail.docx", "A 40013-2024")</f>
        <v/>
      </c>
      <c r="AC25">
        <f>HYPERLINK("https://klasma.github.io/Logging_2425/tillsyn/A 40013-2024 tillsynsbegäran.docx", "A 40013-2024")</f>
        <v/>
      </c>
      <c r="AD25">
        <f>HYPERLINK("https://klasma.github.io/Logging_2425/tillsynsmail/A 40013-2024 tillsynsbegäran mail.docx", "A 40013-2024")</f>
        <v/>
      </c>
      <c r="AE25">
        <f>HYPERLINK("https://klasma.github.io/Logging_2425/fåglar/A 40013-2024 prioriterade fågelarter.docx", "A 40013-2024")</f>
        <v/>
      </c>
    </row>
    <row r="26" ht="15" customHeight="1">
      <c r="A26" t="inlineStr">
        <is>
          <t>A 33263-2025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46277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Gammelgransskål
Vedticka</t>
        </is>
      </c>
      <c r="W26">
        <f>HYPERLINK("https://klasma.github.io/Logging_2425/artfynd/A 33263-2025 artfynd.xlsx", "A 33263-2025")</f>
        <v/>
      </c>
      <c r="X26">
        <f>HYPERLINK("https://klasma.github.io/Logging_2425/kartor/A 33263-2025 karta.png", "A 33263-2025")</f>
        <v/>
      </c>
      <c r="Y26">
        <f>HYPERLINK("https://klasma.github.io/Logging_2425/kartor_geotiff/A 33263-2025 georefererad karta.tif", "A 33263-2025")</f>
        <v/>
      </c>
      <c r="AA26">
        <f>HYPERLINK("https://klasma.github.io/Logging_2425/klagomål/A 33263-2025 FSC-klagomål.docx", "A 33263-2025")</f>
        <v/>
      </c>
      <c r="AB26">
        <f>HYPERLINK("https://klasma.github.io/Logging_2425/klagomålsmail/A 33263-2025 FSC-klagomål mail.docx", "A 33263-2025")</f>
        <v/>
      </c>
      <c r="AC26">
        <f>HYPERLINK("https://klasma.github.io/Logging_2425/tillsyn/A 33263-2025 tillsynsbegäran.docx", "A 33263-2025")</f>
        <v/>
      </c>
      <c r="AD26">
        <f>HYPERLINK("https://klasma.github.io/Logging_2425/tillsynsmail/A 33263-2025 tillsynsbegäran mail.docx", "A 33263-2025")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46277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58736-2022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44902</v>
      </c>
      <c r="E28" s="1" t="n">
        <v>46277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58736-2022 artfynd.xlsx", "A 58736-2022")</f>
        <v/>
      </c>
      <c r="X28">
        <f>HYPERLINK("https://klasma.github.io/Logging_2425/kartor/A 58736-2022 karta.png", "A 58736-2022")</f>
        <v/>
      </c>
      <c r="Y28">
        <f>HYPERLINK("https://klasma.github.io/Logging_2425/kartor_geotiff/A 58736-2022 georefererad karta.tif", "A 58736-2022")</f>
        <v/>
      </c>
      <c r="AA28">
        <f>HYPERLINK("https://klasma.github.io/Logging_2425/klagomål/A 58736-2022 FSC-klagomål.docx", "A 58736-2022")</f>
        <v/>
      </c>
      <c r="AB28">
        <f>HYPERLINK("https://klasma.github.io/Logging_2425/klagomålsmail/A 58736-2022 FSC-klagomål mail.docx", "A 58736-2022")</f>
        <v/>
      </c>
      <c r="AC28">
        <f>HYPERLINK("https://klasma.github.io/Logging_2425/tillsyn/A 58736-2022 tillsynsbegäran.docx", "A 58736-2022")</f>
        <v/>
      </c>
      <c r="AD28">
        <f>HYPERLINK("https://klasma.github.io/Logging_2425/tillsynsmail/A 58736-2022 tillsynsbegäran mail.docx", "A 58736-2022")</f>
        <v/>
      </c>
    </row>
    <row r="29" ht="15" customHeight="1">
      <c r="A29" t="inlineStr">
        <is>
          <t>A 4554-2026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46047</v>
      </c>
      <c r="E29" s="1" t="n">
        <v>46277</v>
      </c>
      <c r="F29" t="inlineStr">
        <is>
          <t>VÄSTERBOTTENS LÄN</t>
        </is>
      </c>
      <c r="G29" t="inlineStr">
        <is>
          <t>DOROTEA</t>
        </is>
      </c>
      <c r="I29" t="n">
        <v>6.1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Violettkantad guldvinge
Kricka</t>
        </is>
      </c>
      <c r="W29">
        <f>HYPERLINK("https://klasma.github.io/Logging_2425/artfynd/A 4554-2026 artfynd.xlsx", "A 4554-2026")</f>
        <v/>
      </c>
      <c r="X29">
        <f>HYPERLINK("https://klasma.github.io/Logging_2425/kartor/A 4554-2026 karta.png", "A 4554-2026")</f>
        <v/>
      </c>
      <c r="Y29">
        <f>HYPERLINK("https://klasma.github.io/Logging_2425/kartor_geotiff/A 4554-2026 georefererad karta.tif", "A 4554-2026")</f>
        <v/>
      </c>
      <c r="AA29">
        <f>HYPERLINK("https://klasma.github.io/Logging_2425/klagomål/A 4554-2026 FSC-klagomål.docx", "A 4554-2026")</f>
        <v/>
      </c>
      <c r="AB29">
        <f>HYPERLINK("https://klasma.github.io/Logging_2425/klagomålsmail/A 4554-2026 FSC-klagomål mail.docx", "A 4554-2026")</f>
        <v/>
      </c>
      <c r="AC29">
        <f>HYPERLINK("https://klasma.github.io/Logging_2425/tillsyn/A 4554-2026 tillsynsbegäran.docx", "A 4554-2026")</f>
        <v/>
      </c>
      <c r="AD29">
        <f>HYPERLINK("https://klasma.github.io/Logging_2425/tillsynsmail/A 4554-2026 tillsynsbegäran mail.docx", "A 4554-2026")</f>
        <v/>
      </c>
      <c r="AE29">
        <f>HYPERLINK("https://klasma.github.io/Logging_2425/fåglar/A 4554-2026 prioriterade fågelarter.docx", "A 4554-2026")</f>
        <v/>
      </c>
    </row>
    <row r="30" ht="15" customHeight="1">
      <c r="A30" t="inlineStr">
        <is>
          <t>A 19589-2024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45429</v>
      </c>
      <c r="E30" s="1" t="n">
        <v>46277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Lunglav
Talltita</t>
        </is>
      </c>
      <c r="W30">
        <f>HYPERLINK("https://klasma.github.io/Logging_2425/artfynd/A 19589-2024 artfynd.xlsx", "A 19589-2024")</f>
        <v/>
      </c>
      <c r="X30">
        <f>HYPERLINK("https://klasma.github.io/Logging_2425/kartor/A 19589-2024 karta.png", "A 19589-2024")</f>
        <v/>
      </c>
      <c r="Y30">
        <f>HYPERLINK("https://klasma.github.io/Logging_2425/kartor_geotiff/A 19589-2024 georefererad karta.tif", "A 19589-2024")</f>
        <v/>
      </c>
      <c r="AA30">
        <f>HYPERLINK("https://klasma.github.io/Logging_2425/klagomål/A 19589-2024 FSC-klagomål.docx", "A 19589-2024")</f>
        <v/>
      </c>
      <c r="AB30">
        <f>HYPERLINK("https://klasma.github.io/Logging_2425/klagomålsmail/A 19589-2024 FSC-klagomål mail.docx", "A 19589-2024")</f>
        <v/>
      </c>
      <c r="AC30">
        <f>HYPERLINK("https://klasma.github.io/Logging_2425/tillsyn/A 19589-2024 tillsynsbegäran.docx", "A 19589-2024")</f>
        <v/>
      </c>
      <c r="AD30">
        <f>HYPERLINK("https://klasma.github.io/Logging_2425/tillsynsmail/A 19589-2024 tillsynsbegäran mail.docx", "A 19589-2024")</f>
        <v/>
      </c>
      <c r="AE30">
        <f>HYPERLINK("https://klasma.github.io/Logging_2425/fåglar/A 19589-2024 prioriterade fågelarter.docx", "A 19589-2024")</f>
        <v/>
      </c>
    </row>
    <row r="31" ht="15" customHeight="1">
      <c r="A31" t="inlineStr">
        <is>
          <t>A 27234-2024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45471</v>
      </c>
      <c r="E31" s="1" t="n">
        <v>46277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Rynkskinn
Skrovellav</t>
        </is>
      </c>
      <c r="W31">
        <f>HYPERLINK("https://klasma.github.io/Logging_2425/artfynd/A 27234-2024 artfynd.xlsx", "A 27234-2024")</f>
        <v/>
      </c>
      <c r="X31">
        <f>HYPERLINK("https://klasma.github.io/Logging_2425/kartor/A 27234-2024 karta.png", "A 27234-2024")</f>
        <v/>
      </c>
      <c r="Y31">
        <f>HYPERLINK("https://klasma.github.io/Logging_2425/kartor_geotiff/A 27234-2024 georefererad karta.tif", "A 27234-2024")</f>
        <v/>
      </c>
      <c r="AA31">
        <f>HYPERLINK("https://klasma.github.io/Logging_2425/klagomål/A 27234-2024 FSC-klagomål.docx", "A 27234-2024")</f>
        <v/>
      </c>
      <c r="AB31">
        <f>HYPERLINK("https://klasma.github.io/Logging_2425/klagomålsmail/A 27234-2024 FSC-klagomål mail.docx", "A 27234-2024")</f>
        <v/>
      </c>
      <c r="AC31">
        <f>HYPERLINK("https://klasma.github.io/Logging_2425/tillsyn/A 27234-2024 tillsynsbegäran.docx", "A 27234-2024")</f>
        <v/>
      </c>
      <c r="AD31">
        <f>HYPERLINK("https://klasma.github.io/Logging_2425/tillsynsmail/A 27234-2024 tillsynsbegäran mail.docx", "A 27234-2024")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46277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46277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S 832-2022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44603</v>
      </c>
      <c r="E34" s="1" t="n">
        <v>46277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459.7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Rödbrun blekspik
Stuplav</t>
        </is>
      </c>
      <c r="W34">
        <f>HYPERLINK("https://klasma.github.io/Logging_2425/artfynd/S 832-2022 artfynd.xlsx", "S 832-2022")</f>
        <v/>
      </c>
      <c r="X34">
        <f>HYPERLINK("https://klasma.github.io/Logging_2425/kartor/S 832-2022 karta.png", "S 832-2022")</f>
        <v/>
      </c>
      <c r="Y34">
        <f>HYPERLINK("https://klasma.github.io/Logging_2425/kartor_geotiff/S 832-2022 georefererad karta.tif", "S 832-2022")</f>
        <v/>
      </c>
      <c r="AA34">
        <f>HYPERLINK("https://klasma.github.io/Logging_2425/klagomål/S 832-2022 FSC-klagomål.docx", "S 832-2022")</f>
        <v/>
      </c>
      <c r="AB34">
        <f>HYPERLINK("https://klasma.github.io/Logging_2425/klagomålsmail/S 832-2022 FSC-klagomål mail.docx", "S 832-2022")</f>
        <v/>
      </c>
      <c r="AC34">
        <f>HYPERLINK("https://klasma.github.io/Logging_2425/tillsyn/S 832-2022 tillsynsbegäran.docx", "S 832-2022")</f>
        <v/>
      </c>
      <c r="AD34">
        <f>HYPERLINK("https://klasma.github.io/Logging_2425/tillsynsmail/S 832-2022 tillsynsbegäran mail.docx", "S 832-2022")</f>
        <v/>
      </c>
    </row>
    <row r="35" ht="15" customHeight="1">
      <c r="A35" t="inlineStr">
        <is>
          <t>S 2106-2026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46240</v>
      </c>
      <c r="E35" s="1" t="n">
        <v>46277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Stor aspticka</t>
        </is>
      </c>
      <c r="W35">
        <f>HYPERLINK("https://klasma.github.io/Logging_2425/artfynd/S 2106-2026 artfynd.xlsx", "S 2106-2026")</f>
        <v/>
      </c>
      <c r="X35">
        <f>HYPERLINK("https://klasma.github.io/Logging_2425/kartor/S 2106-2026 karta.png", "S 2106-2026")</f>
        <v/>
      </c>
      <c r="Y35">
        <f>HYPERLINK("https://klasma.github.io/Logging_2425/kartor_geotiff/S 2106-2026 georefererad karta.tif", "S 2106-2026")</f>
        <v/>
      </c>
      <c r="AA35">
        <f>HYPERLINK("https://klasma.github.io/Logging_2425/klagomål/S 2106-2026 FSC-klagomål.docx", "S 2106-2026")</f>
        <v/>
      </c>
      <c r="AB35">
        <f>HYPERLINK("https://klasma.github.io/Logging_2425/klagomålsmail/S 2106-2026 FSC-klagomål mail.docx", "S 2106-2026")</f>
        <v/>
      </c>
      <c r="AC35">
        <f>HYPERLINK("https://klasma.github.io/Logging_2425/tillsyn/S 2106-2026 tillsynsbegäran.docx", "S 2106-2026")</f>
        <v/>
      </c>
      <c r="AD35">
        <f>HYPERLINK("https://klasma.github.io/Logging_2425/tillsynsmail/S 2106-2026 tillsynsbegäran mail.docx", "S 2106-2026")</f>
        <v/>
      </c>
    </row>
    <row r="36" ht="15" customHeight="1">
      <c r="A36" t="inlineStr">
        <is>
          <t>A 48089-2022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44855</v>
      </c>
      <c r="E36" s="1" t="n">
        <v>46277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9.199999999999999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Gammelgransskål</t>
        </is>
      </c>
      <c r="W36">
        <f>HYPERLINK("https://klasma.github.io/Logging_2425/artfynd/A 48089-2022 artfynd.xlsx", "A 48089-2022")</f>
        <v/>
      </c>
      <c r="X36">
        <f>HYPERLINK("https://klasma.github.io/Logging_2425/kartor/A 48089-2022 karta.png", "A 48089-2022")</f>
        <v/>
      </c>
      <c r="Y36">
        <f>HYPERLINK("https://klasma.github.io/Logging_2425/kartor_geotiff/A 48089-2022 georefererad karta.tif", "A 48089-2022")</f>
        <v/>
      </c>
      <c r="AA36">
        <f>HYPERLINK("https://klasma.github.io/Logging_2425/klagomål/A 48089-2022 FSC-klagomål.docx", "A 48089-2022")</f>
        <v/>
      </c>
      <c r="AB36">
        <f>HYPERLINK("https://klasma.github.io/Logging_2425/klagomålsmail/A 48089-2022 FSC-klagomål mail.docx", "A 48089-2022")</f>
        <v/>
      </c>
      <c r="AC36">
        <f>HYPERLINK("https://klasma.github.io/Logging_2425/tillsyn/A 48089-2022 tillsynsbegäran.docx", "A 48089-2022")</f>
        <v/>
      </c>
      <c r="AD36">
        <f>HYPERLINK("https://klasma.github.io/Logging_2425/tillsynsmail/A 48089-2022 tillsynsbegäran mail.docx", "A 48089-2022")</f>
        <v/>
      </c>
    </row>
    <row r="37" ht="15" customHeight="1">
      <c r="A37" t="inlineStr">
        <is>
          <t>A 41079-2025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46277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HYPERLINK("https://klasma.github.io/Logging_2425/artfynd/A 41079-2025 artfynd.xlsx", "A 41079-2025")</f>
        <v/>
      </c>
      <c r="X37">
        <f>HYPERLINK("https://klasma.github.io/Logging_2425/kartor/A 41079-2025 karta.png", "A 41079-2025")</f>
        <v/>
      </c>
      <c r="Y37">
        <f>HYPERLINK("https://klasma.github.io/Logging_2425/kartor_geotiff/A 41079-2025 georefererad karta.tif", "A 41079-2025")</f>
        <v/>
      </c>
      <c r="AA37">
        <f>HYPERLINK("https://klasma.github.io/Logging_2425/klagomål/A 41079-2025 FSC-klagomål.docx", "A 41079-2025")</f>
        <v/>
      </c>
      <c r="AB37">
        <f>HYPERLINK("https://klasma.github.io/Logging_2425/klagomålsmail/A 41079-2025 FSC-klagomål mail.docx", "A 41079-2025")</f>
        <v/>
      </c>
      <c r="AC37">
        <f>HYPERLINK("https://klasma.github.io/Logging_2425/tillsyn/A 41079-2025 tillsynsbegäran.docx", "A 41079-2025")</f>
        <v/>
      </c>
      <c r="AD37">
        <f>HYPERLINK("https://klasma.github.io/Logging_2425/tillsynsmail/A 41079-2025 tillsynsbegäran mail.docx", "A 41079-2025")</f>
        <v/>
      </c>
    </row>
    <row r="38" ht="15" customHeight="1">
      <c r="A38" t="inlineStr">
        <is>
          <t>A 39686-2025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46277</v>
      </c>
      <c r="F38" t="inlineStr">
        <is>
          <t>VÄSTERBOTTENS LÄN</t>
        </is>
      </c>
      <c r="G38" t="inlineStr">
        <is>
          <t>DOROTEA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HYPERLINK("https://klasma.github.io/Logging_2425/artfynd/A 39686-2025 artfynd.xlsx", "A 39686-2025")</f>
        <v/>
      </c>
      <c r="X38">
        <f>HYPERLINK("https://klasma.github.io/Logging_2425/kartor/A 39686-2025 karta.png", "A 39686-2025")</f>
        <v/>
      </c>
      <c r="Y38">
        <f>HYPERLINK("https://klasma.github.io/Logging_2425/kartor_geotiff/A 39686-2025 georefererad karta.tif", "A 39686-2025")</f>
        <v/>
      </c>
      <c r="AA38">
        <f>HYPERLINK("https://klasma.github.io/Logging_2425/klagomål/A 39686-2025 FSC-klagomål.docx", "A 39686-2025")</f>
        <v/>
      </c>
      <c r="AB38">
        <f>HYPERLINK("https://klasma.github.io/Logging_2425/klagomålsmail/A 39686-2025 FSC-klagomål mail.docx", "A 39686-2025")</f>
        <v/>
      </c>
      <c r="AC38">
        <f>HYPERLINK("https://klasma.github.io/Logging_2425/tillsyn/A 39686-2025 tillsynsbegäran.docx", "A 39686-2025")</f>
        <v/>
      </c>
      <c r="AD38">
        <f>HYPERLINK("https://klasma.github.io/Logging_2425/tillsynsmail/A 39686-2025 tillsynsbegäran mail.docx", "A 39686-2025")</f>
        <v/>
      </c>
    </row>
    <row r="39" ht="15" customHeight="1">
      <c r="A39" t="inlineStr">
        <is>
          <t>A 20600-2023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45057</v>
      </c>
      <c r="E39" s="1" t="n">
        <v>46277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HYPERLINK("https://klasma.github.io/Logging_2425/artfynd/A 20600-2023 artfynd.xlsx", "A 20600-2023")</f>
        <v/>
      </c>
      <c r="X39">
        <f>HYPERLINK("https://klasma.github.io/Logging_2425/kartor/A 20600-2023 karta.png", "A 20600-2023")</f>
        <v/>
      </c>
      <c r="Y39">
        <f>HYPERLINK("https://klasma.github.io/Logging_2425/kartor_geotiff/A 20600-2023 georefererad karta.tif", "A 20600-2023")</f>
        <v/>
      </c>
      <c r="AA39">
        <f>HYPERLINK("https://klasma.github.io/Logging_2425/klagomål/A 20600-2023 FSC-klagomål.docx", "A 20600-2023")</f>
        <v/>
      </c>
      <c r="AB39">
        <f>HYPERLINK("https://klasma.github.io/Logging_2425/klagomålsmail/A 20600-2023 FSC-klagomål mail.docx", "A 20600-2023")</f>
        <v/>
      </c>
      <c r="AC39">
        <f>HYPERLINK("https://klasma.github.io/Logging_2425/tillsyn/A 20600-2023 tillsynsbegäran.docx", "A 20600-2023")</f>
        <v/>
      </c>
      <c r="AD39">
        <f>HYPERLINK("https://klasma.github.io/Logging_2425/tillsynsmail/A 20600-2023 tillsynsbegäran mail.docx", "A 20600-2023")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46277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30286-2023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46277</v>
      </c>
      <c r="F41" t="inlineStr">
        <is>
          <t>VÄSTERBOTTENS LÄN</t>
        </is>
      </c>
      <c r="G41" t="inlineStr">
        <is>
          <t>DOROTEA</t>
        </is>
      </c>
      <c r="I41" t="n">
        <v>21.2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Skogsrör</t>
        </is>
      </c>
      <c r="W41">
        <f>HYPERLINK("https://klasma.github.io/Logging_2425/artfynd/A 30286-2023 artfynd.xlsx", "A 30286-2023")</f>
        <v/>
      </c>
      <c r="X41">
        <f>HYPERLINK("https://klasma.github.io/Logging_2425/kartor/A 30286-2023 karta.png", "A 30286-2023")</f>
        <v/>
      </c>
      <c r="Y41">
        <f>HYPERLINK("https://klasma.github.io/Logging_2425/kartor_geotiff/A 30286-2023 georefererad karta.tif", "A 30286-2023")</f>
        <v/>
      </c>
      <c r="AA41">
        <f>HYPERLINK("https://klasma.github.io/Logging_2425/klagomål/A 30286-2023 FSC-klagomål.docx", "A 30286-2023")</f>
        <v/>
      </c>
      <c r="AB41">
        <f>HYPERLINK("https://klasma.github.io/Logging_2425/klagomålsmail/A 30286-2023 FSC-klagomål mail.docx", "A 30286-2023")</f>
        <v/>
      </c>
      <c r="AC41">
        <f>HYPERLINK("https://klasma.github.io/Logging_2425/tillsyn/A 30286-2023 tillsynsbegäran.docx", "A 30286-2023")</f>
        <v/>
      </c>
      <c r="AD41">
        <f>HYPERLINK("https://klasma.github.io/Logging_2425/tillsynsmail/A 30286-2023 tillsynsbegäran mail.docx", "A 30286-2023")</f>
        <v/>
      </c>
    </row>
    <row r="42" ht="15" customHeight="1">
      <c r="A42" t="inlineStr">
        <is>
          <t>A 36318-2024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46277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8</v>
      </c>
      <c r="U42" t="n">
        <v>8</v>
      </c>
      <c r="V42" s="2" t="inlineStr">
        <is>
          <t>Garnlav</t>
        </is>
      </c>
      <c r="W42">
        <f>HYPERLINK("https://klasma.github.io/Logging_2425/artfynd/A 36318-2024 artfynd.xlsx", "A 36318-2024")</f>
        <v/>
      </c>
      <c r="X42">
        <f>HYPERLINK("https://klasma.github.io/Logging_2425/kartor/A 36318-2024 karta.png", "A 36318-2024")</f>
        <v/>
      </c>
      <c r="Y42">
        <f>HYPERLINK("https://klasma.github.io/Logging_2425/kartor_geotiff/A 36318-2024 georefererad karta.tif", "A 36318-2024")</f>
        <v/>
      </c>
      <c r="AA42">
        <f>HYPERLINK("https://klasma.github.io/Logging_2425/klagomål/A 36318-2024 FSC-klagomål.docx", "A 36318-2024")</f>
        <v/>
      </c>
      <c r="AB42">
        <f>HYPERLINK("https://klasma.github.io/Logging_2425/klagomålsmail/A 36318-2024 FSC-klagomål mail.docx", "A 36318-2024")</f>
        <v/>
      </c>
      <c r="AC42">
        <f>HYPERLINK("https://klasma.github.io/Logging_2425/tillsyn/A 36318-2024 tillsynsbegäran.docx", "A 36318-2024")</f>
        <v/>
      </c>
      <c r="AD42">
        <f>HYPERLINK("https://klasma.github.io/Logging_2425/tillsynsmail/A 36318-2024 tillsynsbegäran mail.docx", "A 36318-2024")</f>
        <v/>
      </c>
    </row>
    <row r="43" ht="15" customHeight="1">
      <c r="A43" t="inlineStr">
        <is>
          <t>A 12005-2023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44994</v>
      </c>
      <c r="E43" s="1" t="n">
        <v>46277</v>
      </c>
      <c r="F43" t="inlineStr">
        <is>
          <t>VÄSTERBOTTENS LÄN</t>
        </is>
      </c>
      <c r="G43" t="inlineStr">
        <is>
          <t>DOROTEA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HYPERLINK("https://klasma.github.io/Logging_2425/artfynd/A 12005-2023 artfynd.xlsx", "A 12005-2023")</f>
        <v/>
      </c>
      <c r="X43">
        <f>HYPERLINK("https://klasma.github.io/Logging_2425/kartor/A 12005-2023 karta.png", "A 12005-2023")</f>
        <v/>
      </c>
      <c r="Y43">
        <f>HYPERLINK("https://klasma.github.io/Logging_2425/kartor_geotiff/A 12005-2023 georefererad karta.tif", "A 12005-2023")</f>
        <v/>
      </c>
      <c r="AA43">
        <f>HYPERLINK("https://klasma.github.io/Logging_2425/klagomål/A 12005-2023 FSC-klagomål.docx", "A 12005-2023")</f>
        <v/>
      </c>
      <c r="AB43">
        <f>HYPERLINK("https://klasma.github.io/Logging_2425/klagomålsmail/A 12005-2023 FSC-klagomål mail.docx", "A 12005-2023")</f>
        <v/>
      </c>
      <c r="AC43">
        <f>HYPERLINK("https://klasma.github.io/Logging_2425/tillsyn/A 12005-2023 tillsynsbegäran.docx", "A 12005-2023")</f>
        <v/>
      </c>
      <c r="AD43">
        <f>HYPERLINK("https://klasma.github.io/Logging_2425/tillsynsmail/A 12005-2023 tillsynsbegäran mail.docx", "A 12005-2023")</f>
        <v/>
      </c>
    </row>
    <row r="44" ht="15" customHeight="1">
      <c r="A44" t="inlineStr">
        <is>
          <t>A 57058-2024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46277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HYPERLINK("https://klasma.github.io/Logging_2425/artfynd/A 57058-2024 artfynd.xlsx", "A 57058-2024")</f>
        <v/>
      </c>
      <c r="X44">
        <f>HYPERLINK("https://klasma.github.io/Logging_2425/kartor/A 57058-2024 karta.png", "A 57058-2024")</f>
        <v/>
      </c>
      <c r="Y44">
        <f>HYPERLINK("https://klasma.github.io/Logging_2425/kartor_geotiff/A 57058-2024 georefererad karta.tif", "A 57058-2024")</f>
        <v/>
      </c>
      <c r="AA44">
        <f>HYPERLINK("https://klasma.github.io/Logging_2425/klagomål/A 57058-2024 FSC-klagomål.docx", "A 57058-2024")</f>
        <v/>
      </c>
      <c r="AB44">
        <f>HYPERLINK("https://klasma.github.io/Logging_2425/klagomålsmail/A 57058-2024 FSC-klagomål mail.docx", "A 57058-2024")</f>
        <v/>
      </c>
      <c r="AC44">
        <f>HYPERLINK("https://klasma.github.io/Logging_2425/tillsyn/A 57058-2024 tillsynsbegäran.docx", "A 57058-2024")</f>
        <v/>
      </c>
      <c r="AD44">
        <f>HYPERLINK("https://klasma.github.io/Logging_2425/tillsynsmail/A 57058-2024 tillsynsbegäran mail.docx", "A 57058-2024")</f>
        <v/>
      </c>
    </row>
    <row r="45" ht="15" customHeight="1">
      <c r="A45" t="inlineStr">
        <is>
          <t>A 21926-2026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46277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HYPERLINK("https://klasma.github.io/Logging_2425/artfynd/A 21926-2026 artfynd.xlsx", "A 21926-2026")</f>
        <v/>
      </c>
      <c r="X45">
        <f>HYPERLINK("https://klasma.github.io/Logging_2425/kartor/A 21926-2026 karta.png", "A 21926-2026")</f>
        <v/>
      </c>
      <c r="Y45">
        <f>HYPERLINK("https://klasma.github.io/Logging_2425/kartor_geotiff/A 21926-2026 georefererad karta.tif", "A 21926-2026")</f>
        <v/>
      </c>
      <c r="AA45">
        <f>HYPERLINK("https://klasma.github.io/Logging_2425/klagomål/A 21926-2026 FSC-klagomål.docx", "A 21926-2026")</f>
        <v/>
      </c>
      <c r="AB45">
        <f>HYPERLINK("https://klasma.github.io/Logging_2425/klagomålsmail/A 21926-2026 FSC-klagomål mail.docx", "A 21926-2026")</f>
        <v/>
      </c>
      <c r="AC45">
        <f>HYPERLINK("https://klasma.github.io/Logging_2425/tillsyn/A 21926-2026 tillsynsbegäran.docx", "A 21926-2026")</f>
        <v/>
      </c>
      <c r="AD45">
        <f>HYPERLINK("https://klasma.github.io/Logging_2425/tillsynsmail/A 21926-2026 tillsynsbegäran mail.docx", "A 21926-2026")</f>
        <v/>
      </c>
    </row>
    <row r="46" ht="15" customHeight="1">
      <c r="A46" t="inlineStr">
        <is>
          <t>A 53309-2022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44878</v>
      </c>
      <c r="E46" s="1" t="n">
        <v>46277</v>
      </c>
      <c r="F46" t="inlineStr">
        <is>
          <t>VÄSTERBOTTENS LÄN</t>
        </is>
      </c>
      <c r="G46" t="inlineStr">
        <is>
          <t>DOROTEA</t>
        </is>
      </c>
      <c r="I46" t="n">
        <v>6.6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Göktyta</t>
        </is>
      </c>
      <c r="W46">
        <f>HYPERLINK("https://klasma.github.io/Logging_2425/artfynd/A 53309-2022 artfynd.xlsx", "A 53309-2022")</f>
        <v/>
      </c>
      <c r="X46">
        <f>HYPERLINK("https://klasma.github.io/Logging_2425/kartor/A 53309-2022 karta.png", "A 53309-2022")</f>
        <v/>
      </c>
      <c r="Y46">
        <f>HYPERLINK("https://klasma.github.io/Logging_2425/kartor_geotiff/A 53309-2022 georefererad karta.tif", "A 53309-2022")</f>
        <v/>
      </c>
      <c r="AA46">
        <f>HYPERLINK("https://klasma.github.io/Logging_2425/klagomål/A 53309-2022 FSC-klagomål.docx", "A 53309-2022")</f>
        <v/>
      </c>
      <c r="AB46">
        <f>HYPERLINK("https://klasma.github.io/Logging_2425/klagomålsmail/A 53309-2022 FSC-klagomål mail.docx", "A 53309-2022")</f>
        <v/>
      </c>
      <c r="AC46">
        <f>HYPERLINK("https://klasma.github.io/Logging_2425/tillsyn/A 53309-2022 tillsynsbegäran.docx", "A 53309-2022")</f>
        <v/>
      </c>
      <c r="AD46">
        <f>HYPERLINK("https://klasma.github.io/Logging_2425/tillsynsmail/A 53309-2022 tillsynsbegäran mail.docx", "A 53309-2022")</f>
        <v/>
      </c>
      <c r="AE46">
        <f>HYPERLINK("https://klasma.github.io/Logging_2425/fåglar/A 53309-2022 prioriterade fågelarter.docx", "A 53309-2022")</f>
        <v/>
      </c>
    </row>
    <row r="47" ht="15" customHeight="1">
      <c r="A47" t="inlineStr">
        <is>
          <t>A 46815-2023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45198</v>
      </c>
      <c r="E47" s="1" t="n">
        <v>46277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Harticka</t>
        </is>
      </c>
      <c r="W47">
        <f>HYPERLINK("https://klasma.github.io/Logging_2425/artfynd/A 46815-2023 artfynd.xlsx", "A 46815-2023")</f>
        <v/>
      </c>
      <c r="X47">
        <f>HYPERLINK("https://klasma.github.io/Logging_2425/kartor/A 46815-2023 karta.png", "A 46815-2023")</f>
        <v/>
      </c>
      <c r="Y47">
        <f>HYPERLINK("https://klasma.github.io/Logging_2425/kartor_geotiff/A 46815-2023 georefererad karta.tif", "A 46815-2023")</f>
        <v/>
      </c>
      <c r="AA47">
        <f>HYPERLINK("https://klasma.github.io/Logging_2425/klagomål/A 46815-2023 FSC-klagomål.docx", "A 46815-2023")</f>
        <v/>
      </c>
      <c r="AB47">
        <f>HYPERLINK("https://klasma.github.io/Logging_2425/klagomålsmail/A 46815-2023 FSC-klagomål mail.docx", "A 46815-2023")</f>
        <v/>
      </c>
      <c r="AC47">
        <f>HYPERLINK("https://klasma.github.io/Logging_2425/tillsyn/A 46815-2023 tillsynsbegäran.docx", "A 46815-2023")</f>
        <v/>
      </c>
      <c r="AD47">
        <f>HYPERLINK("https://klasma.github.io/Logging_2425/tillsynsmail/A 46815-2023 tillsynsbegäran mail.docx", "A 46815-2023")</f>
        <v/>
      </c>
    </row>
    <row r="48" ht="15" customHeight="1">
      <c r="A48" t="inlineStr">
        <is>
          <t>A 1278-2024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45302</v>
      </c>
      <c r="E48" s="1" t="n">
        <v>46277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1.3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Gräddticka</t>
        </is>
      </c>
      <c r="W48">
        <f>HYPERLINK("https://klasma.github.io/Logging_2425/artfynd/A 1278-2024 artfynd.xlsx", "A 1278-2024")</f>
        <v/>
      </c>
      <c r="X48">
        <f>HYPERLINK("https://klasma.github.io/Logging_2425/kartor/A 1278-2024 karta.png", "A 1278-2024")</f>
        <v/>
      </c>
      <c r="Y48">
        <f>HYPERLINK("https://klasma.github.io/Logging_2425/kartor_geotiff/A 1278-2024 georefererad karta.tif", "A 1278-2024")</f>
        <v/>
      </c>
      <c r="AA48">
        <f>HYPERLINK("https://klasma.github.io/Logging_2425/klagomål/A 1278-2024 FSC-klagomål.docx", "A 1278-2024")</f>
        <v/>
      </c>
      <c r="AB48">
        <f>HYPERLINK("https://klasma.github.io/Logging_2425/klagomålsmail/A 1278-2024 FSC-klagomål mail.docx", "A 1278-2024")</f>
        <v/>
      </c>
      <c r="AC48">
        <f>HYPERLINK("https://klasma.github.io/Logging_2425/tillsyn/A 1278-2024 tillsynsbegäran.docx", "A 1278-2024")</f>
        <v/>
      </c>
      <c r="AD48">
        <f>HYPERLINK("https://klasma.github.io/Logging_2425/tillsynsmail/A 1278-2024 tillsynsbegäran mail.docx", "A 1278-2024")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46277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32331-2026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46277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Skrovellav</t>
        </is>
      </c>
      <c r="W50">
        <f>HYPERLINK("https://klasma.github.io/Logging_2425/artfynd/A 32331-2026 artfynd.xlsx", "A 32331-2026")</f>
        <v/>
      </c>
      <c r="X50">
        <f>HYPERLINK("https://klasma.github.io/Logging_2425/kartor/A 32331-2026 karta.png", "A 32331-2026")</f>
        <v/>
      </c>
      <c r="Y50">
        <f>HYPERLINK("https://klasma.github.io/Logging_2425/kartor_geotiff/A 32331-2026 georefererad karta.tif", "A 32331-2026")</f>
        <v/>
      </c>
      <c r="AA50">
        <f>HYPERLINK("https://klasma.github.io/Logging_2425/klagomål/A 32331-2026 FSC-klagomål.docx", "A 32331-2026")</f>
        <v/>
      </c>
      <c r="AB50">
        <f>HYPERLINK("https://klasma.github.io/Logging_2425/klagomålsmail/A 32331-2026 FSC-klagomål mail.docx", "A 32331-2026")</f>
        <v/>
      </c>
      <c r="AC50">
        <f>HYPERLINK("https://klasma.github.io/Logging_2425/tillsyn/A 32331-2026 tillsynsbegäran.docx", "A 32331-2026")</f>
        <v/>
      </c>
      <c r="AD50">
        <f>HYPERLINK("https://klasma.github.io/Logging_2425/tillsynsmail/A 32331-2026 tillsynsbegäran mail.docx", "A 32331-2026")</f>
        <v/>
      </c>
    </row>
    <row r="51" ht="15" customHeight="1">
      <c r="A51" t="inlineStr">
        <is>
          <t>A 30357-2026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46209</v>
      </c>
      <c r="E51" s="1" t="n">
        <v>46277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Tajgahumla</t>
        </is>
      </c>
      <c r="W51">
        <f>HYPERLINK("https://klasma.github.io/Logging_2425/artfynd/A 30357-2026 artfynd.xlsx", "A 30357-2026")</f>
        <v/>
      </c>
      <c r="X51">
        <f>HYPERLINK("https://klasma.github.io/Logging_2425/kartor/A 30357-2026 karta.png", "A 30357-2026")</f>
        <v/>
      </c>
      <c r="Y51">
        <f>HYPERLINK("https://klasma.github.io/Logging_2425/kartor_geotiff/A 30357-2026 georefererad karta.tif", "A 30357-2026")</f>
        <v/>
      </c>
      <c r="AA51">
        <f>HYPERLINK("https://klasma.github.io/Logging_2425/klagomål/A 30357-2026 FSC-klagomål.docx", "A 30357-2026")</f>
        <v/>
      </c>
      <c r="AB51">
        <f>HYPERLINK("https://klasma.github.io/Logging_2425/klagomålsmail/A 30357-2026 FSC-klagomål mail.docx", "A 30357-2026")</f>
        <v/>
      </c>
      <c r="AC51">
        <f>HYPERLINK("https://klasma.github.io/Logging_2425/tillsyn/A 30357-2026 tillsynsbegäran.docx", "A 30357-2026")</f>
        <v/>
      </c>
      <c r="AD51">
        <f>HYPERLINK("https://klasma.github.io/Logging_2425/tillsynsmail/A 30357-2026 tillsynsbegäran mail.docx", "A 30357-2026")</f>
        <v/>
      </c>
    </row>
    <row r="52" ht="15" customHeight="1">
      <c r="A52" t="inlineStr">
        <is>
          <t>A 57060-2024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46277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HYPERLINK("https://klasma.github.io/Logging_2425/artfynd/A 57060-2024 artfynd.xlsx", "A 57060-2024")</f>
        <v/>
      </c>
      <c r="X52">
        <f>HYPERLINK("https://klasma.github.io/Logging_2425/kartor/A 57060-2024 karta.png", "A 57060-2024")</f>
        <v/>
      </c>
      <c r="Y52">
        <f>HYPERLINK("https://klasma.github.io/Logging_2425/kartor_geotiff/A 57060-2024 georefererad karta.tif", "A 57060-2024")</f>
        <v/>
      </c>
      <c r="AA52">
        <f>HYPERLINK("https://klasma.github.io/Logging_2425/klagomål/A 57060-2024 FSC-klagomål.docx", "A 57060-2024")</f>
        <v/>
      </c>
      <c r="AB52">
        <f>HYPERLINK("https://klasma.github.io/Logging_2425/klagomålsmail/A 57060-2024 FSC-klagomål mail.docx", "A 57060-2024")</f>
        <v/>
      </c>
      <c r="AC52">
        <f>HYPERLINK("https://klasma.github.io/Logging_2425/tillsyn/A 57060-2024 tillsynsbegäran.docx", "A 57060-2024")</f>
        <v/>
      </c>
      <c r="AD52">
        <f>HYPERLINK("https://klasma.github.io/Logging_2425/tillsynsmail/A 57060-2024 tillsynsbegäran mail.docx", "A 57060-2024")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46277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26440-2025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46277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HYPERLINK("https://klasma.github.io/Logging_2425/artfynd/A 26440-2025 artfynd.xlsx", "A 26440-2025")</f>
        <v/>
      </c>
      <c r="X54">
        <f>HYPERLINK("https://klasma.github.io/Logging_2425/kartor/A 26440-2025 karta.png", "A 26440-2025")</f>
        <v/>
      </c>
      <c r="Y54">
        <f>HYPERLINK("https://klasma.github.io/Logging_2425/kartor_geotiff/A 26440-2025 georefererad karta.tif", "A 26440-2025")</f>
        <v/>
      </c>
      <c r="AA54">
        <f>HYPERLINK("https://klasma.github.io/Logging_2425/klagomål/A 26440-2025 FSC-klagomål.docx", "A 26440-2025")</f>
        <v/>
      </c>
      <c r="AB54">
        <f>HYPERLINK("https://klasma.github.io/Logging_2425/klagomålsmail/A 26440-2025 FSC-klagomål mail.docx", "A 26440-2025")</f>
        <v/>
      </c>
      <c r="AC54">
        <f>HYPERLINK("https://klasma.github.io/Logging_2425/tillsyn/A 26440-2025 tillsynsbegäran.docx", "A 26440-2025")</f>
        <v/>
      </c>
      <c r="AD54">
        <f>HYPERLINK("https://klasma.github.io/Logging_2425/tillsynsmail/A 26440-2025 tillsynsbegäran mail.docx", "A 26440-2025")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46277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46277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S 2107-2026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46240</v>
      </c>
      <c r="E57" s="1" t="n">
        <v>46277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HYPERLINK("https://klasma.github.io/Logging_2425/artfynd/S 2107-2026 artfynd.xlsx", "S 2107-2026")</f>
        <v/>
      </c>
      <c r="X57">
        <f>HYPERLINK("https://klasma.github.io/Logging_2425/kartor/S 2107-2026 karta.png", "S 2107-2026")</f>
        <v/>
      </c>
      <c r="Y57">
        <f>HYPERLINK("https://klasma.github.io/Logging_2425/kartor_geotiff/S 2107-2026 georefererad karta.tif", "S 2107-2026")</f>
        <v/>
      </c>
      <c r="AA57">
        <f>HYPERLINK("https://klasma.github.io/Logging_2425/klagomål/S 2107-2026 FSC-klagomål.docx", "S 2107-2026")</f>
        <v/>
      </c>
      <c r="AB57">
        <f>HYPERLINK("https://klasma.github.io/Logging_2425/klagomålsmail/S 2107-2026 FSC-klagomål mail.docx", "S 2107-2026")</f>
        <v/>
      </c>
      <c r="AC57">
        <f>HYPERLINK("https://klasma.github.io/Logging_2425/tillsyn/S 2107-2026 tillsynsbegäran.docx", "S 2107-2026")</f>
        <v/>
      </c>
      <c r="AD57">
        <f>HYPERLINK("https://klasma.github.io/Logging_2425/tillsynsmail/S 2107-2026 tillsynsbegäran mail.docx", "S 2107-2026")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46277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A 64063-2021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46277</v>
      </c>
      <c r="F59" t="inlineStr">
        <is>
          <t>VÄSTERBOTTENS LÄN</t>
        </is>
      </c>
      <c r="G59" t="inlineStr">
        <is>
          <t>DOROTEA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46277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11309-2022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44629</v>
      </c>
      <c r="E61" s="1" t="n">
        <v>46277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16.8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46277</v>
      </c>
      <c r="F62" t="inlineStr">
        <is>
          <t>VÄSTERBOTTENS LÄN</t>
        </is>
      </c>
      <c r="G62" t="inlineStr">
        <is>
          <t>DOROTEA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46277</v>
      </c>
      <c r="F63" t="inlineStr">
        <is>
          <t>VÄSTERBOTTENS LÄN</t>
        </is>
      </c>
      <c r="G63" t="inlineStr">
        <is>
          <t>DOROTEA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44859</v>
      </c>
      <c r="E64" s="1" t="n">
        <v>46277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46277</v>
      </c>
      <c r="F65" t="inlineStr">
        <is>
          <t>VÄSTERBOTTENS LÄN</t>
        </is>
      </c>
      <c r="G65" t="inlineStr">
        <is>
          <t>DOROTEA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44851</v>
      </c>
      <c r="E66" s="1" t="n">
        <v>46277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44587</v>
      </c>
      <c r="E67" s="1" t="n">
        <v>46277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46277</v>
      </c>
      <c r="F68" t="inlineStr">
        <is>
          <t>VÄSTERBOTTENS LÄN</t>
        </is>
      </c>
      <c r="G68" t="inlineStr">
        <is>
          <t>DOROTEA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27199-2024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45471</v>
      </c>
      <c r="E69" s="1" t="n">
        <v>46277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46277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46277</v>
      </c>
      <c r="F71" t="inlineStr">
        <is>
          <t>VÄSTERBOTTENS LÄN</t>
        </is>
      </c>
      <c r="G71" t="inlineStr">
        <is>
          <t>DOROTEA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45228</v>
      </c>
      <c r="E72" s="1" t="n">
        <v>46277</v>
      </c>
      <c r="F72" t="inlineStr">
        <is>
          <t>VÄSTERBOTTENS LÄN</t>
        </is>
      </c>
      <c r="G72" t="inlineStr">
        <is>
          <t>DOROTEA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46277</v>
      </c>
      <c r="F73" t="inlineStr">
        <is>
          <t>VÄSTERBOTTENS LÄN</t>
        </is>
      </c>
      <c r="G73" t="inlineStr">
        <is>
          <t>DOROTEA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44761</v>
      </c>
      <c r="E74" s="1" t="n">
        <v>46277</v>
      </c>
      <c r="F74" t="inlineStr">
        <is>
          <t>VÄSTERBOTTENS LÄN</t>
        </is>
      </c>
      <c r="G74" t="inlineStr">
        <is>
          <t>DOROTEA</t>
        </is>
      </c>
      <c r="I74" t="n">
        <v>10.6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45198</v>
      </c>
      <c r="E75" s="1" t="n">
        <v>46277</v>
      </c>
      <c r="F75" t="inlineStr">
        <is>
          <t>VÄSTERBOTTENS LÄN</t>
        </is>
      </c>
      <c r="G75" t="inlineStr">
        <is>
          <t>DOROTEA</t>
        </is>
      </c>
      <c r="H75" t="inlineStr">
        <is>
          <t>Övriga statliga verk och myndigheter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46277</v>
      </c>
      <c r="F76" t="inlineStr">
        <is>
          <t>VÄSTERBOTTENS LÄN</t>
        </is>
      </c>
      <c r="G76" t="inlineStr">
        <is>
          <t>DOROTEA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45385</v>
      </c>
      <c r="E77" s="1" t="n">
        <v>46277</v>
      </c>
      <c r="F77" t="inlineStr">
        <is>
          <t>VÄSTERBOTTENS LÄN</t>
        </is>
      </c>
      <c r="G77" t="inlineStr">
        <is>
          <t>DOROTEA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45224</v>
      </c>
      <c r="E78" s="1" t="n">
        <v>46277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60304-2022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44910</v>
      </c>
      <c r="E79" s="1" t="n">
        <v>46277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45393</v>
      </c>
      <c r="E80" s="1" t="n">
        <v>46277</v>
      </c>
      <c r="F80" t="inlineStr">
        <is>
          <t>VÄSTERBOTTENS LÄN</t>
        </is>
      </c>
      <c r="G80" t="inlineStr">
        <is>
          <t>DOROTEA</t>
        </is>
      </c>
      <c r="I80" t="n">
        <v>10.2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46277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46277</v>
      </c>
      <c r="F82" t="inlineStr">
        <is>
          <t>VÄSTERBOTTENS LÄN</t>
        </is>
      </c>
      <c r="G82" t="inlineStr">
        <is>
          <t>DOROTEA</t>
        </is>
      </c>
      <c r="I82" t="n">
        <v>14.8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46277</v>
      </c>
      <c r="F83" t="inlineStr">
        <is>
          <t>VÄSTERBOTTENS LÄN</t>
        </is>
      </c>
      <c r="G83" t="inlineStr">
        <is>
          <t>DOROTEA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44956</v>
      </c>
      <c r="E84" s="1" t="n">
        <v>46277</v>
      </c>
      <c r="F84" t="inlineStr">
        <is>
          <t>VÄSTERBOTTENS LÄN</t>
        </is>
      </c>
      <c r="G84" t="inlineStr">
        <is>
          <t>DOROTEA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44860</v>
      </c>
      <c r="E85" s="1" t="n">
        <v>46277</v>
      </c>
      <c r="F85" t="inlineStr">
        <is>
          <t>VÄSTERBOTTENS LÄN</t>
        </is>
      </c>
      <c r="G85" t="inlineStr">
        <is>
          <t>DOROTEA</t>
        </is>
      </c>
      <c r="H85" t="inlineStr">
        <is>
          <t>Sveaskog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57070-2023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45244</v>
      </c>
      <c r="E86" s="1" t="n">
        <v>46277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59418-2023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45253</v>
      </c>
      <c r="E87" s="1" t="n">
        <v>46277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30059-2024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45488</v>
      </c>
      <c r="E88" s="1" t="n">
        <v>46277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40435-2023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45169</v>
      </c>
      <c r="E89" s="1" t="n">
        <v>46277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45483</v>
      </c>
      <c r="E90" s="1" t="n">
        <v>46277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45448</v>
      </c>
      <c r="E91" s="1" t="n">
        <v>46277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44484</v>
      </c>
      <c r="E92" s="1" t="n">
        <v>46277</v>
      </c>
      <c r="F92" t="inlineStr">
        <is>
          <t>VÄSTERBOTTENS LÄN</t>
        </is>
      </c>
      <c r="G92" t="inlineStr">
        <is>
          <t>DOROTEA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46277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44889</v>
      </c>
      <c r="E94" s="1" t="n">
        <v>46277</v>
      </c>
      <c r="F94" t="inlineStr">
        <is>
          <t>VÄSTERBOTTENS LÄN</t>
        </is>
      </c>
      <c r="G94" t="inlineStr">
        <is>
          <t>DOROTEA</t>
        </is>
      </c>
      <c r="I94" t="n">
        <v>15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74013-2021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46277</v>
      </c>
      <c r="F95" t="inlineStr">
        <is>
          <t>VÄSTERBOTTENS LÄN</t>
        </is>
      </c>
      <c r="G95" t="inlineStr">
        <is>
          <t>DOROTEA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30373-2024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45491</v>
      </c>
      <c r="E96" s="1" t="n">
        <v>46277</v>
      </c>
      <c r="F96" t="inlineStr">
        <is>
          <t>VÄSTERBOTTENS LÄN</t>
        </is>
      </c>
      <c r="G96" t="inlineStr">
        <is>
          <t>DOROTEA</t>
        </is>
      </c>
      <c r="H96" t="inlineStr">
        <is>
          <t>Sveaskog</t>
        </is>
      </c>
      <c r="I96" t="n">
        <v>13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62657-2022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44925</v>
      </c>
      <c r="E97" s="1" t="n">
        <v>46277</v>
      </c>
      <c r="F97" t="inlineStr">
        <is>
          <t>VÄSTERBOTTENS LÄN</t>
        </is>
      </c>
      <c r="G97" t="inlineStr">
        <is>
          <t>DOROTEA</t>
        </is>
      </c>
      <c r="I97" t="n">
        <v>22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14631-2025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45742</v>
      </c>
      <c r="E98" s="1" t="n">
        <v>46277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46277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8092-2023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46277</v>
      </c>
      <c r="F100" t="inlineStr">
        <is>
          <t>VÄSTERBOTTENS LÄN</t>
        </is>
      </c>
      <c r="G100" t="inlineStr">
        <is>
          <t>DOROTEA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45140</v>
      </c>
      <c r="E101" s="1" t="n">
        <v>46277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45140</v>
      </c>
      <c r="E102" s="1" t="n">
        <v>46277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46277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29258-2025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46277</v>
      </c>
      <c r="F104" t="inlineStr">
        <is>
          <t>VÄSTERBOTTENS LÄN</t>
        </is>
      </c>
      <c r="G104" t="inlineStr">
        <is>
          <t>DOROTEA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45552</v>
      </c>
      <c r="E105" s="1" t="n">
        <v>46277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7429-2023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44971</v>
      </c>
      <c r="E106" s="1" t="n">
        <v>46277</v>
      </c>
      <c r="F106" t="inlineStr">
        <is>
          <t>VÄSTERBOTTENS LÄN</t>
        </is>
      </c>
      <c r="G106" t="inlineStr">
        <is>
          <t>DOROTEA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46277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38227-2025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45883</v>
      </c>
      <c r="E108" s="1" t="n">
        <v>46277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46277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31532-2025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45833</v>
      </c>
      <c r="E110" s="1" t="n">
        <v>46277</v>
      </c>
      <c r="F110" t="inlineStr">
        <is>
          <t>VÄSTERBOTTENS LÄN</t>
        </is>
      </c>
      <c r="G110" t="inlineStr">
        <is>
          <t>DOROTEA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46277</v>
      </c>
      <c r="F111" t="inlineStr">
        <is>
          <t>VÄSTERBOTTENS LÄN</t>
        </is>
      </c>
      <c r="G111" t="inlineStr">
        <is>
          <t>DOROTEA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23213-2022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46277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22733-2023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45071</v>
      </c>
      <c r="E113" s="1" t="n">
        <v>46277</v>
      </c>
      <c r="F113" t="inlineStr">
        <is>
          <t>VÄSTERBOTTENS LÄN</t>
        </is>
      </c>
      <c r="G113" t="inlineStr">
        <is>
          <t>DOROTEA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45448</v>
      </c>
      <c r="E114" s="1" t="n">
        <v>46277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46277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39977-2025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45893</v>
      </c>
      <c r="E116" s="1" t="n">
        <v>46277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44958</v>
      </c>
      <c r="E117" s="1" t="n">
        <v>46277</v>
      </c>
      <c r="F117" t="inlineStr">
        <is>
          <t>VÄSTERBOTTENS LÄN</t>
        </is>
      </c>
      <c r="G117" t="inlineStr">
        <is>
          <t>DOROTEA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45846</v>
      </c>
      <c r="E118" s="1" t="n">
        <v>46277</v>
      </c>
      <c r="F118" t="inlineStr">
        <is>
          <t>VÄSTERBOTTENS LÄN</t>
        </is>
      </c>
      <c r="G118" t="inlineStr">
        <is>
          <t>DOROTEA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45898</v>
      </c>
      <c r="E119" s="1" t="n">
        <v>46277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34681-2025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45848</v>
      </c>
      <c r="E120" s="1" t="n">
        <v>46277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45847</v>
      </c>
      <c r="E121" s="1" t="n">
        <v>46277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45849</v>
      </c>
      <c r="E122" s="1" t="n">
        <v>46277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45852</v>
      </c>
      <c r="E123" s="1" t="n">
        <v>46277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46277</v>
      </c>
      <c r="F124" t="inlineStr">
        <is>
          <t>VÄSTERBOTTENS LÄN</t>
        </is>
      </c>
      <c r="G124" t="inlineStr">
        <is>
          <t>DOROTEA</t>
        </is>
      </c>
      <c r="H124" t="inlineStr">
        <is>
          <t>Övriga Aktiebolag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46277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10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46277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45855</v>
      </c>
      <c r="E127" s="1" t="n">
        <v>46277</v>
      </c>
      <c r="F127" t="inlineStr">
        <is>
          <t>VÄSTERBOTTENS LÄN</t>
        </is>
      </c>
      <c r="G127" t="inlineStr">
        <is>
          <t>DOROTEA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46277</v>
      </c>
      <c r="F128" t="inlineStr">
        <is>
          <t>VÄSTERBOTTENS LÄN</t>
        </is>
      </c>
      <c r="G128" t="inlineStr">
        <is>
          <t>DOROTEA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46277</v>
      </c>
      <c r="F129" t="inlineStr">
        <is>
          <t>VÄSTERBOTTENS LÄN</t>
        </is>
      </c>
      <c r="G129" t="inlineStr">
        <is>
          <t>DOROTEA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46277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25028-2024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45461</v>
      </c>
      <c r="E131" s="1" t="n">
        <v>46277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46072</v>
      </c>
      <c r="E132" s="1" t="n">
        <v>46277</v>
      </c>
      <c r="F132" t="inlineStr">
        <is>
          <t>VÄSTERBOTTENS LÄN</t>
        </is>
      </c>
      <c r="G132" t="inlineStr">
        <is>
          <t>DOROTEA</t>
        </is>
      </c>
      <c r="I132" t="n">
        <v>20.1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36125-2025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45866</v>
      </c>
      <c r="E133" s="1" t="n">
        <v>46277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36111-2025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45866</v>
      </c>
      <c r="E134" s="1" t="n">
        <v>46277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46277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11.1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46277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46277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44282-2025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45916</v>
      </c>
      <c r="E138" s="1" t="n">
        <v>46277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36845-2025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45874</v>
      </c>
      <c r="E139" s="1" t="n">
        <v>46277</v>
      </c>
      <c r="F139" t="inlineStr">
        <is>
          <t>VÄSTERBOTTENS LÄN</t>
        </is>
      </c>
      <c r="G139" t="inlineStr">
        <is>
          <t>DOROTEA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44194-2025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45915</v>
      </c>
      <c r="E140" s="1" t="n">
        <v>46277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8.4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44190-2025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45915</v>
      </c>
      <c r="E141" s="1" t="n">
        <v>46277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46277</v>
      </c>
      <c r="F142" t="inlineStr">
        <is>
          <t>VÄSTERBOTTENS LÄN</t>
        </is>
      </c>
      <c r="G142" t="inlineStr">
        <is>
          <t>DOROTEA</t>
        </is>
      </c>
      <c r="H142" t="inlineStr">
        <is>
          <t>Övriga statliga verk och myndigheter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4617-2023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44956</v>
      </c>
      <c r="E143" s="1" t="n">
        <v>46277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46277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46277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46277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45874</v>
      </c>
      <c r="E147" s="1" t="n">
        <v>46277</v>
      </c>
      <c r="F147" t="inlineStr">
        <is>
          <t>VÄSTERBOTTENS LÄN</t>
        </is>
      </c>
      <c r="G147" t="inlineStr">
        <is>
          <t>DOROTEA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37259-2025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45876</v>
      </c>
      <c r="E148" s="1" t="n">
        <v>46277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37135-2025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45875</v>
      </c>
      <c r="E149" s="1" t="n">
        <v>46277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45876</v>
      </c>
      <c r="E150" s="1" t="n">
        <v>46277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46277</v>
      </c>
      <c r="F151" t="inlineStr">
        <is>
          <t>VÄSTERBOTTENS LÄN</t>
        </is>
      </c>
      <c r="G151" t="inlineStr">
        <is>
          <t>DOROTEA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45845</v>
      </c>
      <c r="E152" s="1" t="n">
        <v>46277</v>
      </c>
      <c r="F152" t="inlineStr">
        <is>
          <t>VÄSTERBOTTENS LÄN</t>
        </is>
      </c>
      <c r="G152" t="inlineStr">
        <is>
          <t>DOROTEA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45877</v>
      </c>
      <c r="E153" s="1" t="n">
        <v>46277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45712</v>
      </c>
      <c r="E154" s="1" t="n">
        <v>46277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45882</v>
      </c>
      <c r="E155" s="1" t="n">
        <v>46277</v>
      </c>
      <c r="F155" t="inlineStr">
        <is>
          <t>VÄSTERBOTTENS LÄN</t>
        </is>
      </c>
      <c r="G155" t="inlineStr">
        <is>
          <t>DOROTEA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45882</v>
      </c>
      <c r="E156" s="1" t="n">
        <v>46277</v>
      </c>
      <c r="F156" t="inlineStr">
        <is>
          <t>VÄSTERBOTTENS LÄN</t>
        </is>
      </c>
      <c r="G156" t="inlineStr">
        <is>
          <t>DOROTEA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45882</v>
      </c>
      <c r="E157" s="1" t="n">
        <v>46277</v>
      </c>
      <c r="F157" t="inlineStr">
        <is>
          <t>VÄSTERBOTTENS LÄN</t>
        </is>
      </c>
      <c r="G157" t="inlineStr">
        <is>
          <t>DOROTEA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45519</v>
      </c>
      <c r="E158" s="1" t="n">
        <v>46277</v>
      </c>
      <c r="F158" t="inlineStr">
        <is>
          <t>VÄSTERBOTTENS LÄN</t>
        </is>
      </c>
      <c r="G158" t="inlineStr">
        <is>
          <t>DOROTEA</t>
        </is>
      </c>
      <c r="I158" t="n">
        <v>8.9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46277</v>
      </c>
      <c r="F159" t="inlineStr">
        <is>
          <t>VÄSTERBOTTENS LÄN</t>
        </is>
      </c>
      <c r="G159" t="inlineStr">
        <is>
          <t>DOROTEA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38097-2025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45882</v>
      </c>
      <c r="E160" s="1" t="n">
        <v>46277</v>
      </c>
      <c r="F160" t="inlineStr">
        <is>
          <t>VÄSTERBOTTENS LÄN</t>
        </is>
      </c>
      <c r="G160" t="inlineStr">
        <is>
          <t>DOROTEA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38098-2025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46277</v>
      </c>
      <c r="F161" t="inlineStr">
        <is>
          <t>VÄSTERBOTTENS LÄN</t>
        </is>
      </c>
      <c r="G161" t="inlineStr">
        <is>
          <t>DOROTEA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46277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46277</v>
      </c>
      <c r="F163" t="inlineStr">
        <is>
          <t>VÄSTERBOTTENS LÄN</t>
        </is>
      </c>
      <c r="G163" t="inlineStr">
        <is>
          <t>DOROTEA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46277</v>
      </c>
      <c r="F164" t="inlineStr">
        <is>
          <t>VÄSTERBOTTENS LÄN</t>
        </is>
      </c>
      <c r="G164" t="inlineStr">
        <is>
          <t>DOROTEA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49408-2025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45938</v>
      </c>
      <c r="E165" s="1" t="n">
        <v>46277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46277</v>
      </c>
      <c r="F166" t="inlineStr">
        <is>
          <t>VÄSTERBOTTENS LÄN</t>
        </is>
      </c>
      <c r="G166" t="inlineStr">
        <is>
          <t>DOROTEA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49054-2025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45937</v>
      </c>
      <c r="E167" s="1" t="n">
        <v>46277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45125</v>
      </c>
      <c r="E168" s="1" t="n">
        <v>46277</v>
      </c>
      <c r="F168" t="inlineStr">
        <is>
          <t>VÄSTERBOTTENS LÄN</t>
        </is>
      </c>
      <c r="G168" t="inlineStr">
        <is>
          <t>DOROTEA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11817-2026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46085</v>
      </c>
      <c r="E169" s="1" t="n">
        <v>46277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46086</v>
      </c>
      <c r="E170" s="1" t="n">
        <v>46277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45574</v>
      </c>
      <c r="E171" s="1" t="n">
        <v>46277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45182</v>
      </c>
      <c r="E172" s="1" t="n">
        <v>46277</v>
      </c>
      <c r="F172" t="inlineStr">
        <is>
          <t>VÄSTERBOTTENS LÄN</t>
        </is>
      </c>
      <c r="G172" t="inlineStr">
        <is>
          <t>DOROTEA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45463</v>
      </c>
      <c r="E173" s="1" t="n">
        <v>46277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45539</v>
      </c>
      <c r="E174" s="1" t="n">
        <v>46277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45796</v>
      </c>
      <c r="E175" s="1" t="n">
        <v>46277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45755</v>
      </c>
      <c r="E176" s="1" t="n">
        <v>46277</v>
      </c>
      <c r="F176" t="inlineStr">
        <is>
          <t>VÄSTERBOTTENS LÄN</t>
        </is>
      </c>
      <c r="G176" t="inlineStr">
        <is>
          <t>DOROTEA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46277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45852</v>
      </c>
      <c r="E178" s="1" t="n">
        <v>46277</v>
      </c>
      <c r="F178" t="inlineStr">
        <is>
          <t>VÄSTERBOTTENS LÄN</t>
        </is>
      </c>
      <c r="G178" t="inlineStr">
        <is>
          <t>DOROTEA</t>
        </is>
      </c>
      <c r="H178" t="inlineStr">
        <is>
          <t>Allmännings- och besparingsskogar</t>
        </is>
      </c>
      <c r="I178" t="n">
        <v>22.1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45852</v>
      </c>
      <c r="E179" s="1" t="n">
        <v>46277</v>
      </c>
      <c r="F179" t="inlineStr">
        <is>
          <t>VÄSTERBOTTENS LÄN</t>
        </is>
      </c>
      <c r="G179" t="inlineStr">
        <is>
          <t>DOROTEA</t>
        </is>
      </c>
      <c r="H179" t="inlineStr">
        <is>
          <t>Allmännings- och besparingsskogar</t>
        </is>
      </c>
      <c r="I179" t="n">
        <v>20.3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45149</v>
      </c>
      <c r="E180" s="1" t="n">
        <v>46277</v>
      </c>
      <c r="F180" t="inlineStr">
        <is>
          <t>VÄSTERBOTTENS LÄN</t>
        </is>
      </c>
      <c r="G180" t="inlineStr">
        <is>
          <t>DOROTEA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14249-2026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46099</v>
      </c>
      <c r="E181" s="1" t="n">
        <v>46277</v>
      </c>
      <c r="F181" t="inlineStr">
        <is>
          <t>VÄSTERBOTTENS LÄN</t>
        </is>
      </c>
      <c r="G181" t="inlineStr">
        <is>
          <t>DOROTEA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40434-2023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45169</v>
      </c>
      <c r="E182" s="1" t="n">
        <v>46277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46818-2023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45198</v>
      </c>
      <c r="E183" s="1" t="n">
        <v>46277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46277</v>
      </c>
      <c r="F184" t="inlineStr">
        <is>
          <t>VÄSTERBOTTENS LÄN</t>
        </is>
      </c>
      <c r="G184" t="inlineStr">
        <is>
          <t>DOROTEA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60145-2021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44494</v>
      </c>
      <c r="E185" s="1" t="n">
        <v>46277</v>
      </c>
      <c r="F185" t="inlineStr">
        <is>
          <t>VÄSTERBOTTENS LÄN</t>
        </is>
      </c>
      <c r="G185" t="inlineStr">
        <is>
          <t>DOROTEA</t>
        </is>
      </c>
      <c r="I185" t="n">
        <v>13.3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52412-2025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46277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46277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46104</v>
      </c>
      <c r="E188" s="1" t="n">
        <v>46277</v>
      </c>
      <c r="F188" t="inlineStr">
        <is>
          <t>VÄSTERBOTTENS LÄN</t>
        </is>
      </c>
      <c r="G188" t="inlineStr">
        <is>
          <t>DOROTEA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45720</v>
      </c>
      <c r="E189" s="1" t="n">
        <v>46277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45475</v>
      </c>
      <c r="E190" s="1" t="n">
        <v>46277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53409-2025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45959</v>
      </c>
      <c r="E191" s="1" t="n">
        <v>46277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15901-2026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46107</v>
      </c>
      <c r="E192" s="1" t="n">
        <v>46277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46277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46277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16352-2026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46277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33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16276-2026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46277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46277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46277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14806-2023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45013</v>
      </c>
      <c r="E199" s="1" t="n">
        <v>46277</v>
      </c>
      <c r="F199" t="inlineStr">
        <is>
          <t>VÄSTERBOTTENS LÄN</t>
        </is>
      </c>
      <c r="G199" t="inlineStr">
        <is>
          <t>DOROTEA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46277</v>
      </c>
      <c r="F200" t="inlineStr">
        <is>
          <t>VÄSTERBOTTENS LÄN</t>
        </is>
      </c>
      <c r="G200" t="inlineStr">
        <is>
          <t>DOROTEA</t>
        </is>
      </c>
      <c r="H200" t="inlineStr">
        <is>
          <t>Kommuner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16985-2026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46114</v>
      </c>
      <c r="E201" s="1" t="n">
        <v>46277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46277</v>
      </c>
      <c r="F202" t="inlineStr">
        <is>
          <t>VÄSTERBOTTENS LÄN</t>
        </is>
      </c>
      <c r="G202" t="inlineStr">
        <is>
          <t>DOROTEA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45975</v>
      </c>
      <c r="E203" s="1" t="n">
        <v>46277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46121</v>
      </c>
      <c r="E204" s="1" t="n">
        <v>46277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20.3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46120</v>
      </c>
      <c r="E205" s="1" t="n">
        <v>46277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8.6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56556-2025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46277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57245-2025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45978</v>
      </c>
      <c r="E207" s="1" t="n">
        <v>46277</v>
      </c>
      <c r="F207" t="inlineStr">
        <is>
          <t>VÄSTERBOTTENS LÄN</t>
        </is>
      </c>
      <c r="G207" t="inlineStr">
        <is>
          <t>DOROTEA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46277</v>
      </c>
      <c r="F208" t="inlineStr">
        <is>
          <t>VÄSTERBOTTENS LÄN</t>
        </is>
      </c>
      <c r="G208" t="inlineStr">
        <is>
          <t>DOROTEA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56707-2025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45977</v>
      </c>
      <c r="E209" s="1" t="n">
        <v>46277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46277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45980</v>
      </c>
      <c r="E211" s="1" t="n">
        <v>46277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57380-2025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46277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57071-2023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45244</v>
      </c>
      <c r="E213" s="1" t="n">
        <v>46277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58014-2025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45982</v>
      </c>
      <c r="E214" s="1" t="n">
        <v>46277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18.2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45981</v>
      </c>
      <c r="E215" s="1" t="n">
        <v>46277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45981</v>
      </c>
      <c r="E216" s="1" t="n">
        <v>46277</v>
      </c>
      <c r="F216" t="inlineStr">
        <is>
          <t>VÄSTERBOTTENS LÄN</t>
        </is>
      </c>
      <c r="G216" t="inlineStr">
        <is>
          <t>DOROTEA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18143-2026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46125</v>
      </c>
      <c r="E217" s="1" t="n">
        <v>46277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46277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46123</v>
      </c>
      <c r="E219" s="1" t="n">
        <v>46277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46277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18.3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46277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46277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46277</v>
      </c>
      <c r="F223" t="inlineStr">
        <is>
          <t>VÄSTERBOTTENS LÄN</t>
        </is>
      </c>
      <c r="G223" t="inlineStr">
        <is>
          <t>DOROTEA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45714</v>
      </c>
      <c r="E224" s="1" t="n">
        <v>46277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45988</v>
      </c>
      <c r="E225" s="1" t="n">
        <v>46277</v>
      </c>
      <c r="F225" t="inlineStr">
        <is>
          <t>VÄSTERBOTTENS LÄN</t>
        </is>
      </c>
      <c r="G225" t="inlineStr">
        <is>
          <t>DOROTEA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18254-2026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46126</v>
      </c>
      <c r="E226" s="1" t="n">
        <v>46277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59066-2025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45988</v>
      </c>
      <c r="E227" s="1" t="n">
        <v>46277</v>
      </c>
      <c r="F227" t="inlineStr">
        <is>
          <t>VÄSTERBOTTENS LÄN</t>
        </is>
      </c>
      <c r="G227" t="inlineStr">
        <is>
          <t>DOROTEA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59054-2025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46277</v>
      </c>
      <c r="F228" t="inlineStr">
        <is>
          <t>VÄSTERBOTTENS LÄN</t>
        </is>
      </c>
      <c r="G228" t="inlineStr">
        <is>
          <t>DOROTEA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18310-2026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46126</v>
      </c>
      <c r="E229" s="1" t="n">
        <v>46277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35937-2025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45862</v>
      </c>
      <c r="E230" s="1" t="n">
        <v>46277</v>
      </c>
      <c r="F230" t="inlineStr">
        <is>
          <t>VÄSTERBOTTENS LÄN</t>
        </is>
      </c>
      <c r="G230" t="inlineStr">
        <is>
          <t>DOROTEA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46277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45996</v>
      </c>
      <c r="E232" s="1" t="n">
        <v>46277</v>
      </c>
      <c r="F232" t="inlineStr">
        <is>
          <t>VÄSTERBOTTENS LÄN</t>
        </is>
      </c>
      <c r="G232" t="inlineStr">
        <is>
          <t>DOROTEA</t>
        </is>
      </c>
      <c r="I232" t="n">
        <v>23.9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19298-2026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46133</v>
      </c>
      <c r="E233" s="1" t="n">
        <v>46277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19446-2026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46277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46136</v>
      </c>
      <c r="E235" s="1" t="n">
        <v>46277</v>
      </c>
      <c r="F235" t="inlineStr">
        <is>
          <t>VÄSTERBOTTENS LÄN</t>
        </is>
      </c>
      <c r="G235" t="inlineStr">
        <is>
          <t>DOROTEA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44568</v>
      </c>
      <c r="E236" s="1" t="n">
        <v>46277</v>
      </c>
      <c r="F236" t="inlineStr">
        <is>
          <t>VÄSTERBOTTENS LÄN</t>
        </is>
      </c>
      <c r="G236" t="inlineStr">
        <is>
          <t>DOROTEA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62193-2025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46003</v>
      </c>
      <c r="E237" s="1" t="n">
        <v>46277</v>
      </c>
      <c r="F237" t="inlineStr">
        <is>
          <t>VÄSTERBOTTENS LÄN</t>
        </is>
      </c>
      <c r="G237" t="inlineStr">
        <is>
          <t>DOROTEA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46003</v>
      </c>
      <c r="E238" s="1" t="n">
        <v>46277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37072-2024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45539</v>
      </c>
      <c r="E239" s="1" t="n">
        <v>46277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46277</v>
      </c>
      <c r="F240" t="inlineStr">
        <is>
          <t>VÄSTERBOTTENS LÄN</t>
        </is>
      </c>
      <c r="G240" t="inlineStr">
        <is>
          <t>DOROTEA</t>
        </is>
      </c>
      <c r="I240" t="n">
        <v>16.7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46277</v>
      </c>
      <c r="F241" t="inlineStr">
        <is>
          <t>VÄSTERBOTTENS LÄN</t>
        </is>
      </c>
      <c r="G241" t="inlineStr">
        <is>
          <t>DOROTEA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62423-2025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46277</v>
      </c>
      <c r="F242" t="inlineStr">
        <is>
          <t>VÄSTERBOTTENS LÄN</t>
        </is>
      </c>
      <c r="G242" t="inlineStr">
        <is>
          <t>DOROTEA</t>
        </is>
      </c>
      <c r="I242" t="n">
        <v>13.2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45755</v>
      </c>
      <c r="E243" s="1" t="n">
        <v>46277</v>
      </c>
      <c r="F243" t="inlineStr">
        <is>
          <t>VÄSTERBOTTENS LÄN</t>
        </is>
      </c>
      <c r="G243" t="inlineStr">
        <is>
          <t>DOROTEA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46277</v>
      </c>
      <c r="F244" t="inlineStr">
        <is>
          <t>VÄSTERBOTTENS LÄN</t>
        </is>
      </c>
      <c r="G244" t="inlineStr">
        <is>
          <t>DOROTEA</t>
        </is>
      </c>
      <c r="I244" t="n">
        <v>12.3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46277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9.4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46277</v>
      </c>
      <c r="F246" t="inlineStr">
        <is>
          <t>VÄSTERBOTTENS LÄN</t>
        </is>
      </c>
      <c r="G246" t="inlineStr">
        <is>
          <t>DOROTEA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45757</v>
      </c>
      <c r="E247" s="1" t="n">
        <v>46277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45036</v>
      </c>
      <c r="E248" s="1" t="n">
        <v>46277</v>
      </c>
      <c r="F248" t="inlineStr">
        <is>
          <t>VÄSTERBOTTENS LÄN</t>
        </is>
      </c>
      <c r="G248" t="inlineStr">
        <is>
          <t>DOROTEA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41771-2024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45561</v>
      </c>
      <c r="E249" s="1" t="n">
        <v>46277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55919-2023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45239</v>
      </c>
      <c r="E250" s="1" t="n">
        <v>46277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34503-2025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45846</v>
      </c>
      <c r="E251" s="1" t="n">
        <v>46277</v>
      </c>
      <c r="F251" t="inlineStr">
        <is>
          <t>VÄSTERBOTTENS LÄN</t>
        </is>
      </c>
      <c r="G251" t="inlineStr">
        <is>
          <t>DOROTEA</t>
        </is>
      </c>
      <c r="I251" t="n">
        <v>14.7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45069</v>
      </c>
      <c r="E252" s="1" t="n">
        <v>46277</v>
      </c>
      <c r="F252" t="inlineStr">
        <is>
          <t>VÄSTERBOTTENS LÄN</t>
        </is>
      </c>
      <c r="G252" t="inlineStr">
        <is>
          <t>DOROTEA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46277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45855</v>
      </c>
      <c r="E254" s="1" t="n">
        <v>46277</v>
      </c>
      <c r="F254" t="inlineStr">
        <is>
          <t>VÄSTERBOTTENS LÄN</t>
        </is>
      </c>
      <c r="G254" t="inlineStr">
        <is>
          <t>DOROTEA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63745-2025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46017</v>
      </c>
      <c r="E255" s="1" t="n">
        <v>46277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8.699999999999999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46277</v>
      </c>
      <c r="F256" t="inlineStr">
        <is>
          <t>VÄSTERBOTTENS LÄN</t>
        </is>
      </c>
      <c r="G256" t="inlineStr">
        <is>
          <t>DOROTEA</t>
        </is>
      </c>
      <c r="I256" t="n">
        <v>11.1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36096-2025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45866</v>
      </c>
      <c r="E257" s="1" t="n">
        <v>46277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46277</v>
      </c>
      <c r="F258" t="inlineStr">
        <is>
          <t>VÄSTERBOTTENS LÄN</t>
        </is>
      </c>
      <c r="G258" t="inlineStr">
        <is>
          <t>DOROTEA</t>
        </is>
      </c>
      <c r="I258" t="n">
        <v>18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45295</v>
      </c>
      <c r="E259" s="1" t="n">
        <v>46277</v>
      </c>
      <c r="F259" t="inlineStr">
        <is>
          <t>VÄSTERBOTTENS LÄN</t>
        </is>
      </c>
      <c r="G259" t="inlineStr">
        <is>
          <t>DOROTEA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46036</v>
      </c>
      <c r="E260" s="1" t="n">
        <v>46277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63294-2025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46277</v>
      </c>
      <c r="F261" t="inlineStr">
        <is>
          <t>VÄSTERBOTTENS LÄN</t>
        </is>
      </c>
      <c r="G261" t="inlineStr">
        <is>
          <t>DOROTEA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57170-2025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46277</v>
      </c>
      <c r="F262" t="inlineStr">
        <is>
          <t>VÄSTERBOTTENS LÄN</t>
        </is>
      </c>
      <c r="G262" t="inlineStr">
        <is>
          <t>DOROTEA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46136</v>
      </c>
      <c r="E263" s="1" t="n">
        <v>46277</v>
      </c>
      <c r="F263" t="inlineStr">
        <is>
          <t>VÄSTERBOTTENS LÄN</t>
        </is>
      </c>
      <c r="G263" t="inlineStr">
        <is>
          <t>DOROTEA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20327-2026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46136</v>
      </c>
      <c r="E264" s="1" t="n">
        <v>46277</v>
      </c>
      <c r="F264" t="inlineStr">
        <is>
          <t>VÄSTERBOTTENS LÄN</t>
        </is>
      </c>
      <c r="G264" t="inlineStr">
        <is>
          <t>DOROTEA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46277</v>
      </c>
      <c r="F265" t="inlineStr">
        <is>
          <t>VÄSTERBOTTENS LÄN</t>
        </is>
      </c>
      <c r="G265" t="inlineStr">
        <is>
          <t>DOROTEA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46277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46042</v>
      </c>
      <c r="E267" s="1" t="n">
        <v>46277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12.9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46277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11.9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9102-2023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44979</v>
      </c>
      <c r="E269" s="1" t="n">
        <v>46277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45614</v>
      </c>
      <c r="E270" s="1" t="n">
        <v>46277</v>
      </c>
      <c r="F270" t="inlineStr">
        <is>
          <t>VÄSTERBOTTENS LÄN</t>
        </is>
      </c>
      <c r="G270" t="inlineStr">
        <is>
          <t>DOROTEA</t>
        </is>
      </c>
      <c r="I270" t="n">
        <v>31.7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46277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46277</v>
      </c>
      <c r="F272" t="inlineStr">
        <is>
          <t>VÄSTERBOTTENS LÄN</t>
        </is>
      </c>
      <c r="G272" t="inlineStr">
        <is>
          <t>DOROTEA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55889-2022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44888</v>
      </c>
      <c r="E273" s="1" t="n">
        <v>46277</v>
      </c>
      <c r="F273" t="inlineStr">
        <is>
          <t>VÄSTERBOTTENS LÄN</t>
        </is>
      </c>
      <c r="G273" t="inlineStr">
        <is>
          <t>DOROTEA</t>
        </is>
      </c>
      <c r="I273" t="n">
        <v>15.8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46277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20333-2026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46277</v>
      </c>
      <c r="F275" t="inlineStr">
        <is>
          <t>VÄSTERBOTTENS LÄN</t>
        </is>
      </c>
      <c r="G275" t="inlineStr">
        <is>
          <t>DOROTEA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63885-2025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46010</v>
      </c>
      <c r="E276" s="1" t="n">
        <v>46277</v>
      </c>
      <c r="F276" t="inlineStr">
        <is>
          <t>VÄSTERBOTTENS LÄN</t>
        </is>
      </c>
      <c r="G276" t="inlineStr">
        <is>
          <t>DOROTEA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46277</v>
      </c>
      <c r="F277" t="inlineStr">
        <is>
          <t>VÄSTERBOTTENS LÄN</t>
        </is>
      </c>
      <c r="G277" t="inlineStr">
        <is>
          <t>DOROTEA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45611</v>
      </c>
      <c r="E278" s="1" t="n">
        <v>46277</v>
      </c>
      <c r="F278" t="inlineStr">
        <is>
          <t>VÄSTERBOTTENS LÄN</t>
        </is>
      </c>
      <c r="G278" t="inlineStr">
        <is>
          <t>DOROTEA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12773-2026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46091</v>
      </c>
      <c r="E279" s="1" t="n">
        <v>46277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46277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46277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46055</v>
      </c>
      <c r="E282" s="1" t="n">
        <v>46277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46054</v>
      </c>
      <c r="E283" s="1" t="n">
        <v>46277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59329-2025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45988</v>
      </c>
      <c r="E284" s="1" t="n">
        <v>46277</v>
      </c>
      <c r="F284" t="inlineStr">
        <is>
          <t>VÄSTERBOTTENS LÄN</t>
        </is>
      </c>
      <c r="G284" t="inlineStr">
        <is>
          <t>DOROTEA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45036</v>
      </c>
      <c r="E285" s="1" t="n">
        <v>46277</v>
      </c>
      <c r="F285" t="inlineStr">
        <is>
          <t>VÄSTERBOTTENS LÄN</t>
        </is>
      </c>
      <c r="G285" t="inlineStr">
        <is>
          <t>DOROTEA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29645-2023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46277</v>
      </c>
      <c r="F286" t="inlineStr">
        <is>
          <t>VÄSTERBOTTENS LÄN</t>
        </is>
      </c>
      <c r="G286" t="inlineStr">
        <is>
          <t>DOROTEA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45705</v>
      </c>
      <c r="E287" s="1" t="n">
        <v>46277</v>
      </c>
      <c r="F287" t="inlineStr">
        <is>
          <t>VÄSTERBOTTENS LÄN</t>
        </is>
      </c>
      <c r="G287" t="inlineStr">
        <is>
          <t>DOROTEA</t>
        </is>
      </c>
      <c r="I287" t="n">
        <v>13.3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37282-2025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45876</v>
      </c>
      <c r="E288" s="1" t="n">
        <v>46277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8247-2024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45351</v>
      </c>
      <c r="E289" s="1" t="n">
        <v>46277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7713-2026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46059</v>
      </c>
      <c r="E290" s="1" t="n">
        <v>46277</v>
      </c>
      <c r="F290" t="inlineStr">
        <is>
          <t>VÄSTERBOTTENS LÄN</t>
        </is>
      </c>
      <c r="G290" t="inlineStr">
        <is>
          <t>DOROTEA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46059</v>
      </c>
      <c r="E291" s="1" t="n">
        <v>46277</v>
      </c>
      <c r="F291" t="inlineStr">
        <is>
          <t>VÄSTERBOTTENS LÄN</t>
        </is>
      </c>
      <c r="G291" t="inlineStr">
        <is>
          <t>DOROTEA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46277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45556</v>
      </c>
      <c r="E293" s="1" t="n">
        <v>46277</v>
      </c>
      <c r="F293" t="inlineStr">
        <is>
          <t>VÄSTERBOTTENS LÄN</t>
        </is>
      </c>
      <c r="G293" t="inlineStr">
        <is>
          <t>DOROTEA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46136</v>
      </c>
      <c r="E294" s="1" t="n">
        <v>46277</v>
      </c>
      <c r="F294" t="inlineStr">
        <is>
          <t>VÄSTERBOTTENS LÄN</t>
        </is>
      </c>
      <c r="G294" t="inlineStr">
        <is>
          <t>DOROTEA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46139</v>
      </c>
      <c r="E295" s="1" t="n">
        <v>46277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20286-2026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46136</v>
      </c>
      <c r="E296" s="1" t="n">
        <v>46277</v>
      </c>
      <c r="F296" t="inlineStr">
        <is>
          <t>VÄSTERBOTTENS LÄN</t>
        </is>
      </c>
      <c r="G296" t="inlineStr">
        <is>
          <t>DOROTEA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45678</v>
      </c>
      <c r="E297" s="1" t="n">
        <v>46277</v>
      </c>
      <c r="F297" t="inlineStr">
        <is>
          <t>VÄSTERBOTTENS LÄN</t>
        </is>
      </c>
      <c r="G297" t="inlineStr">
        <is>
          <t>DOROTEA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46966-2024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45586</v>
      </c>
      <c r="E298" s="1" t="n">
        <v>46277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Sveaskog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20755-2026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46141</v>
      </c>
      <c r="E299" s="1" t="n">
        <v>46277</v>
      </c>
      <c r="F299" t="inlineStr">
        <is>
          <t>VÄSTERBOTTENS LÄN</t>
        </is>
      </c>
      <c r="G299" t="inlineStr">
        <is>
          <t>DOROTEA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46141</v>
      </c>
      <c r="E300" s="1" t="n">
        <v>46277</v>
      </c>
      <c r="F300" t="inlineStr">
        <is>
          <t>VÄSTERBOTTENS LÄN</t>
        </is>
      </c>
      <c r="G300" t="inlineStr">
        <is>
          <t>DOROTEA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45180</v>
      </c>
      <c r="E301" s="1" t="n">
        <v>46277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27.7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46277</v>
      </c>
      <c r="F302" t="inlineStr">
        <is>
          <t>VÄSTERBOTTENS LÄN</t>
        </is>
      </c>
      <c r="G302" t="inlineStr">
        <is>
          <t>DOROTEA</t>
        </is>
      </c>
      <c r="I302" t="n">
        <v>21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46277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20290-2026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46136</v>
      </c>
      <c r="E304" s="1" t="n">
        <v>46277</v>
      </c>
      <c r="F304" t="inlineStr">
        <is>
          <t>VÄSTERBOTTENS LÄN</t>
        </is>
      </c>
      <c r="G304" t="inlineStr">
        <is>
          <t>DOROTEA</t>
        </is>
      </c>
      <c r="I304" t="n">
        <v>17.8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21199-2026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46277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10649-2025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45721</v>
      </c>
      <c r="E306" s="1" t="n">
        <v>46277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12.2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21152-2026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46277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45331</v>
      </c>
      <c r="E308" s="1" t="n">
        <v>46277</v>
      </c>
      <c r="F308" t="inlineStr">
        <is>
          <t>VÄSTERBOTTENS LÄN</t>
        </is>
      </c>
      <c r="G308" t="inlineStr">
        <is>
          <t>DOROTEA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46147</v>
      </c>
      <c r="E309" s="1" t="n">
        <v>46277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45075</v>
      </c>
      <c r="E310" s="1" t="n">
        <v>46277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46147</v>
      </c>
      <c r="E311" s="1" t="n">
        <v>46277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21749-2026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46149</v>
      </c>
      <c r="E312" s="1" t="n">
        <v>46277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45036</v>
      </c>
      <c r="E313" s="1" t="n">
        <v>46277</v>
      </c>
      <c r="F313" t="inlineStr">
        <is>
          <t>VÄSTERBOTTENS LÄN</t>
        </is>
      </c>
      <c r="G313" t="inlineStr">
        <is>
          <t>DOROTEA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21812-2026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46150</v>
      </c>
      <c r="E314" s="1" t="n">
        <v>46277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46150</v>
      </c>
      <c r="E315" s="1" t="n">
        <v>46277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12.8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46189</v>
      </c>
      <c r="E316" s="1" t="n">
        <v>46277</v>
      </c>
      <c r="F316" t="inlineStr">
        <is>
          <t>VÄSTERBOTTENS LÄN</t>
        </is>
      </c>
      <c r="G316" t="inlineStr">
        <is>
          <t>DOROTEA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27777-2026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46189</v>
      </c>
      <c r="E317" s="1" t="n">
        <v>46277</v>
      </c>
      <c r="F317" t="inlineStr">
        <is>
          <t>VÄSTERBOTTENS LÄN</t>
        </is>
      </c>
      <c r="G317" t="inlineStr">
        <is>
          <t>DOROTEA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27780-2026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46189</v>
      </c>
      <c r="E318" s="1" t="n">
        <v>46277</v>
      </c>
      <c r="F318" t="inlineStr">
        <is>
          <t>VÄSTERBOTTENS LÄN</t>
        </is>
      </c>
      <c r="G318" t="inlineStr">
        <is>
          <t>DOROTEA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35990-2023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45148</v>
      </c>
      <c r="E319" s="1" t="n">
        <v>46277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53357-2024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45614</v>
      </c>
      <c r="E320" s="1" t="n">
        <v>46277</v>
      </c>
      <c r="F320" t="inlineStr">
        <is>
          <t>VÄSTERBOTTENS LÄN</t>
        </is>
      </c>
      <c r="G320" t="inlineStr">
        <is>
          <t>DOROTEA</t>
        </is>
      </c>
      <c r="I320" t="n">
        <v>26.5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22128-2026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46277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55888-2022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44888</v>
      </c>
      <c r="E322" s="1" t="n">
        <v>46277</v>
      </c>
      <c r="F322" t="inlineStr">
        <is>
          <t>VÄSTERBOTTENS LÄN</t>
        </is>
      </c>
      <c r="G322" t="inlineStr">
        <is>
          <t>DOROTEA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22214-2026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46277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44960</v>
      </c>
      <c r="E324" s="1" t="n">
        <v>46277</v>
      </c>
      <c r="F324" t="inlineStr">
        <is>
          <t>VÄSTERBOTTENS LÄN</t>
        </is>
      </c>
      <c r="G324" t="inlineStr">
        <is>
          <t>DOROTEA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45747</v>
      </c>
      <c r="E325" s="1" t="n">
        <v>46277</v>
      </c>
      <c r="F325" t="inlineStr">
        <is>
          <t>VÄSTERBOTTENS LÄN</t>
        </is>
      </c>
      <c r="G325" t="inlineStr">
        <is>
          <t>DOROTEA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22650-2026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46155</v>
      </c>
      <c r="E326" s="1" t="n">
        <v>46277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45672</v>
      </c>
      <c r="E327" s="1" t="n">
        <v>46277</v>
      </c>
      <c r="F327" t="inlineStr">
        <is>
          <t>VÄSTERBOTTENS LÄN</t>
        </is>
      </c>
      <c r="G327" t="inlineStr">
        <is>
          <t>DOROTEA</t>
        </is>
      </c>
      <c r="H327" t="inlineStr">
        <is>
          <t>Kommuner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15735-2026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46107</v>
      </c>
      <c r="E328" s="1" t="n">
        <v>46277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23001-2026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46160</v>
      </c>
      <c r="E329" s="1" t="n">
        <v>46277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45161</v>
      </c>
      <c r="E330" s="1" t="n">
        <v>46277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45729</v>
      </c>
      <c r="E331" s="1" t="n">
        <v>46277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13.5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46277</v>
      </c>
      <c r="F332" t="inlineStr">
        <is>
          <t>VÄSTERBOTTENS LÄN</t>
        </is>
      </c>
      <c r="G332" t="inlineStr">
        <is>
          <t>DOROTEA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31497-2024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45505</v>
      </c>
      <c r="E333" s="1" t="n">
        <v>46277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46277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46162</v>
      </c>
      <c r="E335" s="1" t="n">
        <v>46277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5.8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30461-2024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45491</v>
      </c>
      <c r="E336" s="1" t="n">
        <v>46277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54031-2025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45962</v>
      </c>
      <c r="E337" s="1" t="n">
        <v>46277</v>
      </c>
      <c r="F337" t="inlineStr">
        <is>
          <t>VÄSTERBOTTENS LÄN</t>
        </is>
      </c>
      <c r="G337" t="inlineStr">
        <is>
          <t>DOROTEA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46277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46277</v>
      </c>
      <c r="F339" t="inlineStr">
        <is>
          <t>VÄSTERBOTTENS LÄN</t>
        </is>
      </c>
      <c r="G339" t="inlineStr">
        <is>
          <t>DOROTEA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50582-2024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45600</v>
      </c>
      <c r="E340" s="1" t="n">
        <v>46277</v>
      </c>
      <c r="F340" t="inlineStr">
        <is>
          <t>VÄSTERBOTTENS LÄN</t>
        </is>
      </c>
      <c r="G340" t="inlineStr">
        <is>
          <t>DOROTEA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25373-2026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46277</v>
      </c>
      <c r="F341" t="inlineStr">
        <is>
          <t>VÄSTERBOTTENS LÄN</t>
        </is>
      </c>
      <c r="G341" t="inlineStr">
        <is>
          <t>DOROTEA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27558-2022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44742</v>
      </c>
      <c r="E342" s="1" t="n">
        <v>46277</v>
      </c>
      <c r="F342" t="inlineStr">
        <is>
          <t>VÄSTERBOTTENS LÄN</t>
        </is>
      </c>
      <c r="G342" t="inlineStr">
        <is>
          <t>DOROTEA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52148-2023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45223</v>
      </c>
      <c r="E343" s="1" t="n">
        <v>46277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9103-2023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44979</v>
      </c>
      <c r="E344" s="1" t="n">
        <v>46277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25361-2026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46176</v>
      </c>
      <c r="E345" s="1" t="n">
        <v>46277</v>
      </c>
      <c r="F345" t="inlineStr">
        <is>
          <t>VÄSTERBOTTENS LÄN</t>
        </is>
      </c>
      <c r="G345" t="inlineStr">
        <is>
          <t>DOROTEA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24839-2026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46174</v>
      </c>
      <c r="E346" s="1" t="n">
        <v>46277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24852-2026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46277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45169</v>
      </c>
      <c r="E348" s="1" t="n">
        <v>46277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46099</v>
      </c>
      <c r="E349" s="1" t="n">
        <v>46277</v>
      </c>
      <c r="F349" t="inlineStr">
        <is>
          <t>VÄSTERBOTTENS LÄN</t>
        </is>
      </c>
      <c r="G349" t="inlineStr">
        <is>
          <t>DOROTEA</t>
        </is>
      </c>
      <c r="I349" t="n">
        <v>26.2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26124-2026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46181</v>
      </c>
      <c r="E350" s="1" t="n">
        <v>46277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25682-2026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46178</v>
      </c>
      <c r="E351" s="1" t="n">
        <v>46277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13364-2025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45735</v>
      </c>
      <c r="E352" s="1" t="n">
        <v>46277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26237-2026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46277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19726-2025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45771</v>
      </c>
      <c r="E354" s="1" t="n">
        <v>46277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46277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28717-2022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44748</v>
      </c>
      <c r="E356" s="1" t="n">
        <v>46277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47494-2023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45202</v>
      </c>
      <c r="E357" s="1" t="n">
        <v>46277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46185</v>
      </c>
      <c r="E358" s="1" t="n">
        <v>46277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7.4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44974</v>
      </c>
      <c r="E359" s="1" t="n">
        <v>46277</v>
      </c>
      <c r="F359" t="inlineStr">
        <is>
          <t>VÄSTERBOTTENS LÄN</t>
        </is>
      </c>
      <c r="G359" t="inlineStr">
        <is>
          <t>DOROTEA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27738-2026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46191</v>
      </c>
      <c r="E360" s="1" t="n">
        <v>46277</v>
      </c>
      <c r="F360" t="inlineStr">
        <is>
          <t>VÄSTERBOTTENS LÄN</t>
        </is>
      </c>
      <c r="G360" t="inlineStr">
        <is>
          <t>DOROTEA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57794-2023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45246</v>
      </c>
      <c r="E361" s="1" t="n">
        <v>46277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28176-2026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46195</v>
      </c>
      <c r="E362" s="1" t="n">
        <v>46277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28180-2026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46195</v>
      </c>
      <c r="E363" s="1" t="n">
        <v>46277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56807-2021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44481</v>
      </c>
      <c r="E364" s="1" t="n">
        <v>46277</v>
      </c>
      <c r="F364" t="inlineStr">
        <is>
          <t>VÄSTERBOTTENS LÄN</t>
        </is>
      </c>
      <c r="G364" t="inlineStr">
        <is>
          <t>DOROTEA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60169-2024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45642</v>
      </c>
      <c r="E365" s="1" t="n">
        <v>46277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14163-2024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45392</v>
      </c>
      <c r="E366" s="1" t="n">
        <v>46277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28360-2026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46196</v>
      </c>
      <c r="E367" s="1" t="n">
        <v>46277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49.5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38700-2024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45547</v>
      </c>
      <c r="E368" s="1" t="n">
        <v>46277</v>
      </c>
      <c r="F368" t="inlineStr">
        <is>
          <t>VÄSTERBOTTENS LÄN</t>
        </is>
      </c>
      <c r="G368" t="inlineStr">
        <is>
          <t>DOROTEA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46277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7.3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28741-2026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46277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46817-2022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44848</v>
      </c>
      <c r="E371" s="1" t="n">
        <v>46277</v>
      </c>
      <c r="F371" t="inlineStr">
        <is>
          <t>VÄSTERBOTTENS LÄN</t>
        </is>
      </c>
      <c r="G371" t="inlineStr">
        <is>
          <t>DOROTEA</t>
        </is>
      </c>
      <c r="I371" t="n">
        <v>29.8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28783-2026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46277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42473-2024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45565</v>
      </c>
      <c r="E373" s="1" t="n">
        <v>46277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46965-2024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45586</v>
      </c>
      <c r="E374" s="1" t="n">
        <v>46277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Sveaskog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10360-2023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44980</v>
      </c>
      <c r="E375" s="1" t="n">
        <v>46277</v>
      </c>
      <c r="F375" t="inlineStr">
        <is>
          <t>VÄSTERBOTTENS LÄN</t>
        </is>
      </c>
      <c r="G375" t="inlineStr">
        <is>
          <t>DOROTEA</t>
        </is>
      </c>
      <c r="I375" t="n">
        <v>18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46204</v>
      </c>
      <c r="E376" s="1" t="n">
        <v>46277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46248</v>
      </c>
      <c r="E377" s="1" t="n">
        <v>46277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33364-2026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46247</v>
      </c>
      <c r="E378" s="1" t="n">
        <v>46277</v>
      </c>
      <c r="F378" t="inlineStr">
        <is>
          <t>VÄSTERBOTTENS LÄN</t>
        </is>
      </c>
      <c r="G378" t="inlineStr">
        <is>
          <t>DOROTEA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45562</v>
      </c>
      <c r="E379" s="1" t="n">
        <v>46277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46277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27477-2023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45097</v>
      </c>
      <c r="E381" s="1" t="n">
        <v>46277</v>
      </c>
      <c r="F381" t="inlineStr">
        <is>
          <t>VÄSTERBOTTENS LÄN</t>
        </is>
      </c>
      <c r="G381" t="inlineStr">
        <is>
          <t>DOROTEA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44942</v>
      </c>
      <c r="E382" s="1" t="n">
        <v>46277</v>
      </c>
      <c r="F382" t="inlineStr">
        <is>
          <t>VÄSTERBOTTENS LÄN</t>
        </is>
      </c>
      <c r="G382" t="inlineStr">
        <is>
          <t>DOROTEA</t>
        </is>
      </c>
      <c r="I382" t="n">
        <v>22.7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46209</v>
      </c>
      <c r="E383" s="1" t="n">
        <v>46277</v>
      </c>
      <c r="F383" t="inlineStr">
        <is>
          <t>VÄSTERBOTTENS LÄN</t>
        </is>
      </c>
      <c r="G383" t="inlineStr">
        <is>
          <t>DOROTEA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30190-2026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46277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7.8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46277</v>
      </c>
      <c r="F385" t="inlineStr">
        <is>
          <t>VÄSTERBOTTENS LÄN</t>
        </is>
      </c>
      <c r="G385" t="inlineStr">
        <is>
          <t>DOROTEA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46277</v>
      </c>
      <c r="F386" t="inlineStr">
        <is>
          <t>VÄSTERBOTTENS LÄN</t>
        </is>
      </c>
      <c r="G386" t="inlineStr">
        <is>
          <t>DOROTEA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46211</v>
      </c>
      <c r="E387" s="1" t="n">
        <v>46277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30645-2026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46211</v>
      </c>
      <c r="E388" s="1" t="n">
        <v>46277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34186-2026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46253</v>
      </c>
      <c r="E389" s="1" t="n">
        <v>46277</v>
      </c>
      <c r="F389" t="inlineStr">
        <is>
          <t>VÄSTERBOTTENS LÄN</t>
        </is>
      </c>
      <c r="G389" t="inlineStr">
        <is>
          <t>DOROTEA</t>
        </is>
      </c>
      <c r="I389" t="n">
        <v>13.6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59653-2024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45639</v>
      </c>
      <c r="E390" s="1" t="n">
        <v>46277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34187-2026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46253</v>
      </c>
      <c r="E391" s="1" t="n">
        <v>46277</v>
      </c>
      <c r="F391" t="inlineStr">
        <is>
          <t>VÄSTERBOTTENS LÄN</t>
        </is>
      </c>
      <c r="G391" t="inlineStr">
        <is>
          <t>DOROTEA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34149-2026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46277</v>
      </c>
      <c r="F392" t="inlineStr">
        <is>
          <t>VÄSTERBOTTENS LÄN</t>
        </is>
      </c>
      <c r="G392" t="inlineStr">
        <is>
          <t>DOROTEA</t>
        </is>
      </c>
      <c r="I392" t="n">
        <v>11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17783-2023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45036</v>
      </c>
      <c r="E393" s="1" t="n">
        <v>46277</v>
      </c>
      <c r="F393" t="inlineStr">
        <is>
          <t>VÄSTERBOTTENS LÄN</t>
        </is>
      </c>
      <c r="G393" t="inlineStr">
        <is>
          <t>DOROTEA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22944-2024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45448</v>
      </c>
      <c r="E394" s="1" t="n">
        <v>46277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45356</v>
      </c>
      <c r="E395" s="1" t="n">
        <v>46277</v>
      </c>
      <c r="F395" t="inlineStr">
        <is>
          <t>VÄSTERBOTTENS LÄN</t>
        </is>
      </c>
      <c r="G395" t="inlineStr">
        <is>
          <t>DOROTEA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46212</v>
      </c>
      <c r="E396" s="1" t="n">
        <v>46277</v>
      </c>
      <c r="F396" t="inlineStr">
        <is>
          <t>VÄSTERBOTTENS LÄN</t>
        </is>
      </c>
      <c r="G396" t="inlineStr">
        <is>
          <t>DOROTEA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45770</v>
      </c>
      <c r="E397" s="1" t="n">
        <v>46277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8246-2024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45351</v>
      </c>
      <c r="E398" s="1" t="n">
        <v>46277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30821-2026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46212</v>
      </c>
      <c r="E399" s="1" t="n">
        <v>46277</v>
      </c>
      <c r="F399" t="inlineStr">
        <is>
          <t>VÄSTERBOTTENS LÄN</t>
        </is>
      </c>
      <c r="G399" t="inlineStr">
        <is>
          <t>DOROTEA</t>
        </is>
      </c>
      <c r="I399" t="n">
        <v>8.4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46212</v>
      </c>
      <c r="E400" s="1" t="n">
        <v>46277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31016-2026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46213</v>
      </c>
      <c r="E401" s="1" t="n">
        <v>46277</v>
      </c>
      <c r="F401" t="inlineStr">
        <is>
          <t>VÄSTERBOTTENS LÄN</t>
        </is>
      </c>
      <c r="G401" t="inlineStr">
        <is>
          <t>DOROTEA</t>
        </is>
      </c>
      <c r="I401" t="n">
        <v>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46254</v>
      </c>
      <c r="E402" s="1" t="n">
        <v>46277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46213</v>
      </c>
      <c r="E403" s="1" t="n">
        <v>46277</v>
      </c>
      <c r="F403" t="inlineStr">
        <is>
          <t>VÄSTERBOTTENS LÄN</t>
        </is>
      </c>
      <c r="G403" t="inlineStr">
        <is>
          <t>DOROTEA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46217</v>
      </c>
      <c r="E404" s="1" t="n">
        <v>46277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15.6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59395-2023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45253</v>
      </c>
      <c r="E405" s="1" t="n">
        <v>46277</v>
      </c>
      <c r="F405" t="inlineStr">
        <is>
          <t>VÄSTERBOTTENS LÄN</t>
        </is>
      </c>
      <c r="G405" t="inlineStr">
        <is>
          <t>DOROTEA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59397-2023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45253</v>
      </c>
      <c r="E406" s="1" t="n">
        <v>46277</v>
      </c>
      <c r="F406" t="inlineStr">
        <is>
          <t>VÄSTERBOTTENS LÄN</t>
        </is>
      </c>
      <c r="G406" t="inlineStr">
        <is>
          <t>DOROTEA</t>
        </is>
      </c>
      <c r="I406" t="n">
        <v>8.5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20759-2023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45055</v>
      </c>
      <c r="E407" s="1" t="n">
        <v>46277</v>
      </c>
      <c r="F407" t="inlineStr">
        <is>
          <t>VÄSTERBOTTENS LÄN</t>
        </is>
      </c>
      <c r="G407" t="inlineStr">
        <is>
          <t>DOROTEA</t>
        </is>
      </c>
      <c r="H407" t="inlineStr">
        <is>
          <t>Övriga statliga verk och myndigheter</t>
        </is>
      </c>
      <c r="I407" t="n">
        <v>13.9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67686-2021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44524</v>
      </c>
      <c r="E408" s="1" t="n">
        <v>46277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31179-2026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46217</v>
      </c>
      <c r="E409" s="1" t="n">
        <v>46277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32821-2024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45516</v>
      </c>
      <c r="E410" s="1" t="n">
        <v>46277</v>
      </c>
      <c r="F410" t="inlineStr">
        <is>
          <t>VÄSTERBOTTENS LÄN</t>
        </is>
      </c>
      <c r="G410" t="inlineStr">
        <is>
          <t>DOROTEA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57376-2022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44889</v>
      </c>
      <c r="E411" s="1" t="n">
        <v>46277</v>
      </c>
      <c r="F411" t="inlineStr">
        <is>
          <t>VÄSTERBOTTENS LÄN</t>
        </is>
      </c>
      <c r="G411" t="inlineStr">
        <is>
          <t>DOROTEA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31259-2026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46218</v>
      </c>
      <c r="E412" s="1" t="n">
        <v>46277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31302-2026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46218</v>
      </c>
      <c r="E413" s="1" t="n">
        <v>46277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35335-2026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46261</v>
      </c>
      <c r="E414" s="1" t="n">
        <v>46277</v>
      </c>
      <c r="F414" t="inlineStr">
        <is>
          <t>VÄSTERBOTTENS LÄN</t>
        </is>
      </c>
      <c r="G414" t="inlineStr">
        <is>
          <t>DOROTEA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35353-2026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46261</v>
      </c>
      <c r="E415" s="1" t="n">
        <v>46277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35337-2026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46261</v>
      </c>
      <c r="E416" s="1" t="n">
        <v>46277</v>
      </c>
      <c r="F416" t="inlineStr">
        <is>
          <t>VÄSTERBOTTENS LÄN</t>
        </is>
      </c>
      <c r="G416" t="inlineStr">
        <is>
          <t>DOROTEA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46261</v>
      </c>
      <c r="E417" s="1" t="n">
        <v>46277</v>
      </c>
      <c r="F417" t="inlineStr">
        <is>
          <t>VÄSTERBOTTENS LÄN</t>
        </is>
      </c>
      <c r="G417" t="inlineStr">
        <is>
          <t>DOROTEA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35296-2026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46261</v>
      </c>
      <c r="E418" s="1" t="n">
        <v>46277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45125</v>
      </c>
      <c r="E419" s="1" t="n">
        <v>46277</v>
      </c>
      <c r="F419" t="inlineStr">
        <is>
          <t>VÄSTERBOTTENS LÄN</t>
        </is>
      </c>
      <c r="G419" t="inlineStr">
        <is>
          <t>DOROTEA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35000-2023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45142</v>
      </c>
      <c r="E420" s="1" t="n">
        <v>46277</v>
      </c>
      <c r="F420" t="inlineStr">
        <is>
          <t>VÄSTERBOTTENS LÄN</t>
        </is>
      </c>
      <c r="G420" t="inlineStr">
        <is>
          <t>DOROTEA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46262</v>
      </c>
      <c r="E421" s="1" t="n">
        <v>46277</v>
      </c>
      <c r="F421" t="inlineStr">
        <is>
          <t>VÄSTERBOTTENS LÄN</t>
        </is>
      </c>
      <c r="G421" t="inlineStr">
        <is>
          <t>DOROTEA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31260-2026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46218</v>
      </c>
      <c r="E422" s="1" t="n">
        <v>46277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31439-2026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46220</v>
      </c>
      <c r="E423" s="1" t="n">
        <v>46277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10.1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52276-2023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45217</v>
      </c>
      <c r="E424" s="1" t="n">
        <v>46277</v>
      </c>
      <c r="F424" t="inlineStr">
        <is>
          <t>VÄSTERBOTTENS LÄN</t>
        </is>
      </c>
      <c r="G424" t="inlineStr">
        <is>
          <t>DOROTEA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53795-2022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44876</v>
      </c>
      <c r="E425" s="1" t="n">
        <v>46277</v>
      </c>
      <c r="F425" t="inlineStr">
        <is>
          <t>VÄSTERBOTTENS LÄN</t>
        </is>
      </c>
      <c r="G425" t="inlineStr">
        <is>
          <t>DOROTEA</t>
        </is>
      </c>
      <c r="I425" t="n">
        <v>12.3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45735</v>
      </c>
      <c r="E426" s="1" t="n">
        <v>46277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46224</v>
      </c>
      <c r="E427" s="1" t="n">
        <v>46277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46268</v>
      </c>
      <c r="E428" s="1" t="n">
        <v>46277</v>
      </c>
      <c r="F428" t="inlineStr">
        <is>
          <t>VÄSTERBOTTENS LÄN</t>
        </is>
      </c>
      <c r="G428" t="inlineStr">
        <is>
          <t>DOROTEA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31573-2026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46224</v>
      </c>
      <c r="E429" s="1" t="n">
        <v>46277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31574-2026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46224</v>
      </c>
      <c r="E430" s="1" t="n">
        <v>46277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45223</v>
      </c>
      <c r="E431" s="1" t="n">
        <v>46277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22450-2024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45446</v>
      </c>
      <c r="E432" s="1" t="n">
        <v>46277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60153-2024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45642</v>
      </c>
      <c r="E433" s="1" t="n">
        <v>46277</v>
      </c>
      <c r="F433" t="inlineStr">
        <is>
          <t>VÄSTERBOTTENS LÄN</t>
        </is>
      </c>
      <c r="G433" t="inlineStr">
        <is>
          <t>DOROTEA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9030-2025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45713</v>
      </c>
      <c r="E434" s="1" t="n">
        <v>46277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60015-2023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45257</v>
      </c>
      <c r="E435" s="1" t="n">
        <v>46277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3017-2024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45315</v>
      </c>
      <c r="E436" s="1" t="n">
        <v>46277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10402-2025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45720</v>
      </c>
      <c r="E437" s="1" t="n">
        <v>46277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45253</v>
      </c>
      <c r="E438" s="1" t="n">
        <v>46277</v>
      </c>
      <c r="F438" t="inlineStr">
        <is>
          <t>VÄSTERBOTTENS LÄN</t>
        </is>
      </c>
      <c r="G438" t="inlineStr">
        <is>
          <t>DOROTEA</t>
        </is>
      </c>
      <c r="I438" t="n">
        <v>28.8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27305-2024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45471</v>
      </c>
      <c r="E439" s="1" t="n">
        <v>46277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28549-2023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45103</v>
      </c>
      <c r="E440" s="1" t="n">
        <v>46277</v>
      </c>
      <c r="F440" t="inlineStr">
        <is>
          <t>VÄSTERBOTTENS LÄN</t>
        </is>
      </c>
      <c r="G440" t="inlineStr">
        <is>
          <t>DOROTEA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43944-2024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45572</v>
      </c>
      <c r="E441" s="1" t="n">
        <v>46277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45478</v>
      </c>
      <c r="E442" s="1" t="n">
        <v>46277</v>
      </c>
      <c r="F442" t="inlineStr">
        <is>
          <t>VÄSTERBOTTENS LÄN</t>
        </is>
      </c>
      <c r="G442" t="inlineStr">
        <is>
          <t>DOROTEA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53382-2024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45614</v>
      </c>
      <c r="E443" s="1" t="n">
        <v>46277</v>
      </c>
      <c r="F443" t="inlineStr">
        <is>
          <t>VÄSTERBOTTENS LÄN</t>
        </is>
      </c>
      <c r="G443" t="inlineStr">
        <is>
          <t>DOROTEA</t>
        </is>
      </c>
      <c r="I443" t="n">
        <v>11.2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42104-2024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45562</v>
      </c>
      <c r="E444" s="1" t="n">
        <v>46277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45789</v>
      </c>
      <c r="E445" s="1" t="n">
        <v>46277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19889-2025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45771</v>
      </c>
      <c r="E446" s="1" t="n">
        <v>46277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23457-2025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45792</v>
      </c>
      <c r="E447" s="1" t="n">
        <v>46277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45485</v>
      </c>
      <c r="E448" s="1" t="n">
        <v>46277</v>
      </c>
      <c r="F448" t="inlineStr">
        <is>
          <t>VÄSTERBOTTENS LÄN</t>
        </is>
      </c>
      <c r="G448" t="inlineStr">
        <is>
          <t>DOROTEA</t>
        </is>
      </c>
      <c r="I448" t="n">
        <v>10.2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13451-2022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44645</v>
      </c>
      <c r="E449" s="1" t="n">
        <v>46277</v>
      </c>
      <c r="F449" t="inlineStr">
        <is>
          <t>VÄSTERBOTTENS LÄN</t>
        </is>
      </c>
      <c r="G449" t="inlineStr">
        <is>
          <t>DOROTEA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34820-2023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45140</v>
      </c>
      <c r="E450" s="1" t="n">
        <v>46277</v>
      </c>
      <c r="F450" t="inlineStr">
        <is>
          <t>VÄSTERBOTTENS LÄN</t>
        </is>
      </c>
      <c r="G450" t="inlineStr">
        <is>
          <t>DOROTEA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39470-2024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45551</v>
      </c>
      <c r="E451" s="1" t="n">
        <v>46277</v>
      </c>
      <c r="F451" t="inlineStr">
        <is>
          <t>VÄSTERBOTTENS LÄN</t>
        </is>
      </c>
      <c r="G451" t="inlineStr">
        <is>
          <t>DOROTEA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33113-2024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45517</v>
      </c>
      <c r="E452" s="1" t="n">
        <v>46277</v>
      </c>
      <c r="F452" t="inlineStr">
        <is>
          <t>VÄSTERBOTTENS LÄN</t>
        </is>
      </c>
      <c r="G452" t="inlineStr">
        <is>
          <t>DOROTEA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45614</v>
      </c>
      <c r="E453" s="1" t="n">
        <v>46277</v>
      </c>
      <c r="F453" t="inlineStr">
        <is>
          <t>VÄSTERBOTTENS LÄN</t>
        </is>
      </c>
      <c r="G453" t="inlineStr">
        <is>
          <t>DOROTEA</t>
        </is>
      </c>
      <c r="I453" t="n">
        <v>12.8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45800</v>
      </c>
      <c r="E454" s="1" t="n">
        <v>46277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25606-2025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45803</v>
      </c>
      <c r="E455" s="1" t="n">
        <v>46277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26315-2025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45805</v>
      </c>
      <c r="E456" s="1" t="n">
        <v>46277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26481-2025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45807</v>
      </c>
      <c r="E457" s="1" t="n">
        <v>46277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26480-2025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45807</v>
      </c>
      <c r="E458" s="1" t="n">
        <v>46277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797-2025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45664</v>
      </c>
      <c r="E459" s="1" t="n">
        <v>46277</v>
      </c>
      <c r="F459" t="inlineStr">
        <is>
          <t>VÄSTERBOTTENS LÄN</t>
        </is>
      </c>
      <c r="G459" t="inlineStr">
        <is>
          <t>DOROTEA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14759-2025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45742</v>
      </c>
      <c r="E460" s="1" t="n">
        <v>46277</v>
      </c>
      <c r="F460" t="inlineStr">
        <is>
          <t>VÄSTERBOTTENS LÄN</t>
        </is>
      </c>
      <c r="G460" t="inlineStr">
        <is>
          <t>DOROTEA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26904-2025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46277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28002-2025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45817</v>
      </c>
      <c r="E462" s="1" t="n">
        <v>46277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2945-2024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45506</v>
      </c>
      <c r="E463" s="1" t="n">
        <v>46277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1058-2025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45749</v>
      </c>
      <c r="E464" s="1" t="n">
        <v>46277</v>
      </c>
      <c r="F464" t="inlineStr">
        <is>
          <t>VÄSTERBOTTENS LÄN</t>
        </is>
      </c>
      <c r="G464" t="inlineStr">
        <is>
          <t>DOROTEA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844-2025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45733</v>
      </c>
      <c r="E465" s="1" t="n">
        <v>46277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1293.5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2195-2025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45858</v>
      </c>
      <c r="E466" s="1" t="n">
        <v>46277</v>
      </c>
      <c r="F466" t="inlineStr">
        <is>
          <t>VÄSTERBOTTENS LÄN</t>
        </is>
      </c>
      <c r="G466" t="inlineStr">
        <is>
          <t>DOROTEA</t>
        </is>
      </c>
      <c r="I466" t="n">
        <v>27.4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2283-2025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45876</v>
      </c>
      <c r="E467" s="1" t="n">
        <v>46277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2360-2025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45889</v>
      </c>
      <c r="E468" s="1" t="n">
        <v>46277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1763-2026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46189</v>
      </c>
      <c r="E469" s="1" t="n">
        <v>46277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2026-09-12T02:13:41Z</dcterms:created>
  <dcterms:modified xmlns:dcterms="http://purl.org/dc/terms/" xmlns:xsi="http://www.w3.org/2001/XMLSchema-instance" xsi:type="dcterms:W3CDTF">2026-09-12T02:13:41Z</dcterms:modified>
</cp:coreProperties>
</file>