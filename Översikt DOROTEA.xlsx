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46259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46259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46259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17180-2024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45412</v>
      </c>
      <c r="E5" s="1" t="n">
        <v>46259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5.6</v>
      </c>
      <c r="J5" t="n">
        <v>4</v>
      </c>
      <c r="K5" t="n">
        <v>5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14</v>
      </c>
      <c r="T5" t="n">
        <v>29</v>
      </c>
      <c r="U5" t="n">
        <v>29</v>
      </c>
      <c r="V5" s="2" t="inlineStr">
        <is>
          <t>Garnlav
Knärot
Harticka
Liten svartspik
Lunglav
Skrovellav
Ullticka
Vitgrynig nållav
Guckusko
Kransrams
Luddlav
Spindelblomster
Stor aspticka
Fläcknycklar</t>
        </is>
      </c>
      <c r="W5">
        <f>HYPERLINK("https://klasma.github.io/Logging_2425/artfynd/A 17180-2024 artfynd.xlsx", "A 17180-2024")</f>
        <v/>
      </c>
      <c r="X5">
        <f>HYPERLINK("https://klasma.github.io/Logging_2425/kartor/A 17180-2024 karta.png", "A 17180-2024")</f>
        <v/>
      </c>
      <c r="Y5">
        <f>HYPERLINK("https://klasma.github.io/Logging_2425/kartor_geotiff/A 17180-2024 georefererad karta.tif", "A 17180-2024")</f>
        <v/>
      </c>
      <c r="Z5">
        <f>HYPERLINK("https://klasma.github.io/Logging_2425/knärot/A 17180-2024 karta knärot.png", "A 17180-2024")</f>
        <v/>
      </c>
      <c r="AA5">
        <f>HYPERLINK("https://klasma.github.io/Logging_2425/klagomål/A 17180-2024 FSC-klagomål.docx", "A 17180-2024")</f>
        <v/>
      </c>
      <c r="AB5">
        <f>HYPERLINK("https://klasma.github.io/Logging_2425/klagomålsmail/A 17180-2024 FSC-klagomål mail.docx", "A 17180-2024")</f>
        <v/>
      </c>
      <c r="AC5">
        <f>HYPERLINK("https://klasma.github.io/Logging_2425/tillsyn/A 17180-2024 tillsynsbegäran.docx", "A 17180-2024")</f>
        <v/>
      </c>
      <c r="AD5">
        <f>HYPERLINK("https://klasma.github.io/Logging_2425/tillsynsmail/A 17180-2024 tillsynsbegäran mail.docx", "A 17180-2024")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46259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57581-2024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45630</v>
      </c>
      <c r="E7" s="1" t="n">
        <v>46259</v>
      </c>
      <c r="F7" t="inlineStr">
        <is>
          <t>VÄSTERBOTTENS LÄN</t>
        </is>
      </c>
      <c r="G7" t="inlineStr">
        <is>
          <t>DOROTEA</t>
        </is>
      </c>
      <c r="I7" t="n">
        <v>9.1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40</v>
      </c>
      <c r="U7" t="n">
        <v>40</v>
      </c>
      <c r="V7" s="2" t="inlineStr">
        <is>
          <t>Garnlav
Lunglav
Skrovellav
Talltagel
Talltita
Tretåig hackspett
Bårdlav
Luddlav
Norrlandslav
Skinnlav
Spillkråka
Fiskgjuse</t>
        </is>
      </c>
      <c r="W7">
        <f>HYPERLINK("https://klasma.github.io/Logging_2425/artfynd/A 57581-2024 artfynd.xlsx", "A 57581-2024")</f>
        <v/>
      </c>
      <c r="X7">
        <f>HYPERLINK("https://klasma.github.io/Logging_2425/kartor/A 57581-2024 karta.png", "A 57581-2024")</f>
        <v/>
      </c>
      <c r="Y7">
        <f>HYPERLINK("https://klasma.github.io/Logging_2425/kartor_geotiff/A 57581-2024 georefererad karta.tif", "A 57581-2024")</f>
        <v/>
      </c>
      <c r="AA7">
        <f>HYPERLINK("https://klasma.github.io/Logging_2425/klagomål/A 57581-2024 FSC-klagomål.docx", "A 57581-2024")</f>
        <v/>
      </c>
      <c r="AB7">
        <f>HYPERLINK("https://klasma.github.io/Logging_2425/klagomålsmail/A 57581-2024 FSC-klagomål mail.docx", "A 57581-2024")</f>
        <v/>
      </c>
      <c r="AC7">
        <f>HYPERLINK("https://klasma.github.io/Logging_2425/tillsyn/A 57581-2024 tillsynsbegäran.docx", "A 57581-2024")</f>
        <v/>
      </c>
      <c r="AD7">
        <f>HYPERLINK("https://klasma.github.io/Logging_2425/tillsynsmail/A 57581-2024 tillsynsbegäran mail.docx", "A 57581-2024")</f>
        <v/>
      </c>
      <c r="AE7">
        <f>HYPERLINK("https://klasma.github.io/Logging_2425/fåglar/A 57581-2024 prioriterade fågelarter.docx", "A 57581-2024")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46259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53274-2024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45614</v>
      </c>
      <c r="E9" s="1" t="n">
        <v>46259</v>
      </c>
      <c r="F9" t="inlineStr">
        <is>
          <t>VÄSTERBOTTENS LÄN</t>
        </is>
      </c>
      <c r="G9" t="inlineStr">
        <is>
          <t>DOROTEA</t>
        </is>
      </c>
      <c r="I9" t="n">
        <v>15</v>
      </c>
      <c r="J9" t="n">
        <v>3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8</v>
      </c>
      <c r="T9" t="n">
        <v>26</v>
      </c>
      <c r="U9" t="n">
        <v>26</v>
      </c>
      <c r="V9" s="2" t="inlineStr">
        <is>
          <t>Garnlav
Harticka
Kolflarnlav
Mörk kolflarnlav
Talltita
Tretåig hackspett
Luddlav
Spillkråka</t>
        </is>
      </c>
      <c r="W9">
        <f>HYPERLINK("https://klasma.github.io/Logging_2425/artfynd/A 53274-2024 artfynd.xlsx", "A 53274-2024")</f>
        <v/>
      </c>
      <c r="X9">
        <f>HYPERLINK("https://klasma.github.io/Logging_2425/kartor/A 53274-2024 karta.png", "A 53274-2024")</f>
        <v/>
      </c>
      <c r="Y9">
        <f>HYPERLINK("https://klasma.github.io/Logging_2425/kartor_geotiff/A 53274-2024 georefererad karta.tif", "A 53274-2024")</f>
        <v/>
      </c>
      <c r="AA9">
        <f>HYPERLINK("https://klasma.github.io/Logging_2425/klagomål/A 53274-2024 FSC-klagomål.docx", "A 53274-2024")</f>
        <v/>
      </c>
      <c r="AB9">
        <f>HYPERLINK("https://klasma.github.io/Logging_2425/klagomålsmail/A 53274-2024 FSC-klagomål mail.docx", "A 53274-2024")</f>
        <v/>
      </c>
      <c r="AC9">
        <f>HYPERLINK("https://klasma.github.io/Logging_2425/tillsyn/A 53274-2024 tillsynsbegäran.docx", "A 53274-2024")</f>
        <v/>
      </c>
      <c r="AD9">
        <f>HYPERLINK("https://klasma.github.io/Logging_2425/tillsynsmail/A 53274-2024 tillsynsbegäran mail.docx", "A 53274-2024")</f>
        <v/>
      </c>
      <c r="AE9">
        <f>HYPERLINK("https://klasma.github.io/Logging_2425/fåglar/A 53274-2024 prioriterade fågelarter.docx", "A 53274-2024")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46259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19331-2024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45428</v>
      </c>
      <c r="E11" s="1" t="n">
        <v>46259</v>
      </c>
      <c r="F11" t="inlineStr">
        <is>
          <t>VÄSTERBOTTENS LÄN</t>
        </is>
      </c>
      <c r="G11" t="inlineStr">
        <is>
          <t>DOROTEA</t>
        </is>
      </c>
      <c r="H11" t="inlineStr">
        <is>
          <t>SCA</t>
        </is>
      </c>
      <c r="I11" t="n">
        <v>21.7</v>
      </c>
      <c r="J11" t="n">
        <v>1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7</v>
      </c>
      <c r="T11" t="n">
        <v>72</v>
      </c>
      <c r="U11" t="n">
        <v>71</v>
      </c>
      <c r="V11" s="2" t="inlineStr">
        <is>
          <t>Garnlav
Lunglav
Skrovellav
Tretåig hackspett
Bårdlav
Luddlav
Stuplav</t>
        </is>
      </c>
      <c r="W11">
        <f>HYPERLINK("https://klasma.github.io/Logging_2425/artfynd/A 19331-2024 artfynd.xlsx", "A 19331-2024")</f>
        <v/>
      </c>
      <c r="X11">
        <f>HYPERLINK("https://klasma.github.io/Logging_2425/kartor/A 19331-2024 karta.png", "A 19331-2024")</f>
        <v/>
      </c>
      <c r="Y11">
        <f>HYPERLINK("https://klasma.github.io/Logging_2425/kartor_geotiff/A 19331-2024 georefererad karta.tif", "A 19331-2024")</f>
        <v/>
      </c>
      <c r="AA11">
        <f>HYPERLINK("https://klasma.github.io/Logging_2425/klagomål/A 19331-2024 FSC-klagomål.docx", "A 19331-2024")</f>
        <v/>
      </c>
      <c r="AB11">
        <f>HYPERLINK("https://klasma.github.io/Logging_2425/klagomålsmail/A 19331-2024 FSC-klagomål mail.docx", "A 19331-2024")</f>
        <v/>
      </c>
      <c r="AC11">
        <f>HYPERLINK("https://klasma.github.io/Logging_2425/tillsyn/A 19331-2024 tillsynsbegäran.docx", "A 19331-2024")</f>
        <v/>
      </c>
      <c r="AD11">
        <f>HYPERLINK("https://klasma.github.io/Logging_2425/tillsynsmail/A 19331-2024 tillsynsbegäran mail.docx", "A 19331-2024")</f>
        <v/>
      </c>
      <c r="AE11">
        <f>HYPERLINK("https://klasma.github.io/Logging_2425/fåglar/A 19331-2024 prioriterade fågelarter.docx", "A 19331-2024")</f>
        <v/>
      </c>
    </row>
    <row r="12" ht="15" customHeight="1">
      <c r="A12" t="inlineStr">
        <is>
          <t>A 33655-2023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46259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21.4</v>
      </c>
      <c r="J12" t="n">
        <v>0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12</v>
      </c>
      <c r="U12" t="n">
        <v>12</v>
      </c>
      <c r="V12" s="2" t="inlineStr">
        <is>
          <t>Garnlav
Fjällig taggsvamp s.str.
Harticka
Rosenticka
Ullticka
Trådticka</t>
        </is>
      </c>
      <c r="W12">
        <f>HYPERLINK("https://klasma.github.io/Logging_2425/artfynd/A 33655-2023 artfynd.xlsx", "A 33655-2023")</f>
        <v/>
      </c>
      <c r="X12">
        <f>HYPERLINK("https://klasma.github.io/Logging_2425/kartor/A 33655-2023 karta.png", "A 33655-2023")</f>
        <v/>
      </c>
      <c r="Y12">
        <f>HYPERLINK("https://klasma.github.io/Logging_2425/kartor_geotiff/A 33655-2023 georefererad karta.tif", "A 33655-2023")</f>
        <v/>
      </c>
      <c r="AA12">
        <f>HYPERLINK("https://klasma.github.io/Logging_2425/klagomål/A 33655-2023 FSC-klagomål.docx", "A 33655-2023")</f>
        <v/>
      </c>
      <c r="AB12">
        <f>HYPERLINK("https://klasma.github.io/Logging_2425/klagomålsmail/A 33655-2023 FSC-klagomål mail.docx", "A 33655-2023")</f>
        <v/>
      </c>
      <c r="AC12">
        <f>HYPERLINK("https://klasma.github.io/Logging_2425/tillsyn/A 33655-2023 tillsynsbegäran.docx", "A 33655-2023")</f>
        <v/>
      </c>
      <c r="AD12">
        <f>HYPERLINK("https://klasma.github.io/Logging_2425/tillsynsmail/A 33655-2023 tillsynsbegäran mail.docx", "A 33655-2023")</f>
        <v/>
      </c>
    </row>
    <row r="13" ht="15" customHeight="1">
      <c r="A13" t="inlineStr">
        <is>
          <t>A 8853-2024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45356</v>
      </c>
      <c r="E13" s="1" t="n">
        <v>46259</v>
      </c>
      <c r="F13" t="inlineStr">
        <is>
          <t>VÄSTERBOTTENS LÄN</t>
        </is>
      </c>
      <c r="G13" t="inlineStr">
        <is>
          <t>DOROTEA</t>
        </is>
      </c>
      <c r="I13" t="n">
        <v>1.9</v>
      </c>
      <c r="J13" t="n">
        <v>1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14</v>
      </c>
      <c r="U13" t="n">
        <v>14</v>
      </c>
      <c r="V13" s="2" t="inlineStr">
        <is>
          <t>Garnlav
Vitgrynig nållav
Luddlav
Stuplav
Ögonpyrola
Kungsfågel</t>
        </is>
      </c>
      <c r="W13">
        <f>HYPERLINK("https://klasma.github.io/Logging_2425/artfynd/A 8853-2024 artfynd.xlsx", "A 8853-2024")</f>
        <v/>
      </c>
      <c r="X13">
        <f>HYPERLINK("https://klasma.github.io/Logging_2425/kartor/A 8853-2024 karta.png", "A 8853-2024")</f>
        <v/>
      </c>
      <c r="Y13">
        <f>HYPERLINK("https://klasma.github.io/Logging_2425/kartor_geotiff/A 8853-2024 georefererad karta.tif", "A 8853-2024")</f>
        <v/>
      </c>
      <c r="AA13">
        <f>HYPERLINK("https://klasma.github.io/Logging_2425/klagomål/A 8853-2024 FSC-klagomål.docx", "A 8853-2024")</f>
        <v/>
      </c>
      <c r="AB13">
        <f>HYPERLINK("https://klasma.github.io/Logging_2425/klagomålsmail/A 8853-2024 FSC-klagomål mail.docx", "A 8853-2024")</f>
        <v/>
      </c>
      <c r="AC13">
        <f>HYPERLINK("https://klasma.github.io/Logging_2425/tillsyn/A 8853-2024 tillsynsbegäran.docx", "A 8853-2024")</f>
        <v/>
      </c>
      <c r="AD13">
        <f>HYPERLINK("https://klasma.github.io/Logging_2425/tillsynsmail/A 8853-2024 tillsynsbegäran mail.docx", "A 8853-2024")</f>
        <v/>
      </c>
    </row>
    <row r="14" ht="15" customHeight="1">
      <c r="A14" t="inlineStr">
        <is>
          <t>A 67790-2021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44526</v>
      </c>
      <c r="E14" s="1" t="n">
        <v>46259</v>
      </c>
      <c r="F14" t="inlineStr">
        <is>
          <t>VÄSTERBOTTENS LÄN</t>
        </is>
      </c>
      <c r="G14" t="inlineStr">
        <is>
          <t>DOROTEA</t>
        </is>
      </c>
      <c r="H14" t="inlineStr">
        <is>
          <t>Övriga statliga verk och myndigheter</t>
        </is>
      </c>
      <c r="I14" t="n">
        <v>3.2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24</v>
      </c>
      <c r="U14" t="n">
        <v>10</v>
      </c>
      <c r="V14" s="2" t="inlineStr">
        <is>
          <t>Tretåig hackspett
Axag
Gräsull
Skogsrör
Brudsporre
Lopplummer (aggregat)</t>
        </is>
      </c>
      <c r="W14">
        <f>HYPERLINK("https://klasma.github.io/Logging_2425/artfynd/A 67790-2021 artfynd.xlsx", "A 67790-2021")</f>
        <v/>
      </c>
      <c r="X14">
        <f>HYPERLINK("https://klasma.github.io/Logging_2425/kartor/A 67790-2021 karta.png", "A 67790-2021")</f>
        <v/>
      </c>
      <c r="Y14">
        <f>HYPERLINK("https://klasma.github.io/Logging_2425/kartor_geotiff/A 67790-2021 georefererad karta.tif", "A 67790-2021")</f>
        <v/>
      </c>
      <c r="AA14">
        <f>HYPERLINK("https://klasma.github.io/Logging_2425/klagomål/A 67790-2021 FSC-klagomål.docx", "A 67790-2021")</f>
        <v/>
      </c>
      <c r="AB14">
        <f>HYPERLINK("https://klasma.github.io/Logging_2425/klagomålsmail/A 67790-2021 FSC-klagomål mail.docx", "A 67790-2021")</f>
        <v/>
      </c>
      <c r="AC14">
        <f>HYPERLINK("https://klasma.github.io/Logging_2425/tillsyn/A 67790-2021 tillsynsbegäran.docx", "A 67790-2021")</f>
        <v/>
      </c>
      <c r="AD14">
        <f>HYPERLINK("https://klasma.github.io/Logging_2425/tillsynsmail/A 67790-2021 tillsynsbegäran mail.docx", "A 67790-2021")</f>
        <v/>
      </c>
      <c r="AE14">
        <f>HYPERLINK("https://klasma.github.io/Logging_2425/fåglar/A 67790-2021 prioriterade fågelarter.docx", "A 67790-2021")</f>
        <v/>
      </c>
    </row>
    <row r="15" ht="15" customHeight="1">
      <c r="A15" t="inlineStr">
        <is>
          <t>A 33659-2023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45119</v>
      </c>
      <c r="E15" s="1" t="n">
        <v>46259</v>
      </c>
      <c r="F15" t="inlineStr">
        <is>
          <t>VÄSTERBOTTENS LÄN</t>
        </is>
      </c>
      <c r="G15" t="inlineStr">
        <is>
          <t>DOROTEA</t>
        </is>
      </c>
      <c r="H15" t="inlineStr">
        <is>
          <t>Allmännings- och besparingsskogar</t>
        </is>
      </c>
      <c r="I15" t="n">
        <v>21.1</v>
      </c>
      <c r="J15" t="n">
        <v>2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36</v>
      </c>
      <c r="U15" t="n">
        <v>36</v>
      </c>
      <c r="V15" s="2" t="inlineStr">
        <is>
          <t>Garnlav
Harticka
Lavskrika
Stjärntagging
Tretåig hackspett
Trådticka</t>
        </is>
      </c>
      <c r="W15">
        <f>HYPERLINK("https://klasma.github.io/Logging_2425/artfynd/A 33659-2023 artfynd.xlsx", "A 33659-2023")</f>
        <v/>
      </c>
      <c r="X15">
        <f>HYPERLINK("https://klasma.github.io/Logging_2425/kartor/A 33659-2023 karta.png", "A 33659-2023")</f>
        <v/>
      </c>
      <c r="Y15">
        <f>HYPERLINK("https://klasma.github.io/Logging_2425/kartor_geotiff/A 33659-2023 georefererad karta.tif", "A 33659-2023")</f>
        <v/>
      </c>
      <c r="AA15">
        <f>HYPERLINK("https://klasma.github.io/Logging_2425/klagomål/A 33659-2023 FSC-klagomål.docx", "A 33659-2023")</f>
        <v/>
      </c>
      <c r="AB15">
        <f>HYPERLINK("https://klasma.github.io/Logging_2425/klagomålsmail/A 33659-2023 FSC-klagomål mail.docx", "A 33659-2023")</f>
        <v/>
      </c>
      <c r="AC15">
        <f>HYPERLINK("https://klasma.github.io/Logging_2425/tillsyn/A 33659-2023 tillsynsbegäran.docx", "A 33659-2023")</f>
        <v/>
      </c>
      <c r="AD15">
        <f>HYPERLINK("https://klasma.github.io/Logging_2425/tillsynsmail/A 33659-2023 tillsynsbegäran mail.docx", "A 33659-2023")</f>
        <v/>
      </c>
      <c r="AE15">
        <f>HYPERLINK("https://klasma.github.io/Logging_2425/fåglar/A 33659-2023 prioriterade fågelarter.docx", "A 33659-2023")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46259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46259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30755-2026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46259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2.5</v>
      </c>
      <c r="J18" t="n">
        <v>1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Gammelgransskål
Rynkskinn
Plattlummer
Skinnlav
Stuplav</t>
        </is>
      </c>
      <c r="W18">
        <f>HYPERLINK("https://klasma.github.io/Logging_2425/artfynd/A 30755-2026 artfynd.xlsx", "A 30755-2026")</f>
        <v/>
      </c>
      <c r="X18">
        <f>HYPERLINK("https://klasma.github.io/Logging_2425/kartor/A 30755-2026 karta.png", "A 30755-2026")</f>
        <v/>
      </c>
      <c r="Y18">
        <f>HYPERLINK("https://klasma.github.io/Logging_2425/kartor_geotiff/A 30755-2026 georefererad karta.tif", "A 30755-2026")</f>
        <v/>
      </c>
      <c r="AA18">
        <f>HYPERLINK("https://klasma.github.io/Logging_2425/klagomål/A 30755-2026 FSC-klagomål.docx", "A 30755-2026")</f>
        <v/>
      </c>
      <c r="AB18">
        <f>HYPERLINK("https://klasma.github.io/Logging_2425/klagomålsmail/A 30755-2026 FSC-klagomål mail.docx", "A 30755-2026")</f>
        <v/>
      </c>
      <c r="AC18">
        <f>HYPERLINK("https://klasma.github.io/Logging_2425/tillsyn/A 30755-2026 tillsynsbegäran.docx", "A 30755-2026")</f>
        <v/>
      </c>
      <c r="AD18">
        <f>HYPERLINK("https://klasma.github.io/Logging_2425/tillsynsmail/A 30755-2026 tillsynsbegäran mail.docx", "A 30755-2026")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46259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A 28671-2026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46198</v>
      </c>
      <c r="E20" s="1" t="n">
        <v>46259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27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Ostticka
Rosenticka
Skinnlav
Stuplav</t>
        </is>
      </c>
      <c r="W20">
        <f>HYPERLINK("https://klasma.github.io/Logging_2425/artfynd/A 28671-2026 artfynd.xlsx", "A 28671-2026")</f>
        <v/>
      </c>
      <c r="X20">
        <f>HYPERLINK("https://klasma.github.io/Logging_2425/kartor/A 28671-2026 karta.png", "A 28671-2026")</f>
        <v/>
      </c>
      <c r="Y20">
        <f>HYPERLINK("https://klasma.github.io/Logging_2425/kartor_geotiff/A 28671-2026 georefererad karta.tif", "A 28671-2026")</f>
        <v/>
      </c>
      <c r="AA20">
        <f>HYPERLINK("https://klasma.github.io/Logging_2425/klagomål/A 28671-2026 FSC-klagomål.docx", "A 28671-2026")</f>
        <v/>
      </c>
      <c r="AB20">
        <f>HYPERLINK("https://klasma.github.io/Logging_2425/klagomålsmail/A 28671-2026 FSC-klagomål mail.docx", "A 28671-2026")</f>
        <v/>
      </c>
      <c r="AC20">
        <f>HYPERLINK("https://klasma.github.io/Logging_2425/tillsyn/A 28671-2026 tillsynsbegäran.docx", "A 28671-2026")</f>
        <v/>
      </c>
      <c r="AD20">
        <f>HYPERLINK("https://klasma.github.io/Logging_2425/tillsynsmail/A 28671-2026 tillsynsbegäran mail.docx", "A 28671-2026")</f>
        <v/>
      </c>
    </row>
    <row r="21" ht="15" customHeight="1">
      <c r="A21" t="inlineStr">
        <is>
          <t>S 1152-2025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45756</v>
      </c>
      <c r="E21" s="1" t="n">
        <v>46259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19.2</v>
      </c>
      <c r="J21" t="n">
        <v>0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Dvärgbägarlav
Kortskaftad ärgspik
Lunglav
Vedtrappmossa</t>
        </is>
      </c>
      <c r="W21">
        <f>HYPERLINK("https://klasma.github.io/Logging_2425/artfynd/S 1152-2025 artfynd.xlsx", "S 1152-2025")</f>
        <v/>
      </c>
      <c r="X21">
        <f>HYPERLINK("https://klasma.github.io/Logging_2425/kartor/S 1152-2025 karta.png", "S 1152-2025")</f>
        <v/>
      </c>
      <c r="Y21">
        <f>HYPERLINK("https://klasma.github.io/Logging_2425/kartor_geotiff/S 1152-2025 georefererad karta.tif", "S 1152-2025")</f>
        <v/>
      </c>
      <c r="AA21">
        <f>HYPERLINK("https://klasma.github.io/Logging_2425/klagomål/S 1152-2025 FSC-klagomål.docx", "S 1152-2025")</f>
        <v/>
      </c>
      <c r="AB21">
        <f>HYPERLINK("https://klasma.github.io/Logging_2425/klagomålsmail/S 1152-2025 FSC-klagomål mail.docx", "S 1152-2025")</f>
        <v/>
      </c>
      <c r="AC21">
        <f>HYPERLINK("https://klasma.github.io/Logging_2425/tillsyn/S 1152-2025 tillsynsbegäran.docx", "S 1152-2025")</f>
        <v/>
      </c>
      <c r="AD21">
        <f>HYPERLINK("https://klasma.github.io/Logging_2425/tillsynsmail/S 1152-2025 tillsynsbegäran mail.docx", "S 1152-2025")</f>
        <v/>
      </c>
    </row>
    <row r="22" ht="15" customHeight="1">
      <c r="A22" t="inlineStr">
        <is>
          <t>A 28909-2025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46259</v>
      </c>
      <c r="F22" t="inlineStr">
        <is>
          <t>VÄSTERBOTTENS LÄN</t>
        </is>
      </c>
      <c r="G22" t="inlineStr">
        <is>
          <t>DOROTEA</t>
        </is>
      </c>
      <c r="H22" t="inlineStr">
        <is>
          <t>Kyrkan</t>
        </is>
      </c>
      <c r="I22" t="n">
        <v>5.5</v>
      </c>
      <c r="J22" t="n">
        <v>1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8</v>
      </c>
      <c r="U22" t="n">
        <v>8</v>
      </c>
      <c r="V22" s="2" t="inlineStr">
        <is>
          <t>Kolflarnlav
Mörk kolflarnlav
Tretåig hackspett</t>
        </is>
      </c>
      <c r="W22">
        <f>HYPERLINK("https://klasma.github.io/Logging_2425/artfynd/A 28909-2025 artfynd.xlsx", "A 28909-2025")</f>
        <v/>
      </c>
      <c r="X22">
        <f>HYPERLINK("https://klasma.github.io/Logging_2425/kartor/A 28909-2025 karta.png", "A 28909-2025")</f>
        <v/>
      </c>
      <c r="Y22">
        <f>HYPERLINK("https://klasma.github.io/Logging_2425/kartor_geotiff/A 28909-2025 georefererad karta.tif", "A 28909-2025")</f>
        <v/>
      </c>
      <c r="AA22">
        <f>HYPERLINK("https://klasma.github.io/Logging_2425/klagomål/A 28909-2025 FSC-klagomål.docx", "A 28909-2025")</f>
        <v/>
      </c>
      <c r="AB22">
        <f>HYPERLINK("https://klasma.github.io/Logging_2425/klagomålsmail/A 28909-2025 FSC-klagomål mail.docx", "A 28909-2025")</f>
        <v/>
      </c>
      <c r="AC22">
        <f>HYPERLINK("https://klasma.github.io/Logging_2425/tillsyn/A 28909-2025 tillsynsbegäran.docx", "A 28909-2025")</f>
        <v/>
      </c>
      <c r="AD22">
        <f>HYPERLINK("https://klasma.github.io/Logging_2425/tillsynsmail/A 28909-2025 tillsynsbegäran mail.docx", "A 28909-2025")</f>
        <v/>
      </c>
      <c r="AE22">
        <f>HYPERLINK("https://klasma.github.io/Logging_2425/fåglar/A 28909-2025 prioriterade fågelarter.docx", "A 28909-2025")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46259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46259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A 21672-2023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46259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7.4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Doftskinn
Skrovellav
Ullticka</t>
        </is>
      </c>
      <c r="W25">
        <f>HYPERLINK("https://klasma.github.io/Logging_2425/artfynd/A 21672-2023 artfynd.xlsx", "A 21672-2023")</f>
        <v/>
      </c>
      <c r="X25">
        <f>HYPERLINK("https://klasma.github.io/Logging_2425/kartor/A 21672-2023 karta.png", "A 21672-2023")</f>
        <v/>
      </c>
      <c r="Y25">
        <f>HYPERLINK("https://klasma.github.io/Logging_2425/kartor_geotiff/A 21672-2023 georefererad karta.tif", "A 21672-2023")</f>
        <v/>
      </c>
      <c r="AA25">
        <f>HYPERLINK("https://klasma.github.io/Logging_2425/klagomål/A 21672-2023 FSC-klagomål.docx", "A 21672-2023")</f>
        <v/>
      </c>
      <c r="AB25">
        <f>HYPERLINK("https://klasma.github.io/Logging_2425/klagomålsmail/A 21672-2023 FSC-klagomål mail.docx", "A 21672-2023")</f>
        <v/>
      </c>
      <c r="AC25">
        <f>HYPERLINK("https://klasma.github.io/Logging_2425/tillsyn/A 21672-2023 tillsynsbegäran.docx", "A 21672-2023")</f>
        <v/>
      </c>
      <c r="AD25">
        <f>HYPERLINK("https://klasma.github.io/Logging_2425/tillsynsmail/A 21672-2023 tillsynsbegäran mail.docx", "A 21672-2023")</f>
        <v/>
      </c>
    </row>
    <row r="26" ht="15" customHeight="1">
      <c r="A26" t="inlineStr">
        <is>
          <t>S 2006-2025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45834</v>
      </c>
      <c r="E26" s="1" t="n">
        <v>46259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1.3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Kransrams
Stuplav</t>
        </is>
      </c>
      <c r="W26">
        <f>HYPERLINK("https://klasma.github.io/Logging_2425/artfynd/S 2006-2025 artfynd.xlsx", "S 2006-2025")</f>
        <v/>
      </c>
      <c r="X26">
        <f>HYPERLINK("https://klasma.github.io/Logging_2425/kartor/S 2006-2025 karta.png", "S 2006-2025")</f>
        <v/>
      </c>
      <c r="Y26">
        <f>HYPERLINK("https://klasma.github.io/Logging_2425/kartor_geotiff/S 2006-2025 georefererad karta.tif", "S 2006-2025")</f>
        <v/>
      </c>
      <c r="AA26">
        <f>HYPERLINK("https://klasma.github.io/Logging_2425/klagomål/S 2006-2025 FSC-klagomål.docx", "S 2006-2025")</f>
        <v/>
      </c>
      <c r="AB26">
        <f>HYPERLINK("https://klasma.github.io/Logging_2425/klagomålsmail/S 2006-2025 FSC-klagomål mail.docx", "S 2006-2025")</f>
        <v/>
      </c>
      <c r="AC26">
        <f>HYPERLINK("https://klasma.github.io/Logging_2425/tillsyn/S 2006-2025 tillsynsbegäran.docx", "S 2006-2025")</f>
        <v/>
      </c>
      <c r="AD26">
        <f>HYPERLINK("https://klasma.github.io/Logging_2425/tillsynsmail/S 2006-2025 tillsynsbegäran mail.docx", "S 2006-2025")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46259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58736-2022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44902</v>
      </c>
      <c r="E28" s="1" t="n">
        <v>46259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Skrovellav</t>
        </is>
      </c>
      <c r="W28">
        <f>HYPERLINK("https://klasma.github.io/Logging_2425/artfynd/A 58736-2022 artfynd.xlsx", "A 58736-2022")</f>
        <v/>
      </c>
      <c r="X28">
        <f>HYPERLINK("https://klasma.github.io/Logging_2425/kartor/A 58736-2022 karta.png", "A 58736-2022")</f>
        <v/>
      </c>
      <c r="Y28">
        <f>HYPERLINK("https://klasma.github.io/Logging_2425/kartor_geotiff/A 58736-2022 georefererad karta.tif", "A 58736-2022")</f>
        <v/>
      </c>
      <c r="AA28">
        <f>HYPERLINK("https://klasma.github.io/Logging_2425/klagomål/A 58736-2022 FSC-klagomål.docx", "A 58736-2022")</f>
        <v/>
      </c>
      <c r="AB28">
        <f>HYPERLINK("https://klasma.github.io/Logging_2425/klagomålsmail/A 58736-2022 FSC-klagomål mail.docx", "A 58736-2022")</f>
        <v/>
      </c>
      <c r="AC28">
        <f>HYPERLINK("https://klasma.github.io/Logging_2425/tillsyn/A 58736-2022 tillsynsbegäran.docx", "A 58736-2022")</f>
        <v/>
      </c>
      <c r="AD28">
        <f>HYPERLINK("https://klasma.github.io/Logging_2425/tillsynsmail/A 58736-2022 tillsynsbegäran mail.docx", "A 58736-2022")</f>
        <v/>
      </c>
    </row>
    <row r="29" ht="15" customHeight="1">
      <c r="A29" t="inlineStr">
        <is>
          <t>A 33263-2025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46259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Vedticka</t>
        </is>
      </c>
      <c r="W29">
        <f>HYPERLINK("https://klasma.github.io/Logging_2425/artfynd/A 33263-2025 artfynd.xlsx", "A 33263-2025")</f>
        <v/>
      </c>
      <c r="X29">
        <f>HYPERLINK("https://klasma.github.io/Logging_2425/kartor/A 33263-2025 karta.png", "A 33263-2025")</f>
        <v/>
      </c>
      <c r="Y29">
        <f>HYPERLINK("https://klasma.github.io/Logging_2425/kartor_geotiff/A 33263-2025 georefererad karta.tif", "A 33263-2025")</f>
        <v/>
      </c>
      <c r="AA29">
        <f>HYPERLINK("https://klasma.github.io/Logging_2425/klagomål/A 33263-2025 FSC-klagomål.docx", "A 33263-2025")</f>
        <v/>
      </c>
      <c r="AB29">
        <f>HYPERLINK("https://klasma.github.io/Logging_2425/klagomålsmail/A 33263-2025 FSC-klagomål mail.docx", "A 33263-2025")</f>
        <v/>
      </c>
      <c r="AC29">
        <f>HYPERLINK("https://klasma.github.io/Logging_2425/tillsyn/A 33263-2025 tillsynsbegäran.docx", "A 33263-2025")</f>
        <v/>
      </c>
      <c r="AD29">
        <f>HYPERLINK("https://klasma.github.io/Logging_2425/tillsynsmail/A 33263-2025 tillsynsbegäran mail.docx", "A 33263-2025")</f>
        <v/>
      </c>
    </row>
    <row r="30" ht="15" customHeight="1">
      <c r="A30" t="inlineStr">
        <is>
          <t>A 40013-2024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45553</v>
      </c>
      <c r="E30" s="1" t="n">
        <v>46259</v>
      </c>
      <c r="F30" t="inlineStr">
        <is>
          <t>VÄSTERBOTTENS LÄN</t>
        </is>
      </c>
      <c r="G30" t="inlineStr">
        <is>
          <t>DOROTEA</t>
        </is>
      </c>
      <c r="H30" t="inlineStr">
        <is>
          <t>Övriga statliga verk och myndigheter</t>
        </is>
      </c>
      <c r="I30" t="n">
        <v>1.5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Tretåig hackspett
Tjäder</t>
        </is>
      </c>
      <c r="W30">
        <f>HYPERLINK("https://klasma.github.io/Logging_2425/artfynd/A 40013-2024 artfynd.xlsx", "A 40013-2024")</f>
        <v/>
      </c>
      <c r="X30">
        <f>HYPERLINK("https://klasma.github.io/Logging_2425/kartor/A 40013-2024 karta.png", "A 40013-2024")</f>
        <v/>
      </c>
      <c r="Y30">
        <f>HYPERLINK("https://klasma.github.io/Logging_2425/kartor_geotiff/A 40013-2024 georefererad karta.tif", "A 40013-2024")</f>
        <v/>
      </c>
      <c r="AA30">
        <f>HYPERLINK("https://klasma.github.io/Logging_2425/klagomål/A 40013-2024 FSC-klagomål.docx", "A 40013-2024")</f>
        <v/>
      </c>
      <c r="AB30">
        <f>HYPERLINK("https://klasma.github.io/Logging_2425/klagomålsmail/A 40013-2024 FSC-klagomål mail.docx", "A 40013-2024")</f>
        <v/>
      </c>
      <c r="AC30">
        <f>HYPERLINK("https://klasma.github.io/Logging_2425/tillsyn/A 40013-2024 tillsynsbegäran.docx", "A 40013-2024")</f>
        <v/>
      </c>
      <c r="AD30">
        <f>HYPERLINK("https://klasma.github.io/Logging_2425/tillsynsmail/A 40013-2024 tillsynsbegäran mail.docx", "A 40013-2024")</f>
        <v/>
      </c>
      <c r="AE30">
        <f>HYPERLINK("https://klasma.github.io/Logging_2425/fåglar/A 40013-2024 prioriterade fågelarter.docx", "A 40013-2024")</f>
        <v/>
      </c>
    </row>
    <row r="31" ht="15" customHeight="1">
      <c r="A31" t="inlineStr">
        <is>
          <t>A 49045-2025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45937</v>
      </c>
      <c r="E31" s="1" t="n">
        <v>46259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4.5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Gammelgransskål
Tretåig hackspett</t>
        </is>
      </c>
      <c r="W31">
        <f>HYPERLINK("https://klasma.github.io/Logging_2425/artfynd/A 49045-2025 artfynd.xlsx", "A 49045-2025")</f>
        <v/>
      </c>
      <c r="X31">
        <f>HYPERLINK("https://klasma.github.io/Logging_2425/kartor/A 49045-2025 karta.png", "A 49045-2025")</f>
        <v/>
      </c>
      <c r="Y31">
        <f>HYPERLINK("https://klasma.github.io/Logging_2425/kartor_geotiff/A 49045-2025 georefererad karta.tif", "A 49045-2025")</f>
        <v/>
      </c>
      <c r="AA31">
        <f>HYPERLINK("https://klasma.github.io/Logging_2425/klagomål/A 49045-2025 FSC-klagomål.docx", "A 49045-2025")</f>
        <v/>
      </c>
      <c r="AB31">
        <f>HYPERLINK("https://klasma.github.io/Logging_2425/klagomålsmail/A 49045-2025 FSC-klagomål mail.docx", "A 49045-2025")</f>
        <v/>
      </c>
      <c r="AC31">
        <f>HYPERLINK("https://klasma.github.io/Logging_2425/tillsyn/A 49045-2025 tillsynsbegäran.docx", "A 49045-2025")</f>
        <v/>
      </c>
      <c r="AD31">
        <f>HYPERLINK("https://klasma.github.io/Logging_2425/tillsynsmail/A 49045-2025 tillsynsbegäran mail.docx", "A 49045-2025")</f>
        <v/>
      </c>
      <c r="AE31">
        <f>HYPERLINK("https://klasma.github.io/Logging_2425/fåglar/A 49045-2025 prioriterade fågelarter.docx", "A 49045-2025")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46259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27234-2024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46259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Rynkskinn
Skrovellav</t>
        </is>
      </c>
      <c r="W33">
        <f>HYPERLINK("https://klasma.github.io/Logging_2425/artfynd/A 27234-2024 artfynd.xlsx", "A 27234-2024")</f>
        <v/>
      </c>
      <c r="X33">
        <f>HYPERLINK("https://klasma.github.io/Logging_2425/kartor/A 27234-2024 karta.png", "A 27234-2024")</f>
        <v/>
      </c>
      <c r="Y33">
        <f>HYPERLINK("https://klasma.github.io/Logging_2425/kartor_geotiff/A 27234-2024 georefererad karta.tif", "A 27234-2024")</f>
        <v/>
      </c>
      <c r="AA33">
        <f>HYPERLINK("https://klasma.github.io/Logging_2425/klagomål/A 27234-2024 FSC-klagomål.docx", "A 27234-2024")</f>
        <v/>
      </c>
      <c r="AB33">
        <f>HYPERLINK("https://klasma.github.io/Logging_2425/klagomålsmail/A 27234-2024 FSC-klagomål mail.docx", "A 27234-2024")</f>
        <v/>
      </c>
      <c r="AC33">
        <f>HYPERLINK("https://klasma.github.io/Logging_2425/tillsyn/A 27234-2024 tillsynsbegäran.docx", "A 27234-2024")</f>
        <v/>
      </c>
      <c r="AD33">
        <f>HYPERLINK("https://klasma.github.io/Logging_2425/tillsynsmail/A 27234-2024 tillsynsbegäran mail.docx", "A 27234-2024")</f>
        <v/>
      </c>
    </row>
    <row r="34" ht="15" customHeight="1">
      <c r="A34" t="inlineStr">
        <is>
          <t>A 4554-2026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46047</v>
      </c>
      <c r="E34" s="1" t="n">
        <v>46259</v>
      </c>
      <c r="F34" t="inlineStr">
        <is>
          <t>VÄSTERBOTTENS LÄN</t>
        </is>
      </c>
      <c r="G34" t="inlineStr">
        <is>
          <t>DOROTEA</t>
        </is>
      </c>
      <c r="I34" t="n">
        <v>6.1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Violettkantad guldvinge
Kricka</t>
        </is>
      </c>
      <c r="W34">
        <f>HYPERLINK("https://klasma.github.io/Logging_2425/artfynd/A 4554-2026 artfynd.xlsx", "A 4554-2026")</f>
        <v/>
      </c>
      <c r="X34">
        <f>HYPERLINK("https://klasma.github.io/Logging_2425/kartor/A 4554-2026 karta.png", "A 4554-2026")</f>
        <v/>
      </c>
      <c r="Y34">
        <f>HYPERLINK("https://klasma.github.io/Logging_2425/kartor_geotiff/A 4554-2026 georefererad karta.tif", "A 4554-2026")</f>
        <v/>
      </c>
      <c r="AA34">
        <f>HYPERLINK("https://klasma.github.io/Logging_2425/klagomål/A 4554-2026 FSC-klagomål.docx", "A 4554-2026")</f>
        <v/>
      </c>
      <c r="AB34">
        <f>HYPERLINK("https://klasma.github.io/Logging_2425/klagomålsmail/A 4554-2026 FSC-klagomål mail.docx", "A 4554-2026")</f>
        <v/>
      </c>
      <c r="AC34">
        <f>HYPERLINK("https://klasma.github.io/Logging_2425/tillsyn/A 4554-2026 tillsynsbegäran.docx", "A 4554-2026")</f>
        <v/>
      </c>
      <c r="AD34">
        <f>HYPERLINK("https://klasma.github.io/Logging_2425/tillsynsmail/A 4554-2026 tillsynsbegäran mail.docx", "A 4554-2026")</f>
        <v/>
      </c>
      <c r="AE34">
        <f>HYPERLINK("https://klasma.github.io/Logging_2425/fåglar/A 4554-2026 prioriterade fågelarter.docx", "A 4554-2026")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46259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46259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30286-2023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46259</v>
      </c>
      <c r="F37" t="inlineStr">
        <is>
          <t>VÄSTERBOTTENS LÄN</t>
        </is>
      </c>
      <c r="G37" t="inlineStr">
        <is>
          <t>DOROTEA</t>
        </is>
      </c>
      <c r="I37" t="n">
        <v>21.2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Skogsrör</t>
        </is>
      </c>
      <c r="W37">
        <f>HYPERLINK("https://klasma.github.io/Logging_2425/artfynd/A 30286-2023 artfynd.xlsx", "A 30286-2023")</f>
        <v/>
      </c>
      <c r="X37">
        <f>HYPERLINK("https://klasma.github.io/Logging_2425/kartor/A 30286-2023 karta.png", "A 30286-2023")</f>
        <v/>
      </c>
      <c r="Y37">
        <f>HYPERLINK("https://klasma.github.io/Logging_2425/kartor_geotiff/A 30286-2023 georefererad karta.tif", "A 30286-2023")</f>
        <v/>
      </c>
      <c r="AA37">
        <f>HYPERLINK("https://klasma.github.io/Logging_2425/klagomål/A 30286-2023 FSC-klagomål.docx", "A 30286-2023")</f>
        <v/>
      </c>
      <c r="AB37">
        <f>HYPERLINK("https://klasma.github.io/Logging_2425/klagomålsmail/A 30286-2023 FSC-klagomål mail.docx", "A 30286-2023")</f>
        <v/>
      </c>
      <c r="AC37">
        <f>HYPERLINK("https://klasma.github.io/Logging_2425/tillsyn/A 30286-2023 tillsynsbegäran.docx", "A 30286-2023")</f>
        <v/>
      </c>
      <c r="AD37">
        <f>HYPERLINK("https://klasma.github.io/Logging_2425/tillsynsmail/A 30286-2023 tillsynsbegäran mail.docx", "A 30286-2023")</f>
        <v/>
      </c>
    </row>
    <row r="38" ht="15" customHeight="1">
      <c r="A38" t="inlineStr">
        <is>
          <t>A 26440-2025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46259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HYPERLINK("https://klasma.github.io/Logging_2425/artfynd/A 26440-2025 artfynd.xlsx", "A 26440-2025")</f>
        <v/>
      </c>
      <c r="X38">
        <f>HYPERLINK("https://klasma.github.io/Logging_2425/kartor/A 26440-2025 karta.png", "A 26440-2025")</f>
        <v/>
      </c>
      <c r="Y38">
        <f>HYPERLINK("https://klasma.github.io/Logging_2425/kartor_geotiff/A 26440-2025 georefererad karta.tif", "A 26440-2025")</f>
        <v/>
      </c>
      <c r="AA38">
        <f>HYPERLINK("https://klasma.github.io/Logging_2425/klagomål/A 26440-2025 FSC-klagomål.docx", "A 26440-2025")</f>
        <v/>
      </c>
      <c r="AB38">
        <f>HYPERLINK("https://klasma.github.io/Logging_2425/klagomålsmail/A 26440-2025 FSC-klagomål mail.docx", "A 26440-2025")</f>
        <v/>
      </c>
      <c r="AC38">
        <f>HYPERLINK("https://klasma.github.io/Logging_2425/tillsyn/A 26440-2025 tillsynsbegäran.docx", "A 26440-2025")</f>
        <v/>
      </c>
      <c r="AD38">
        <f>HYPERLINK("https://klasma.github.io/Logging_2425/tillsynsmail/A 26440-2025 tillsynsbegäran mail.docx", "A 26440-2025")</f>
        <v/>
      </c>
    </row>
    <row r="39" ht="15" customHeight="1">
      <c r="A39" t="inlineStr">
        <is>
          <t>A 36318-2024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46259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8</v>
      </c>
      <c r="U39" t="n">
        <v>8</v>
      </c>
      <c r="V39" s="2" t="inlineStr">
        <is>
          <t>Garnlav</t>
        </is>
      </c>
      <c r="W39">
        <f>HYPERLINK("https://klasma.github.io/Logging_2425/artfynd/A 36318-2024 artfynd.xlsx", "A 36318-2024")</f>
        <v/>
      </c>
      <c r="X39">
        <f>HYPERLINK("https://klasma.github.io/Logging_2425/kartor/A 36318-2024 karta.png", "A 36318-2024")</f>
        <v/>
      </c>
      <c r="Y39">
        <f>HYPERLINK("https://klasma.github.io/Logging_2425/kartor_geotiff/A 36318-2024 georefererad karta.tif", "A 36318-2024")</f>
        <v/>
      </c>
      <c r="AA39">
        <f>HYPERLINK("https://klasma.github.io/Logging_2425/klagomål/A 36318-2024 FSC-klagomål.docx", "A 36318-2024")</f>
        <v/>
      </c>
      <c r="AB39">
        <f>HYPERLINK("https://klasma.github.io/Logging_2425/klagomålsmail/A 36318-2024 FSC-klagomål mail.docx", "A 36318-2024")</f>
        <v/>
      </c>
      <c r="AC39">
        <f>HYPERLINK("https://klasma.github.io/Logging_2425/tillsyn/A 36318-2024 tillsynsbegäran.docx", "A 36318-2024")</f>
        <v/>
      </c>
      <c r="AD39">
        <f>HYPERLINK("https://klasma.github.io/Logging_2425/tillsynsmail/A 36318-2024 tillsynsbegäran mail.docx", "A 36318-2024")</f>
        <v/>
      </c>
    </row>
    <row r="40" ht="15" customHeight="1">
      <c r="A40" t="inlineStr">
        <is>
          <t>A 48089-2022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44855</v>
      </c>
      <c r="E40" s="1" t="n">
        <v>46259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9.199999999999999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Gammelgransskål</t>
        </is>
      </c>
      <c r="W40">
        <f>HYPERLINK("https://klasma.github.io/Logging_2425/artfynd/A 48089-2022 artfynd.xlsx", "A 48089-2022")</f>
        <v/>
      </c>
      <c r="X40">
        <f>HYPERLINK("https://klasma.github.io/Logging_2425/kartor/A 48089-2022 karta.png", "A 48089-2022")</f>
        <v/>
      </c>
      <c r="Y40">
        <f>HYPERLINK("https://klasma.github.io/Logging_2425/kartor_geotiff/A 48089-2022 georefererad karta.tif", "A 48089-2022")</f>
        <v/>
      </c>
      <c r="AA40">
        <f>HYPERLINK("https://klasma.github.io/Logging_2425/klagomål/A 48089-2022 FSC-klagomål.docx", "A 48089-2022")</f>
        <v/>
      </c>
      <c r="AB40">
        <f>HYPERLINK("https://klasma.github.io/Logging_2425/klagomålsmail/A 48089-2022 FSC-klagomål mail.docx", "A 48089-2022")</f>
        <v/>
      </c>
      <c r="AC40">
        <f>HYPERLINK("https://klasma.github.io/Logging_2425/tillsyn/A 48089-2022 tillsynsbegäran.docx", "A 48089-2022")</f>
        <v/>
      </c>
      <c r="AD40">
        <f>HYPERLINK("https://klasma.github.io/Logging_2425/tillsynsmail/A 48089-2022 tillsynsbegäran mail.docx", "A 48089-2022")</f>
        <v/>
      </c>
    </row>
    <row r="41" ht="15" customHeight="1">
      <c r="A41" t="inlineStr">
        <is>
          <t>A 12005-2023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44994</v>
      </c>
      <c r="E41" s="1" t="n">
        <v>46259</v>
      </c>
      <c r="F41" t="inlineStr">
        <is>
          <t>VÄSTERBOTTENS LÄN</t>
        </is>
      </c>
      <c r="G41" t="inlineStr">
        <is>
          <t>DOROTEA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HYPERLINK("https://klasma.github.io/Logging_2425/artfynd/A 12005-2023 artfynd.xlsx", "A 12005-2023")</f>
        <v/>
      </c>
      <c r="X41">
        <f>HYPERLINK("https://klasma.github.io/Logging_2425/kartor/A 12005-2023 karta.png", "A 12005-2023")</f>
        <v/>
      </c>
      <c r="Y41">
        <f>HYPERLINK("https://klasma.github.io/Logging_2425/kartor_geotiff/A 12005-2023 georefererad karta.tif", "A 12005-2023")</f>
        <v/>
      </c>
      <c r="AA41">
        <f>HYPERLINK("https://klasma.github.io/Logging_2425/klagomål/A 12005-2023 FSC-klagomål.docx", "A 12005-2023")</f>
        <v/>
      </c>
      <c r="AB41">
        <f>HYPERLINK("https://klasma.github.io/Logging_2425/klagomålsmail/A 12005-2023 FSC-klagomål mail.docx", "A 12005-2023")</f>
        <v/>
      </c>
      <c r="AC41">
        <f>HYPERLINK("https://klasma.github.io/Logging_2425/tillsyn/A 12005-2023 tillsynsbegäran.docx", "A 12005-2023")</f>
        <v/>
      </c>
      <c r="AD41">
        <f>HYPERLINK("https://klasma.github.io/Logging_2425/tillsynsmail/A 12005-2023 tillsynsbegäran mail.docx", "A 12005-2023")</f>
        <v/>
      </c>
    </row>
    <row r="42" ht="15" customHeight="1">
      <c r="A42" t="inlineStr">
        <is>
          <t>A 41079-2025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46259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3.3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HYPERLINK("https://klasma.github.io/Logging_2425/artfynd/A 41079-2025 artfynd.xlsx", "A 41079-2025")</f>
        <v/>
      </c>
      <c r="X42">
        <f>HYPERLINK("https://klasma.github.io/Logging_2425/kartor/A 41079-2025 karta.png", "A 41079-2025")</f>
        <v/>
      </c>
      <c r="Y42">
        <f>HYPERLINK("https://klasma.github.io/Logging_2425/kartor_geotiff/A 41079-2025 georefererad karta.tif", "A 41079-2025")</f>
        <v/>
      </c>
      <c r="AA42">
        <f>HYPERLINK("https://klasma.github.io/Logging_2425/klagomål/A 41079-2025 FSC-klagomål.docx", "A 41079-2025")</f>
        <v/>
      </c>
      <c r="AB42">
        <f>HYPERLINK("https://klasma.github.io/Logging_2425/klagomålsmail/A 41079-2025 FSC-klagomål mail.docx", "A 41079-2025")</f>
        <v/>
      </c>
      <c r="AC42">
        <f>HYPERLINK("https://klasma.github.io/Logging_2425/tillsyn/A 41079-2025 tillsynsbegäran.docx", "A 41079-2025")</f>
        <v/>
      </c>
      <c r="AD42">
        <f>HYPERLINK("https://klasma.github.io/Logging_2425/tillsynsmail/A 41079-2025 tillsynsbegäran mail.docx", "A 41079-2025")</f>
        <v/>
      </c>
    </row>
    <row r="43" ht="15" customHeight="1">
      <c r="A43" t="inlineStr">
        <is>
          <t>A 39686-2025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45890</v>
      </c>
      <c r="E43" s="1" t="n">
        <v>46259</v>
      </c>
      <c r="F43" t="inlineStr">
        <is>
          <t>VÄSTERBOTTENS LÄN</t>
        </is>
      </c>
      <c r="G43" t="inlineStr">
        <is>
          <t>DOROTEA</t>
        </is>
      </c>
      <c r="I43" t="n">
        <v>1.5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Ullticka</t>
        </is>
      </c>
      <c r="W43">
        <f>HYPERLINK("https://klasma.github.io/Logging_2425/artfynd/A 39686-2025 artfynd.xlsx", "A 39686-2025")</f>
        <v/>
      </c>
      <c r="X43">
        <f>HYPERLINK("https://klasma.github.io/Logging_2425/kartor/A 39686-2025 karta.png", "A 39686-2025")</f>
        <v/>
      </c>
      <c r="Y43">
        <f>HYPERLINK("https://klasma.github.io/Logging_2425/kartor_geotiff/A 39686-2025 georefererad karta.tif", "A 39686-2025")</f>
        <v/>
      </c>
      <c r="AA43">
        <f>HYPERLINK("https://klasma.github.io/Logging_2425/klagomål/A 39686-2025 FSC-klagomål.docx", "A 39686-2025")</f>
        <v/>
      </c>
      <c r="AB43">
        <f>HYPERLINK("https://klasma.github.io/Logging_2425/klagomålsmail/A 39686-2025 FSC-klagomål mail.docx", "A 39686-2025")</f>
        <v/>
      </c>
      <c r="AC43">
        <f>HYPERLINK("https://klasma.github.io/Logging_2425/tillsyn/A 39686-2025 tillsynsbegäran.docx", "A 39686-2025")</f>
        <v/>
      </c>
      <c r="AD43">
        <f>HYPERLINK("https://klasma.github.io/Logging_2425/tillsynsmail/A 39686-2025 tillsynsbegäran mail.docx", "A 39686-2025")</f>
        <v/>
      </c>
    </row>
    <row r="44" ht="15" customHeight="1">
      <c r="A44" t="inlineStr">
        <is>
          <t>A 57058-2024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46259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HYPERLINK("https://klasma.github.io/Logging_2425/artfynd/A 57058-2024 artfynd.xlsx", "A 57058-2024")</f>
        <v/>
      </c>
      <c r="X44">
        <f>HYPERLINK("https://klasma.github.io/Logging_2425/kartor/A 57058-2024 karta.png", "A 57058-2024")</f>
        <v/>
      </c>
      <c r="Y44">
        <f>HYPERLINK("https://klasma.github.io/Logging_2425/kartor_geotiff/A 57058-2024 georefererad karta.tif", "A 57058-2024")</f>
        <v/>
      </c>
      <c r="AA44">
        <f>HYPERLINK("https://klasma.github.io/Logging_2425/klagomål/A 57058-2024 FSC-klagomål.docx", "A 57058-2024")</f>
        <v/>
      </c>
      <c r="AB44">
        <f>HYPERLINK("https://klasma.github.io/Logging_2425/klagomålsmail/A 57058-2024 FSC-klagomål mail.docx", "A 57058-2024")</f>
        <v/>
      </c>
      <c r="AC44">
        <f>HYPERLINK("https://klasma.github.io/Logging_2425/tillsyn/A 57058-2024 tillsynsbegäran.docx", "A 57058-2024")</f>
        <v/>
      </c>
      <c r="AD44">
        <f>HYPERLINK("https://klasma.github.io/Logging_2425/tillsynsmail/A 57058-2024 tillsynsbegäran mail.docx", "A 57058-2024")</f>
        <v/>
      </c>
    </row>
    <row r="45" ht="15" customHeight="1">
      <c r="A45" t="inlineStr">
        <is>
          <t>A 53309-2022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44878</v>
      </c>
      <c r="E45" s="1" t="n">
        <v>46259</v>
      </c>
      <c r="F45" t="inlineStr">
        <is>
          <t>VÄSTERBOTTENS LÄN</t>
        </is>
      </c>
      <c r="G45" t="inlineStr">
        <is>
          <t>DOROTEA</t>
        </is>
      </c>
      <c r="I45" t="n">
        <v>6.6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Göktyta</t>
        </is>
      </c>
      <c r="W45">
        <f>HYPERLINK("https://klasma.github.io/Logging_2425/artfynd/A 53309-2022 artfynd.xlsx", "A 53309-2022")</f>
        <v/>
      </c>
      <c r="X45">
        <f>HYPERLINK("https://klasma.github.io/Logging_2425/kartor/A 53309-2022 karta.png", "A 53309-2022")</f>
        <v/>
      </c>
      <c r="Y45">
        <f>HYPERLINK("https://klasma.github.io/Logging_2425/kartor_geotiff/A 53309-2022 georefererad karta.tif", "A 53309-2022")</f>
        <v/>
      </c>
      <c r="AA45">
        <f>HYPERLINK("https://klasma.github.io/Logging_2425/klagomål/A 53309-2022 FSC-klagomål.docx", "A 53309-2022")</f>
        <v/>
      </c>
      <c r="AB45">
        <f>HYPERLINK("https://klasma.github.io/Logging_2425/klagomålsmail/A 53309-2022 FSC-klagomål mail.docx", "A 53309-2022")</f>
        <v/>
      </c>
      <c r="AC45">
        <f>HYPERLINK("https://klasma.github.io/Logging_2425/tillsyn/A 53309-2022 tillsynsbegäran.docx", "A 53309-2022")</f>
        <v/>
      </c>
      <c r="AD45">
        <f>HYPERLINK("https://klasma.github.io/Logging_2425/tillsynsmail/A 53309-2022 tillsynsbegäran mail.docx", "A 53309-2022")</f>
        <v/>
      </c>
      <c r="AE45">
        <f>HYPERLINK("https://klasma.github.io/Logging_2425/fåglar/A 53309-2022 prioriterade fågelarter.docx", "A 53309-2022")</f>
        <v/>
      </c>
    </row>
    <row r="46" ht="15" customHeight="1">
      <c r="A46" t="inlineStr">
        <is>
          <t>A 20600-2023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45057</v>
      </c>
      <c r="E46" s="1" t="n">
        <v>46259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1.6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Korallrot</t>
        </is>
      </c>
      <c r="W46">
        <f>HYPERLINK("https://klasma.github.io/Logging_2425/artfynd/A 20600-2023 artfynd.xlsx", "A 20600-2023")</f>
        <v/>
      </c>
      <c r="X46">
        <f>HYPERLINK("https://klasma.github.io/Logging_2425/kartor/A 20600-2023 karta.png", "A 20600-2023")</f>
        <v/>
      </c>
      <c r="Y46">
        <f>HYPERLINK("https://klasma.github.io/Logging_2425/kartor_geotiff/A 20600-2023 georefererad karta.tif", "A 20600-2023")</f>
        <v/>
      </c>
      <c r="AA46">
        <f>HYPERLINK("https://klasma.github.io/Logging_2425/klagomål/A 20600-2023 FSC-klagomål.docx", "A 20600-2023")</f>
        <v/>
      </c>
      <c r="AB46">
        <f>HYPERLINK("https://klasma.github.io/Logging_2425/klagomålsmail/A 20600-2023 FSC-klagomål mail.docx", "A 20600-2023")</f>
        <v/>
      </c>
      <c r="AC46">
        <f>HYPERLINK("https://klasma.github.io/Logging_2425/tillsyn/A 20600-2023 tillsynsbegäran.docx", "A 20600-2023")</f>
        <v/>
      </c>
      <c r="AD46">
        <f>HYPERLINK("https://klasma.github.io/Logging_2425/tillsynsmail/A 20600-2023 tillsynsbegäran mail.docx", "A 20600-2023")</f>
        <v/>
      </c>
    </row>
    <row r="47" ht="15" customHeight="1">
      <c r="A47" t="inlineStr">
        <is>
          <t>A 46815-2023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45198</v>
      </c>
      <c r="E47" s="1" t="n">
        <v>46259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Harticka</t>
        </is>
      </c>
      <c r="W47">
        <f>HYPERLINK("https://klasma.github.io/Logging_2425/artfynd/A 46815-2023 artfynd.xlsx", "A 46815-2023")</f>
        <v/>
      </c>
      <c r="X47">
        <f>HYPERLINK("https://klasma.github.io/Logging_2425/kartor/A 46815-2023 karta.png", "A 46815-2023")</f>
        <v/>
      </c>
      <c r="Y47">
        <f>HYPERLINK("https://klasma.github.io/Logging_2425/kartor_geotiff/A 46815-2023 georefererad karta.tif", "A 46815-2023")</f>
        <v/>
      </c>
      <c r="AA47">
        <f>HYPERLINK("https://klasma.github.io/Logging_2425/klagomål/A 46815-2023 FSC-klagomål.docx", "A 46815-2023")</f>
        <v/>
      </c>
      <c r="AB47">
        <f>HYPERLINK("https://klasma.github.io/Logging_2425/klagomålsmail/A 46815-2023 FSC-klagomål mail.docx", "A 46815-2023")</f>
        <v/>
      </c>
      <c r="AC47">
        <f>HYPERLINK("https://klasma.github.io/Logging_2425/tillsyn/A 46815-2023 tillsynsbegäran.docx", "A 46815-2023")</f>
        <v/>
      </c>
      <c r="AD47">
        <f>HYPERLINK("https://klasma.github.io/Logging_2425/tillsynsmail/A 46815-2023 tillsynsbegäran mail.docx", "A 46815-2023")</f>
        <v/>
      </c>
    </row>
    <row r="48" ht="15" customHeight="1">
      <c r="A48" t="inlineStr">
        <is>
          <t>A 1278-2024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45302</v>
      </c>
      <c r="E48" s="1" t="n">
        <v>46259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1.3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Gräddticka</t>
        </is>
      </c>
      <c r="W48">
        <f>HYPERLINK("https://klasma.github.io/Logging_2425/artfynd/A 1278-2024 artfynd.xlsx", "A 1278-2024")</f>
        <v/>
      </c>
      <c r="X48">
        <f>HYPERLINK("https://klasma.github.io/Logging_2425/kartor/A 1278-2024 karta.png", "A 1278-2024")</f>
        <v/>
      </c>
      <c r="Y48">
        <f>HYPERLINK("https://klasma.github.io/Logging_2425/kartor_geotiff/A 1278-2024 georefererad karta.tif", "A 1278-2024")</f>
        <v/>
      </c>
      <c r="AA48">
        <f>HYPERLINK("https://klasma.github.io/Logging_2425/klagomål/A 1278-2024 FSC-klagomål.docx", "A 1278-2024")</f>
        <v/>
      </c>
      <c r="AB48">
        <f>HYPERLINK("https://klasma.github.io/Logging_2425/klagomålsmail/A 1278-2024 FSC-klagomål mail.docx", "A 1278-2024")</f>
        <v/>
      </c>
      <c r="AC48">
        <f>HYPERLINK("https://klasma.github.io/Logging_2425/tillsyn/A 1278-2024 tillsynsbegäran.docx", "A 1278-2024")</f>
        <v/>
      </c>
      <c r="AD48">
        <f>HYPERLINK("https://klasma.github.io/Logging_2425/tillsynsmail/A 1278-2024 tillsynsbegäran mail.docx", "A 1278-2024")</f>
        <v/>
      </c>
    </row>
    <row r="49" ht="15" customHeight="1">
      <c r="A49" t="inlineStr">
        <is>
          <t>A 21926-2026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46150</v>
      </c>
      <c r="E49" s="1" t="n">
        <v>46259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2.7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Stuplav</t>
        </is>
      </c>
      <c r="W49">
        <f>HYPERLINK("https://klasma.github.io/Logging_2425/artfynd/A 21926-2026 artfynd.xlsx", "A 21926-2026")</f>
        <v/>
      </c>
      <c r="X49">
        <f>HYPERLINK("https://klasma.github.io/Logging_2425/kartor/A 21926-2026 karta.png", "A 21926-2026")</f>
        <v/>
      </c>
      <c r="Y49">
        <f>HYPERLINK("https://klasma.github.io/Logging_2425/kartor_geotiff/A 21926-2026 georefererad karta.tif", "A 21926-2026")</f>
        <v/>
      </c>
      <c r="AA49">
        <f>HYPERLINK("https://klasma.github.io/Logging_2425/klagomål/A 21926-2026 FSC-klagomål.docx", "A 21926-2026")</f>
        <v/>
      </c>
      <c r="AB49">
        <f>HYPERLINK("https://klasma.github.io/Logging_2425/klagomålsmail/A 21926-2026 FSC-klagomål mail.docx", "A 21926-2026")</f>
        <v/>
      </c>
      <c r="AC49">
        <f>HYPERLINK("https://klasma.github.io/Logging_2425/tillsyn/A 21926-2026 tillsynsbegäran.docx", "A 21926-2026")</f>
        <v/>
      </c>
      <c r="AD49">
        <f>HYPERLINK("https://klasma.github.io/Logging_2425/tillsynsmail/A 21926-2026 tillsynsbegäran mail.docx", "A 21926-2026")</f>
        <v/>
      </c>
    </row>
    <row r="50" ht="15" customHeight="1">
      <c r="A50" t="inlineStr">
        <is>
          <t>A 50530-2025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45945</v>
      </c>
      <c r="E50" s="1" t="n">
        <v>46259</v>
      </c>
      <c r="F50" t="inlineStr">
        <is>
          <t>VÄSTERBOTTENS LÄN</t>
        </is>
      </c>
      <c r="G50" t="inlineStr">
        <is>
          <t>DOROTEA</t>
        </is>
      </c>
      <c r="I50" t="n">
        <v>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Ängsnycklar</t>
        </is>
      </c>
      <c r="W50">
        <f>HYPERLINK("https://klasma.github.io/Logging_2425/artfynd/A 50530-2025 artfynd.xlsx", "A 50530-2025")</f>
        <v/>
      </c>
      <c r="X50">
        <f>HYPERLINK("https://klasma.github.io/Logging_2425/kartor/A 50530-2025 karta.png", "A 50530-2025")</f>
        <v/>
      </c>
      <c r="Y50">
        <f>HYPERLINK("https://klasma.github.io/Logging_2425/kartor_geotiff/A 50530-2025 georefererad karta.tif", "A 50530-2025")</f>
        <v/>
      </c>
      <c r="AA50">
        <f>HYPERLINK("https://klasma.github.io/Logging_2425/klagomål/A 50530-2025 FSC-klagomål.docx", "A 50530-2025")</f>
        <v/>
      </c>
      <c r="AB50">
        <f>HYPERLINK("https://klasma.github.io/Logging_2425/klagomålsmail/A 50530-2025 FSC-klagomål mail.docx", "A 50530-2025")</f>
        <v/>
      </c>
      <c r="AC50">
        <f>HYPERLINK("https://klasma.github.io/Logging_2425/tillsyn/A 50530-2025 tillsynsbegäran.docx", "A 50530-2025")</f>
        <v/>
      </c>
      <c r="AD50">
        <f>HYPERLINK("https://klasma.github.io/Logging_2425/tillsynsmail/A 50530-2025 tillsynsbegäran mail.docx", "A 50530-2025")</f>
        <v/>
      </c>
    </row>
    <row r="51" ht="15" customHeight="1">
      <c r="A51" t="inlineStr">
        <is>
          <t>A 25980-2026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46259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40.2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HYPERLINK("https://klasma.github.io/Logging_2425/artfynd/A 25980-2026 artfynd.xlsx", "A 25980-2026")</f>
        <v/>
      </c>
      <c r="X51">
        <f>HYPERLINK("https://klasma.github.io/Logging_2425/kartor/A 25980-2026 karta.png", "A 25980-2026")</f>
        <v/>
      </c>
      <c r="Y51">
        <f>HYPERLINK("https://klasma.github.io/Logging_2425/kartor_geotiff/A 25980-2026 georefererad karta.tif", "A 25980-2026")</f>
        <v/>
      </c>
      <c r="AA51">
        <f>HYPERLINK("https://klasma.github.io/Logging_2425/klagomål/A 25980-2026 FSC-klagomål.docx", "A 25980-2026")</f>
        <v/>
      </c>
      <c r="AB51">
        <f>HYPERLINK("https://klasma.github.io/Logging_2425/klagomålsmail/A 25980-2026 FSC-klagomål mail.docx", "A 25980-2026")</f>
        <v/>
      </c>
      <c r="AC51">
        <f>HYPERLINK("https://klasma.github.io/Logging_2425/tillsyn/A 25980-2026 tillsynsbegäran.docx", "A 25980-2026")</f>
        <v/>
      </c>
      <c r="AD51">
        <f>HYPERLINK("https://klasma.github.io/Logging_2425/tillsynsmail/A 25980-2026 tillsynsbegäran mail.docx", "A 25980-2026")</f>
        <v/>
      </c>
    </row>
    <row r="52" ht="15" customHeight="1">
      <c r="A52" t="inlineStr">
        <is>
          <t>A 57060-2024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45629</v>
      </c>
      <c r="E52" s="1" t="n">
        <v>46259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HYPERLINK("https://klasma.github.io/Logging_2425/artfynd/A 57060-2024 artfynd.xlsx", "A 57060-2024")</f>
        <v/>
      </c>
      <c r="X52">
        <f>HYPERLINK("https://klasma.github.io/Logging_2425/kartor/A 57060-2024 karta.png", "A 57060-2024")</f>
        <v/>
      </c>
      <c r="Y52">
        <f>HYPERLINK("https://klasma.github.io/Logging_2425/kartor_geotiff/A 57060-2024 georefererad karta.tif", "A 57060-2024")</f>
        <v/>
      </c>
      <c r="AA52">
        <f>HYPERLINK("https://klasma.github.io/Logging_2425/klagomål/A 57060-2024 FSC-klagomål.docx", "A 57060-2024")</f>
        <v/>
      </c>
      <c r="AB52">
        <f>HYPERLINK("https://klasma.github.io/Logging_2425/klagomålsmail/A 57060-2024 FSC-klagomål mail.docx", "A 57060-2024")</f>
        <v/>
      </c>
      <c r="AC52">
        <f>HYPERLINK("https://klasma.github.io/Logging_2425/tillsyn/A 57060-2024 tillsynsbegäran.docx", "A 57060-2024")</f>
        <v/>
      </c>
      <c r="AD52">
        <f>HYPERLINK("https://klasma.github.io/Logging_2425/tillsynsmail/A 57060-2024 tillsynsbegäran mail.docx", "A 57060-2024")</f>
        <v/>
      </c>
    </row>
    <row r="53" ht="15" customHeight="1">
      <c r="A53" t="inlineStr">
        <is>
          <t>A 32331-2026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46259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Skrovellav</t>
        </is>
      </c>
      <c r="W53">
        <f>HYPERLINK("https://klasma.github.io/Logging_2425/artfynd/A 32331-2026 artfynd.xlsx", "A 32331-2026")</f>
        <v/>
      </c>
      <c r="X53">
        <f>HYPERLINK("https://klasma.github.io/Logging_2425/kartor/A 32331-2026 karta.png", "A 32331-2026")</f>
        <v/>
      </c>
      <c r="Y53">
        <f>HYPERLINK("https://klasma.github.io/Logging_2425/kartor_geotiff/A 32331-2026 georefererad karta.tif", "A 32331-2026")</f>
        <v/>
      </c>
      <c r="AA53">
        <f>HYPERLINK("https://klasma.github.io/Logging_2425/klagomål/A 32331-2026 FSC-klagomål.docx", "A 32331-2026")</f>
        <v/>
      </c>
      <c r="AB53">
        <f>HYPERLINK("https://klasma.github.io/Logging_2425/klagomålsmail/A 32331-2026 FSC-klagomål mail.docx", "A 32331-2026")</f>
        <v/>
      </c>
      <c r="AC53">
        <f>HYPERLINK("https://klasma.github.io/Logging_2425/tillsyn/A 32331-2026 tillsynsbegäran.docx", "A 32331-2026")</f>
        <v/>
      </c>
      <c r="AD53">
        <f>HYPERLINK("https://klasma.github.io/Logging_2425/tillsynsmail/A 32331-2026 tillsynsbegäran mail.docx", "A 32331-2026")</f>
        <v/>
      </c>
    </row>
    <row r="54" ht="15" customHeight="1">
      <c r="A54" t="inlineStr">
        <is>
          <t>A 30357-2026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46209</v>
      </c>
      <c r="E54" s="1" t="n">
        <v>46259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Tajgahumla</t>
        </is>
      </c>
      <c r="W54">
        <f>HYPERLINK("https://klasma.github.io/Logging_2425/artfynd/A 30357-2026 artfynd.xlsx", "A 30357-2026")</f>
        <v/>
      </c>
      <c r="X54">
        <f>HYPERLINK("https://klasma.github.io/Logging_2425/kartor/A 30357-2026 karta.png", "A 30357-2026")</f>
        <v/>
      </c>
      <c r="Y54">
        <f>HYPERLINK("https://klasma.github.io/Logging_2425/kartor_geotiff/A 30357-2026 georefererad karta.tif", "A 30357-2026")</f>
        <v/>
      </c>
      <c r="AA54">
        <f>HYPERLINK("https://klasma.github.io/Logging_2425/klagomål/A 30357-2026 FSC-klagomål.docx", "A 30357-2026")</f>
        <v/>
      </c>
      <c r="AB54">
        <f>HYPERLINK("https://klasma.github.io/Logging_2425/klagomålsmail/A 30357-2026 FSC-klagomål mail.docx", "A 30357-2026")</f>
        <v/>
      </c>
      <c r="AC54">
        <f>HYPERLINK("https://klasma.github.io/Logging_2425/tillsyn/A 30357-2026 tillsynsbegäran.docx", "A 30357-2026")</f>
        <v/>
      </c>
      <c r="AD54">
        <f>HYPERLINK("https://klasma.github.io/Logging_2425/tillsynsmail/A 30357-2026 tillsynsbegäran mail.docx", "A 30357-2026")</f>
        <v/>
      </c>
    </row>
    <row r="55" ht="15" customHeight="1">
      <c r="A55" t="inlineStr">
        <is>
          <t>S 877-2022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44606</v>
      </c>
      <c r="E55" s="1" t="n">
        <v>46259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598.1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Gammelgransskål</t>
        </is>
      </c>
      <c r="W55">
        <f>HYPERLINK("https://klasma.github.io/Logging_2425/artfynd/S 877-2022 artfynd.xlsx", "S 877-2022")</f>
        <v/>
      </c>
      <c r="X55">
        <f>HYPERLINK("https://klasma.github.io/Logging_2425/kartor/S 877-2022 karta.png", "S 877-2022")</f>
        <v/>
      </c>
      <c r="Y55">
        <f>HYPERLINK("https://klasma.github.io/Logging_2425/kartor_geotiff/S 877-2022 georefererad karta.tif", "S 877-2022")</f>
        <v/>
      </c>
      <c r="AA55">
        <f>HYPERLINK("https://klasma.github.io/Logging_2425/klagomål/S 877-2022 FSC-klagomål.docx", "S 877-2022")</f>
        <v/>
      </c>
      <c r="AB55">
        <f>HYPERLINK("https://klasma.github.io/Logging_2425/klagomålsmail/S 877-2022 FSC-klagomål mail.docx", "S 877-2022")</f>
        <v/>
      </c>
      <c r="AC55">
        <f>HYPERLINK("https://klasma.github.io/Logging_2425/tillsyn/S 877-2022 tillsynsbegäran.docx", "S 877-2022")</f>
        <v/>
      </c>
      <c r="AD55">
        <f>HYPERLINK("https://klasma.github.io/Logging_2425/tillsynsmail/S 877-2022 tillsynsbegäran mail.docx", "S 877-2022")</f>
        <v/>
      </c>
    </row>
    <row r="56" ht="15" customHeight="1">
      <c r="A56" t="inlineStr">
        <is>
          <t>S 1194-2025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45756</v>
      </c>
      <c r="E56" s="1" t="n">
        <v>46259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13.9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Stjärntagging</t>
        </is>
      </c>
      <c r="W56">
        <f>HYPERLINK("https://klasma.github.io/Logging_2425/artfynd/S 1194-2025 artfynd.xlsx", "S 1194-2025")</f>
        <v/>
      </c>
      <c r="X56">
        <f>HYPERLINK("https://klasma.github.io/Logging_2425/kartor/S 1194-2025 karta.png", "S 1194-2025")</f>
        <v/>
      </c>
      <c r="Y56">
        <f>HYPERLINK("https://klasma.github.io/Logging_2425/kartor_geotiff/S 1194-2025 georefererad karta.tif", "S 1194-2025")</f>
        <v/>
      </c>
      <c r="AA56">
        <f>HYPERLINK("https://klasma.github.io/Logging_2425/klagomål/S 1194-2025 FSC-klagomål.docx", "S 1194-2025")</f>
        <v/>
      </c>
      <c r="AB56">
        <f>HYPERLINK("https://klasma.github.io/Logging_2425/klagomålsmail/S 1194-2025 FSC-klagomål mail.docx", "S 1194-2025")</f>
        <v/>
      </c>
      <c r="AC56">
        <f>HYPERLINK("https://klasma.github.io/Logging_2425/tillsyn/S 1194-2025 tillsynsbegäran.docx", "S 1194-2025")</f>
        <v/>
      </c>
      <c r="AD56">
        <f>HYPERLINK("https://klasma.github.io/Logging_2425/tillsynsmail/S 1194-2025 tillsynsbegäran mail.docx", "S 1194-2025")</f>
        <v/>
      </c>
    </row>
    <row r="57" ht="15" customHeight="1">
      <c r="A57" t="inlineStr">
        <is>
          <t>S 2107-2026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46240</v>
      </c>
      <c r="E57" s="1" t="n">
        <v>46259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HYPERLINK("https://klasma.github.io/Logging_2425/artfynd/S 2107-2026 artfynd.xlsx", "S 2107-2026")</f>
        <v/>
      </c>
      <c r="X57">
        <f>HYPERLINK("https://klasma.github.io/Logging_2425/kartor/S 2107-2026 karta.png", "S 2107-2026")</f>
        <v/>
      </c>
      <c r="Y57">
        <f>HYPERLINK("https://klasma.github.io/Logging_2425/kartor_geotiff/S 2107-2026 georefererad karta.tif", "S 2107-2026")</f>
        <v/>
      </c>
      <c r="AA57">
        <f>HYPERLINK("https://klasma.github.io/Logging_2425/klagomål/S 2107-2026 FSC-klagomål.docx", "S 2107-2026")</f>
        <v/>
      </c>
      <c r="AB57">
        <f>HYPERLINK("https://klasma.github.io/Logging_2425/klagomålsmail/S 2107-2026 FSC-klagomål mail.docx", "S 2107-2026")</f>
        <v/>
      </c>
      <c r="AC57">
        <f>HYPERLINK("https://klasma.github.io/Logging_2425/tillsyn/S 2107-2026 tillsynsbegäran.docx", "S 2107-2026")</f>
        <v/>
      </c>
      <c r="AD57">
        <f>HYPERLINK("https://klasma.github.io/Logging_2425/tillsynsmail/S 2107-2026 tillsynsbegäran mail.docx", "S 2107-2026")</f>
        <v/>
      </c>
    </row>
    <row r="58" ht="15" customHeight="1">
      <c r="A58" t="inlineStr">
        <is>
          <t>A 64063-2021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46259</v>
      </c>
      <c r="F58" t="inlineStr">
        <is>
          <t>VÄSTERBOTTENS LÄN</t>
        </is>
      </c>
      <c r="G58" t="inlineStr">
        <is>
          <t>DOROTEA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46259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11309-2022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44629</v>
      </c>
      <c r="E60" s="1" t="n">
        <v>46259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43403-2022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46259</v>
      </c>
      <c r="F61" t="inlineStr">
        <is>
          <t>VÄSTERBOTTENS LÄN</t>
        </is>
      </c>
      <c r="G61" t="inlineStr">
        <is>
          <t>DOROTEA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24183-2022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46259</v>
      </c>
      <c r="F62" t="inlineStr">
        <is>
          <t>VÄSTERBOTTENS LÄN</t>
        </is>
      </c>
      <c r="G62" t="inlineStr">
        <is>
          <t>DOROTEA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48935-2022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46259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7.7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44845</v>
      </c>
      <c r="E64" s="1" t="n">
        <v>46259</v>
      </c>
      <c r="F64" t="inlineStr">
        <is>
          <t>VÄSTERBOTTENS LÄN</t>
        </is>
      </c>
      <c r="G64" t="inlineStr">
        <is>
          <t>DOROTEA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46982-2022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44851</v>
      </c>
      <c r="E65" s="1" t="n">
        <v>46259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44587</v>
      </c>
      <c r="E66" s="1" t="n">
        <v>46259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25356-2025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45800</v>
      </c>
      <c r="E67" s="1" t="n">
        <v>46259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44889</v>
      </c>
      <c r="E68" s="1" t="n">
        <v>46259</v>
      </c>
      <c r="F68" t="inlineStr">
        <is>
          <t>VÄSTERBOTTENS LÄN</t>
        </is>
      </c>
      <c r="G68" t="inlineStr">
        <is>
          <t>DOROTEA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46259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25606-2025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45803</v>
      </c>
      <c r="E70" s="1" t="n">
        <v>46259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26315-2025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46259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45244</v>
      </c>
      <c r="E72" s="1" t="n">
        <v>46259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26481-2025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45807</v>
      </c>
      <c r="E73" s="1" t="n">
        <v>46259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27199-2024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45471</v>
      </c>
      <c r="E74" s="1" t="n">
        <v>46259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45807</v>
      </c>
      <c r="E75" s="1" t="n">
        <v>46259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45664</v>
      </c>
      <c r="E76" s="1" t="n">
        <v>46259</v>
      </c>
      <c r="F76" t="inlineStr">
        <is>
          <t>VÄSTERBOTTENS LÄN</t>
        </is>
      </c>
      <c r="G76" t="inlineStr">
        <is>
          <t>DOROTEA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46259</v>
      </c>
      <c r="F77" t="inlineStr">
        <is>
          <t>VÄSTERBOTTENS LÄN</t>
        </is>
      </c>
      <c r="G77" t="inlineStr">
        <is>
          <t>DOROTEA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45811</v>
      </c>
      <c r="E78" s="1" t="n">
        <v>46259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30570-2023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46259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9172-2025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46259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45734</v>
      </c>
      <c r="E81" s="1" t="n">
        <v>46259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46259</v>
      </c>
      <c r="F82" t="inlineStr">
        <is>
          <t>VÄSTERBOTTENS LÄN</t>
        </is>
      </c>
      <c r="G82" t="inlineStr">
        <is>
          <t>DOROTEA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45817</v>
      </c>
      <c r="E83" s="1" t="n">
        <v>46259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53117-2023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45228</v>
      </c>
      <c r="E84" s="1" t="n">
        <v>46259</v>
      </c>
      <c r="F84" t="inlineStr">
        <is>
          <t>VÄSTERBOTTENS LÄN</t>
        </is>
      </c>
      <c r="G84" t="inlineStr">
        <is>
          <t>DOROTEA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53118-2023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45228</v>
      </c>
      <c r="E85" s="1" t="n">
        <v>46259</v>
      </c>
      <c r="F85" t="inlineStr">
        <is>
          <t>VÄSTERBOTTENS LÄN</t>
        </is>
      </c>
      <c r="G85" t="inlineStr">
        <is>
          <t>DOROTEA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14320-2024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45393</v>
      </c>
      <c r="E86" s="1" t="n">
        <v>46259</v>
      </c>
      <c r="F86" t="inlineStr">
        <is>
          <t>VÄSTERBOTTENS LÄN</t>
        </is>
      </c>
      <c r="G86" t="inlineStr">
        <is>
          <t>DOROTEA</t>
        </is>
      </c>
      <c r="I86" t="n">
        <v>10.2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29258-2025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46259</v>
      </c>
      <c r="F87" t="inlineStr">
        <is>
          <t>VÄSTERBOTTENS LÄN</t>
        </is>
      </c>
      <c r="G87" t="inlineStr">
        <is>
          <t>DOROTEA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46259</v>
      </c>
      <c r="F88" t="inlineStr">
        <is>
          <t>VÄSTERBOTTENS LÄN</t>
        </is>
      </c>
      <c r="G88" t="inlineStr">
        <is>
          <t>DOROTEA</t>
        </is>
      </c>
      <c r="I88" t="n">
        <v>10.6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44568</v>
      </c>
      <c r="E89" s="1" t="n">
        <v>46259</v>
      </c>
      <c r="F89" t="inlineStr">
        <is>
          <t>VÄSTERBOTTENS LÄN</t>
        </is>
      </c>
      <c r="G89" t="inlineStr">
        <is>
          <t>DOROTEA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48006-2023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45198</v>
      </c>
      <c r="E90" s="1" t="n">
        <v>46259</v>
      </c>
      <c r="F90" t="inlineStr">
        <is>
          <t>VÄSTERBOTTENS LÄN</t>
        </is>
      </c>
      <c r="G90" t="inlineStr">
        <is>
          <t>DOROTEA</t>
        </is>
      </c>
      <c r="H90" t="inlineStr">
        <is>
          <t>Övriga statliga verk och myndigheter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15057-2024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45399</v>
      </c>
      <c r="E91" s="1" t="n">
        <v>46259</v>
      </c>
      <c r="F91" t="inlineStr">
        <is>
          <t>VÄSTERBOTTENS LÄN</t>
        </is>
      </c>
      <c r="G91" t="inlineStr">
        <is>
          <t>DOROTEA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17591-2025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45757</v>
      </c>
      <c r="E92" s="1" t="n">
        <v>46259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45385</v>
      </c>
      <c r="E93" s="1" t="n">
        <v>46259</v>
      </c>
      <c r="F93" t="inlineStr">
        <is>
          <t>VÄSTERBOTTENS LÄN</t>
        </is>
      </c>
      <c r="G93" t="inlineStr">
        <is>
          <t>DOROTEA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45036</v>
      </c>
      <c r="E94" s="1" t="n">
        <v>46259</v>
      </c>
      <c r="F94" t="inlineStr">
        <is>
          <t>VÄSTERBOTTENS LÄN</t>
        </is>
      </c>
      <c r="G94" t="inlineStr">
        <is>
          <t>DOROTEA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31532-2025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45833</v>
      </c>
      <c r="E95" s="1" t="n">
        <v>46259</v>
      </c>
      <c r="F95" t="inlineStr">
        <is>
          <t>VÄSTERBOTTENS LÄN</t>
        </is>
      </c>
      <c r="G95" t="inlineStr">
        <is>
          <t>DOROTEA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31510-2025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45833</v>
      </c>
      <c r="E96" s="1" t="n">
        <v>46259</v>
      </c>
      <c r="F96" t="inlineStr">
        <is>
          <t>VÄSTERBOTTENS LÄN</t>
        </is>
      </c>
      <c r="G96" t="inlineStr">
        <is>
          <t>DOROTEA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46259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38227-2025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45883</v>
      </c>
      <c r="E98" s="1" t="n">
        <v>46259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41771-2024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45561</v>
      </c>
      <c r="E99" s="1" t="n">
        <v>46259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55919-2023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45239</v>
      </c>
      <c r="E100" s="1" t="n">
        <v>46259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22580-2023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45069</v>
      </c>
      <c r="E101" s="1" t="n">
        <v>46259</v>
      </c>
      <c r="F101" t="inlineStr">
        <is>
          <t>VÄSTERBOTTENS LÄN</t>
        </is>
      </c>
      <c r="G101" t="inlineStr">
        <is>
          <t>DOROTEA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60304-2022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44910</v>
      </c>
      <c r="E102" s="1" t="n">
        <v>46259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45840</v>
      </c>
      <c r="E103" s="1" t="n">
        <v>46259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52393-2023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45224</v>
      </c>
      <c r="E104" s="1" t="n">
        <v>46259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34279-2025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45846</v>
      </c>
      <c r="E105" s="1" t="n">
        <v>46259</v>
      </c>
      <c r="F105" t="inlineStr">
        <is>
          <t>VÄSTERBOTTENS LÄN</t>
        </is>
      </c>
      <c r="G105" t="inlineStr">
        <is>
          <t>DOROTEA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41353-2022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46259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34681-2025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45848</v>
      </c>
      <c r="E107" s="1" t="n">
        <v>46259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34488-2025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45847</v>
      </c>
      <c r="E108" s="1" t="n">
        <v>46259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45849</v>
      </c>
      <c r="E109" s="1" t="n">
        <v>46259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35093-2025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45852</v>
      </c>
      <c r="E110" s="1" t="n">
        <v>46259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45855</v>
      </c>
      <c r="E111" s="1" t="n">
        <v>46259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46259</v>
      </c>
      <c r="F112" t="inlineStr">
        <is>
          <t>VÄSTERBOTTENS LÄN</t>
        </is>
      </c>
      <c r="G112" t="inlineStr">
        <is>
          <t>DOROTEA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45855</v>
      </c>
      <c r="E113" s="1" t="n">
        <v>46259</v>
      </c>
      <c r="F113" t="inlineStr">
        <is>
          <t>VÄSTERBOTTENS LÄN</t>
        </is>
      </c>
      <c r="G113" t="inlineStr">
        <is>
          <t>DOROTEA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35458-2025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45855</v>
      </c>
      <c r="E114" s="1" t="n">
        <v>46259</v>
      </c>
      <c r="F114" t="inlineStr">
        <is>
          <t>VÄSTERBOTTENS LÄN</t>
        </is>
      </c>
      <c r="G114" t="inlineStr">
        <is>
          <t>DOROTEA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8088-2023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44974</v>
      </c>
      <c r="E115" s="1" t="n">
        <v>46259</v>
      </c>
      <c r="F115" t="inlineStr">
        <is>
          <t>VÄSTERBOTTENS LÄN</t>
        </is>
      </c>
      <c r="G115" t="inlineStr">
        <is>
          <t>DOROTEA</t>
        </is>
      </c>
      <c r="I115" t="n">
        <v>14.8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44979</v>
      </c>
      <c r="E116" s="1" t="n">
        <v>46259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45551</v>
      </c>
      <c r="E117" s="1" t="n">
        <v>46259</v>
      </c>
      <c r="F117" t="inlineStr">
        <is>
          <t>VÄSTERBOTTENS LÄN</t>
        </is>
      </c>
      <c r="G117" t="inlineStr">
        <is>
          <t>DOROTEA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36125-2025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45866</v>
      </c>
      <c r="E118" s="1" t="n">
        <v>46259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36111-2025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45866</v>
      </c>
      <c r="E119" s="1" t="n">
        <v>46259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4958-2023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44956</v>
      </c>
      <c r="E120" s="1" t="n">
        <v>46259</v>
      </c>
      <c r="F120" t="inlineStr">
        <is>
          <t>VÄSTERBOTTENS LÄN</t>
        </is>
      </c>
      <c r="G120" t="inlineStr">
        <is>
          <t>DOROTEA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46259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36845-2025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45874</v>
      </c>
      <c r="E122" s="1" t="n">
        <v>46259</v>
      </c>
      <c r="F122" t="inlineStr">
        <is>
          <t>VÄSTERBOTTENS LÄN</t>
        </is>
      </c>
      <c r="G122" t="inlineStr">
        <is>
          <t>DOROTEA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39778-2025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46259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45893</v>
      </c>
      <c r="E124" s="1" t="n">
        <v>46259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10.3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3240-2022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44582</v>
      </c>
      <c r="E125" s="1" t="n">
        <v>46259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34700-2023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45140</v>
      </c>
      <c r="E126" s="1" t="n">
        <v>46259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34702-2023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45140</v>
      </c>
      <c r="E127" s="1" t="n">
        <v>46259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57070-2023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45244</v>
      </c>
      <c r="E128" s="1" t="n">
        <v>46259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59418-2023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45253</v>
      </c>
      <c r="E129" s="1" t="n">
        <v>46259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36844-2025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45874</v>
      </c>
      <c r="E130" s="1" t="n">
        <v>46259</v>
      </c>
      <c r="F130" t="inlineStr">
        <is>
          <t>VÄSTERBOTTENS LÄN</t>
        </is>
      </c>
      <c r="G130" t="inlineStr">
        <is>
          <t>DOROTEA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49077-2022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44860</v>
      </c>
      <c r="E131" s="1" t="n">
        <v>46259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Sveaskog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37259-2025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45876</v>
      </c>
      <c r="E132" s="1" t="n">
        <v>46259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37135-2025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45875</v>
      </c>
      <c r="E133" s="1" t="n">
        <v>46259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37276-2025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45876</v>
      </c>
      <c r="E134" s="1" t="n">
        <v>46259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45488</v>
      </c>
      <c r="E135" s="1" t="n">
        <v>46259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29454-2024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45483</v>
      </c>
      <c r="E136" s="1" t="n">
        <v>46259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37476-2025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45877</v>
      </c>
      <c r="E137" s="1" t="n">
        <v>46259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45712</v>
      </c>
      <c r="E138" s="1" t="n">
        <v>46259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45882</v>
      </c>
      <c r="E139" s="1" t="n">
        <v>46259</v>
      </c>
      <c r="F139" t="inlineStr">
        <is>
          <t>VÄSTERBOTTENS LÄN</t>
        </is>
      </c>
      <c r="G139" t="inlineStr">
        <is>
          <t>DOROTEA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45882</v>
      </c>
      <c r="E140" s="1" t="n">
        <v>46259</v>
      </c>
      <c r="F140" t="inlineStr">
        <is>
          <t>VÄSTERBOTTENS LÄN</t>
        </is>
      </c>
      <c r="G140" t="inlineStr">
        <is>
          <t>DOROTEA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45882</v>
      </c>
      <c r="E141" s="1" t="n">
        <v>46259</v>
      </c>
      <c r="F141" t="inlineStr">
        <is>
          <t>VÄSTERBOTTENS LÄN</t>
        </is>
      </c>
      <c r="G141" t="inlineStr">
        <is>
          <t>DOROTEA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38097-2025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45882</v>
      </c>
      <c r="E142" s="1" t="n">
        <v>46259</v>
      </c>
      <c r="F142" t="inlineStr">
        <is>
          <t>VÄSTERBOTTENS LÄN</t>
        </is>
      </c>
      <c r="G142" t="inlineStr">
        <is>
          <t>DOROTEA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38098-2025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45882</v>
      </c>
      <c r="E143" s="1" t="n">
        <v>46259</v>
      </c>
      <c r="F143" t="inlineStr">
        <is>
          <t>VÄSTERBOTTENS LÄN</t>
        </is>
      </c>
      <c r="G143" t="inlineStr">
        <is>
          <t>DOROTEA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17776-2023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45036</v>
      </c>
      <c r="E144" s="1" t="n">
        <v>46259</v>
      </c>
      <c r="F144" t="inlineStr">
        <is>
          <t>VÄSTERBOTTENS LÄN</t>
        </is>
      </c>
      <c r="G144" t="inlineStr">
        <is>
          <t>DOROTEA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29645-2023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45098</v>
      </c>
      <c r="E145" s="1" t="n">
        <v>46259</v>
      </c>
      <c r="F145" t="inlineStr">
        <is>
          <t>VÄSTERBOTTENS LÄN</t>
        </is>
      </c>
      <c r="G145" t="inlineStr">
        <is>
          <t>DOROTEA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40435-2023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45169</v>
      </c>
      <c r="E146" s="1" t="n">
        <v>46259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46259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45556</v>
      </c>
      <c r="E148" s="1" t="n">
        <v>46259</v>
      </c>
      <c r="F148" t="inlineStr">
        <is>
          <t>VÄSTERBOTTENS LÄN</t>
        </is>
      </c>
      <c r="G148" t="inlineStr">
        <is>
          <t>DOROTEA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57955-2021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44484</v>
      </c>
      <c r="E149" s="1" t="n">
        <v>46259</v>
      </c>
      <c r="F149" t="inlineStr">
        <is>
          <t>VÄSTERBOTTENS LÄN</t>
        </is>
      </c>
      <c r="G149" t="inlineStr">
        <is>
          <t>DOROTEA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42125-2025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46259</v>
      </c>
      <c r="F150" t="inlineStr">
        <is>
          <t>VÄSTERBOTTENS LÄN</t>
        </is>
      </c>
      <c r="G150" t="inlineStr">
        <is>
          <t>DOROTEA</t>
        </is>
      </c>
      <c r="H150" t="inlineStr">
        <is>
          <t>Övriga Aktiebolag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41871-2025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45903</v>
      </c>
      <c r="E151" s="1" t="n">
        <v>46259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46966-2024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45586</v>
      </c>
      <c r="E152" s="1" t="n">
        <v>46259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Sveaskog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42553-2025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46259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55549-2024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45622</v>
      </c>
      <c r="E154" s="1" t="n">
        <v>46259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42515-2023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45180</v>
      </c>
      <c r="E155" s="1" t="n">
        <v>46259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27.7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14249-2026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46099</v>
      </c>
      <c r="E156" s="1" t="n">
        <v>46259</v>
      </c>
      <c r="F156" t="inlineStr">
        <is>
          <t>VÄSTERBOTTENS LÄN</t>
        </is>
      </c>
      <c r="G156" t="inlineStr">
        <is>
          <t>DOROTEA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45721</v>
      </c>
      <c r="E157" s="1" t="n">
        <v>46259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12.2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57431-2022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44889</v>
      </c>
      <c r="E158" s="1" t="n">
        <v>46259</v>
      </c>
      <c r="F158" t="inlineStr">
        <is>
          <t>VÄSTERBOTTENS LÄN</t>
        </is>
      </c>
      <c r="G158" t="inlineStr">
        <is>
          <t>DOROTEA</t>
        </is>
      </c>
      <c r="I158" t="n">
        <v>15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15020-2026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46104</v>
      </c>
      <c r="E159" s="1" t="n">
        <v>46259</v>
      </c>
      <c r="F159" t="inlineStr">
        <is>
          <t>VÄSTERBOTTENS LÄN</t>
        </is>
      </c>
      <c r="G159" t="inlineStr">
        <is>
          <t>DOROTEA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45331</v>
      </c>
      <c r="E160" s="1" t="n">
        <v>46259</v>
      </c>
      <c r="F160" t="inlineStr">
        <is>
          <t>VÄSTERBOTTENS LÄN</t>
        </is>
      </c>
      <c r="G160" t="inlineStr">
        <is>
          <t>DOROTEA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74013-2021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44557</v>
      </c>
      <c r="E161" s="1" t="n">
        <v>46259</v>
      </c>
      <c r="F161" t="inlineStr">
        <is>
          <t>VÄSTERBOTTENS LÄN</t>
        </is>
      </c>
      <c r="G161" t="inlineStr">
        <is>
          <t>DOROTEA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44925</v>
      </c>
      <c r="E162" s="1" t="n">
        <v>46259</v>
      </c>
      <c r="F162" t="inlineStr">
        <is>
          <t>VÄSTERBOTTENS LÄN</t>
        </is>
      </c>
      <c r="G162" t="inlineStr">
        <is>
          <t>DOROTEA</t>
        </is>
      </c>
      <c r="I162" t="n">
        <v>22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23300-2023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45075</v>
      </c>
      <c r="E163" s="1" t="n">
        <v>46259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45742</v>
      </c>
      <c r="E164" s="1" t="n">
        <v>46259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46107</v>
      </c>
      <c r="E165" s="1" t="n">
        <v>46259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17658-2023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45036</v>
      </c>
      <c r="E166" s="1" t="n">
        <v>46259</v>
      </c>
      <c r="F166" t="inlineStr">
        <is>
          <t>VÄSTERBOTTENS LÄN</t>
        </is>
      </c>
      <c r="G166" t="inlineStr">
        <is>
          <t>DOROTEA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30373-2024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45491</v>
      </c>
      <c r="E167" s="1" t="n">
        <v>46259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Sveaskog</t>
        </is>
      </c>
      <c r="I167" t="n">
        <v>13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16251-2026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46259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35990-2023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45148</v>
      </c>
      <c r="E169" s="1" t="n">
        <v>46259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43720-2025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45912</v>
      </c>
      <c r="E170" s="1" t="n">
        <v>46259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16352-2026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46259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33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53357-2024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45614</v>
      </c>
      <c r="E172" s="1" t="n">
        <v>46259</v>
      </c>
      <c r="F172" t="inlineStr">
        <is>
          <t>VÄSTERBOTTENS LÄN</t>
        </is>
      </c>
      <c r="G172" t="inlineStr">
        <is>
          <t>DOROTEA</t>
        </is>
      </c>
      <c r="I172" t="n">
        <v>26.5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16276-2026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46259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45912</v>
      </c>
      <c r="E174" s="1" t="n">
        <v>46259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8092-2023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44974</v>
      </c>
      <c r="E175" s="1" t="n">
        <v>46259</v>
      </c>
      <c r="F175" t="inlineStr">
        <is>
          <t>VÄSTERBOTTENS LÄN</t>
        </is>
      </c>
      <c r="G175" t="inlineStr">
        <is>
          <t>DOROTEA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45912</v>
      </c>
      <c r="E176" s="1" t="n">
        <v>46259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16896-2026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46113</v>
      </c>
      <c r="E177" s="1" t="n">
        <v>46259</v>
      </c>
      <c r="F177" t="inlineStr">
        <is>
          <t>VÄSTERBOTTENS LÄN</t>
        </is>
      </c>
      <c r="G177" t="inlineStr">
        <is>
          <t>DOROTEA</t>
        </is>
      </c>
      <c r="H177" t="inlineStr">
        <is>
          <t>Kommuner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16985-2026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46114</v>
      </c>
      <c r="E178" s="1" t="n">
        <v>46259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44282-2025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45916</v>
      </c>
      <c r="E179" s="1" t="n">
        <v>46259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42484-2024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45565</v>
      </c>
      <c r="E180" s="1" t="n">
        <v>46259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17623-2026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46121</v>
      </c>
      <c r="E181" s="1" t="n">
        <v>46259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20.3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17537-2026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46120</v>
      </c>
      <c r="E182" s="1" t="n">
        <v>46259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8.6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45552</v>
      </c>
      <c r="E183" s="1" t="n">
        <v>46259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7429-2023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44971</v>
      </c>
      <c r="E184" s="1" t="n">
        <v>46259</v>
      </c>
      <c r="F184" t="inlineStr">
        <is>
          <t>VÄSTERBOTTENS LÄN</t>
        </is>
      </c>
      <c r="G184" t="inlineStr">
        <is>
          <t>DOROTEA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44357-2025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45916</v>
      </c>
      <c r="E185" s="1" t="n">
        <v>46259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44194-2025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45915</v>
      </c>
      <c r="E186" s="1" t="n">
        <v>46259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8.4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44190-2025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45915</v>
      </c>
      <c r="E187" s="1" t="n">
        <v>46259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44395-2025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45916</v>
      </c>
      <c r="E188" s="1" t="n">
        <v>46259</v>
      </c>
      <c r="F188" t="inlineStr">
        <is>
          <t>VÄSTERBOTTENS LÄN</t>
        </is>
      </c>
      <c r="G188" t="inlineStr">
        <is>
          <t>DOROTEA</t>
        </is>
      </c>
      <c r="H188" t="inlineStr">
        <is>
          <t>Övriga statliga verk och myndigheter</t>
        </is>
      </c>
      <c r="I188" t="n">
        <v>15.2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18143-2026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46125</v>
      </c>
      <c r="E189" s="1" t="n">
        <v>46259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46123</v>
      </c>
      <c r="E190" s="1" t="n">
        <v>46259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46125</v>
      </c>
      <c r="E191" s="1" t="n">
        <v>46259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18.3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18157-2026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46125</v>
      </c>
      <c r="E192" s="1" t="n">
        <v>46259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45672</v>
      </c>
      <c r="E193" s="1" t="n">
        <v>46259</v>
      </c>
      <c r="F193" t="inlineStr">
        <is>
          <t>VÄSTERBOTTENS LÄN</t>
        </is>
      </c>
      <c r="G193" t="inlineStr">
        <is>
          <t>DOROTEA</t>
        </is>
      </c>
      <c r="H193" t="inlineStr">
        <is>
          <t>Kommuner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46259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18254-2026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46126</v>
      </c>
      <c r="E195" s="1" t="n">
        <v>46259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46259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18310-2026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46126</v>
      </c>
      <c r="E197" s="1" t="n">
        <v>46259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46259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44956</v>
      </c>
      <c r="E199" s="1" t="n">
        <v>46259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45729</v>
      </c>
      <c r="E200" s="1" t="n">
        <v>46259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44719</v>
      </c>
      <c r="E201" s="1" t="n">
        <v>46259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22733-2023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45071</v>
      </c>
      <c r="E202" s="1" t="n">
        <v>46259</v>
      </c>
      <c r="F202" t="inlineStr">
        <is>
          <t>VÄSTERBOTTENS LÄN</t>
        </is>
      </c>
      <c r="G202" t="inlineStr">
        <is>
          <t>DOROTEA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22942-2024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45448</v>
      </c>
      <c r="E203" s="1" t="n">
        <v>46259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19445-2026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46133</v>
      </c>
      <c r="E204" s="1" t="n">
        <v>46259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19298-2026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46133</v>
      </c>
      <c r="E205" s="1" t="n">
        <v>46259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19446-2026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46133</v>
      </c>
      <c r="E206" s="1" t="n">
        <v>46259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44958</v>
      </c>
      <c r="E207" s="1" t="n">
        <v>46259</v>
      </c>
      <c r="F207" t="inlineStr">
        <is>
          <t>VÄSTERBOTTENS LÄN</t>
        </is>
      </c>
      <c r="G207" t="inlineStr">
        <is>
          <t>DOROTEA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46136</v>
      </c>
      <c r="E208" s="1" t="n">
        <v>46259</v>
      </c>
      <c r="F208" t="inlineStr">
        <is>
          <t>VÄSTERBOTTENS LÄN</t>
        </is>
      </c>
      <c r="G208" t="inlineStr">
        <is>
          <t>DOROTEA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34406-2025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45845</v>
      </c>
      <c r="E209" s="1" t="n">
        <v>46259</v>
      </c>
      <c r="F209" t="inlineStr">
        <is>
          <t>VÄSTERBOTTENS LÄN</t>
        </is>
      </c>
      <c r="G209" t="inlineStr">
        <is>
          <t>DOROTEA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34408-2025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45845</v>
      </c>
      <c r="E210" s="1" t="n">
        <v>46259</v>
      </c>
      <c r="F210" t="inlineStr">
        <is>
          <t>VÄSTERBOTTENS LÄN</t>
        </is>
      </c>
      <c r="G210" t="inlineStr">
        <is>
          <t>DOROTEA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25028-2024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45461</v>
      </c>
      <c r="E211" s="1" t="n">
        <v>46259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45846</v>
      </c>
      <c r="E212" s="1" t="n">
        <v>46259</v>
      </c>
      <c r="F212" t="inlineStr">
        <is>
          <t>VÄSTERBOTTENS LÄN</t>
        </is>
      </c>
      <c r="G212" t="inlineStr">
        <is>
          <t>DOROTEA</t>
        </is>
      </c>
      <c r="I212" t="n">
        <v>14.7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20522-2026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46140</v>
      </c>
      <c r="E213" s="1" t="n">
        <v>46259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35457-2025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45855</v>
      </c>
      <c r="E214" s="1" t="n">
        <v>46259</v>
      </c>
      <c r="F214" t="inlineStr">
        <is>
          <t>VÄSTERBOTTENS LÄN</t>
        </is>
      </c>
      <c r="G214" t="inlineStr">
        <is>
          <t>DOROTEA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44742</v>
      </c>
      <c r="E215" s="1" t="n">
        <v>46259</v>
      </c>
      <c r="F215" t="inlineStr">
        <is>
          <t>VÄSTERBOTTENS LÄN</t>
        </is>
      </c>
      <c r="G215" t="inlineStr">
        <is>
          <t>DOROTEA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36096-2025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45866</v>
      </c>
      <c r="E216" s="1" t="n">
        <v>46259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52148-2023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45223</v>
      </c>
      <c r="E217" s="1" t="n">
        <v>46259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4617-2023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44956</v>
      </c>
      <c r="E218" s="1" t="n">
        <v>46259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45295</v>
      </c>
      <c r="E219" s="1" t="n">
        <v>46259</v>
      </c>
      <c r="F219" t="inlineStr">
        <is>
          <t>VÄSTERBOTTENS LÄN</t>
        </is>
      </c>
      <c r="G219" t="inlineStr">
        <is>
          <t>DOROTEA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63294-2025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46010</v>
      </c>
      <c r="E220" s="1" t="n">
        <v>46259</v>
      </c>
      <c r="F220" t="inlineStr">
        <is>
          <t>VÄSTERBOTTENS LÄN</t>
        </is>
      </c>
      <c r="G220" t="inlineStr">
        <is>
          <t>DOROTEA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57170-2025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45978</v>
      </c>
      <c r="E221" s="1" t="n">
        <v>46259</v>
      </c>
      <c r="F221" t="inlineStr">
        <is>
          <t>VÄSTERBOTTENS LÄN</t>
        </is>
      </c>
      <c r="G221" t="inlineStr">
        <is>
          <t>DOROTEA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20321-2026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46259</v>
      </c>
      <c r="F222" t="inlineStr">
        <is>
          <t>VÄSTERBOTTENS LÄN</t>
        </is>
      </c>
      <c r="G222" t="inlineStr">
        <is>
          <t>DOROTEA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20327-2026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46136</v>
      </c>
      <c r="E223" s="1" t="n">
        <v>46259</v>
      </c>
      <c r="F223" t="inlineStr">
        <is>
          <t>VÄSTERBOTTENS LÄN</t>
        </is>
      </c>
      <c r="G223" t="inlineStr">
        <is>
          <t>DOROTEA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63575-2025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46013</v>
      </c>
      <c r="E224" s="1" t="n">
        <v>46259</v>
      </c>
      <c r="F224" t="inlineStr">
        <is>
          <t>VÄSTERBOTTENS LÄN</t>
        </is>
      </c>
      <c r="G224" t="inlineStr">
        <is>
          <t>DOROTEA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46259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46259</v>
      </c>
      <c r="F226" t="inlineStr">
        <is>
          <t>VÄSTERBOTTENS LÄN</t>
        </is>
      </c>
      <c r="G226" t="inlineStr">
        <is>
          <t>DOROTEA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46259</v>
      </c>
      <c r="F227" t="inlineStr">
        <is>
          <t>VÄSTERBOTTENS LÄN</t>
        </is>
      </c>
      <c r="G227" t="inlineStr">
        <is>
          <t>DOROTEA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53272-2024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45614</v>
      </c>
      <c r="E228" s="1" t="n">
        <v>46259</v>
      </c>
      <c r="F228" t="inlineStr">
        <is>
          <t>VÄSTERBOTTENS LÄN</t>
        </is>
      </c>
      <c r="G228" t="inlineStr">
        <is>
          <t>DOROTEA</t>
        </is>
      </c>
      <c r="I228" t="n">
        <v>31.7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45519</v>
      </c>
      <c r="E229" s="1" t="n">
        <v>46259</v>
      </c>
      <c r="F229" t="inlineStr">
        <is>
          <t>VÄSTERBOTTENS LÄN</t>
        </is>
      </c>
      <c r="G229" t="inlineStr">
        <is>
          <t>DOROTEA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60162-2024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45642</v>
      </c>
      <c r="E230" s="1" t="n">
        <v>46259</v>
      </c>
      <c r="F230" t="inlineStr">
        <is>
          <t>VÄSTERBOTTENS LÄN</t>
        </is>
      </c>
      <c r="G230" t="inlineStr">
        <is>
          <t>DOROTEA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49408-2025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45938</v>
      </c>
      <c r="E231" s="1" t="n">
        <v>46259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49054-2025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46259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9.800000000000001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55889-2022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44888</v>
      </c>
      <c r="E233" s="1" t="n">
        <v>46259</v>
      </c>
      <c r="F233" t="inlineStr">
        <is>
          <t>VÄSTERBOTTENS LÄN</t>
        </is>
      </c>
      <c r="G233" t="inlineStr">
        <is>
          <t>DOROTEA</t>
        </is>
      </c>
      <c r="I233" t="n">
        <v>15.8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20333-2026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46136</v>
      </c>
      <c r="E234" s="1" t="n">
        <v>46259</v>
      </c>
      <c r="F234" t="inlineStr">
        <is>
          <t>VÄSTERBOTTENS LÄN</t>
        </is>
      </c>
      <c r="G234" t="inlineStr">
        <is>
          <t>DOROTEA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40438-2023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45169</v>
      </c>
      <c r="E235" s="1" t="n">
        <v>46259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53092-2024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45611</v>
      </c>
      <c r="E236" s="1" t="n">
        <v>46259</v>
      </c>
      <c r="F236" t="inlineStr">
        <is>
          <t>VÄSTERBOTTENS LÄN</t>
        </is>
      </c>
      <c r="G236" t="inlineStr">
        <is>
          <t>DOROTEA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45988</v>
      </c>
      <c r="E237" s="1" t="n">
        <v>46259</v>
      </c>
      <c r="F237" t="inlineStr">
        <is>
          <t>VÄSTERBOTTENS LÄN</t>
        </is>
      </c>
      <c r="G237" t="inlineStr">
        <is>
          <t>DOROTEA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45705</v>
      </c>
      <c r="E238" s="1" t="n">
        <v>46259</v>
      </c>
      <c r="F238" t="inlineStr">
        <is>
          <t>VÄSTERBOTTENS LÄN</t>
        </is>
      </c>
      <c r="G238" t="inlineStr">
        <is>
          <t>DOROTEA</t>
        </is>
      </c>
      <c r="I238" t="n">
        <v>13.3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37282-2025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45876</v>
      </c>
      <c r="E239" s="1" t="n">
        <v>46259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45735</v>
      </c>
      <c r="E240" s="1" t="n">
        <v>46259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8247-2024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45351</v>
      </c>
      <c r="E241" s="1" t="n">
        <v>46259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6.9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46259</v>
      </c>
      <c r="F242" t="inlineStr">
        <is>
          <t>VÄSTERBOTTENS LÄN</t>
        </is>
      </c>
      <c r="G242" t="inlineStr">
        <is>
          <t>DOROTEA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34101-2023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45125</v>
      </c>
      <c r="E243" s="1" t="n">
        <v>46259</v>
      </c>
      <c r="F243" t="inlineStr">
        <is>
          <t>VÄSTERBOTTENS LÄN</t>
        </is>
      </c>
      <c r="G243" t="inlineStr">
        <is>
          <t>DOROTEA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20332-2026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46259</v>
      </c>
      <c r="F244" t="inlineStr">
        <is>
          <t>VÄSTERBOTTENS LÄN</t>
        </is>
      </c>
      <c r="G244" t="inlineStr">
        <is>
          <t>DOROTEA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20390-2026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46259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45771</v>
      </c>
      <c r="E246" s="1" t="n">
        <v>46259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20286-2026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46136</v>
      </c>
      <c r="E247" s="1" t="n">
        <v>46259</v>
      </c>
      <c r="F247" t="inlineStr">
        <is>
          <t>VÄSTERBOTTENS LÄN</t>
        </is>
      </c>
      <c r="G247" t="inlineStr">
        <is>
          <t>DOROTEA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45678</v>
      </c>
      <c r="E248" s="1" t="n">
        <v>46259</v>
      </c>
      <c r="F248" t="inlineStr">
        <is>
          <t>VÄSTERBOTTENS LÄN</t>
        </is>
      </c>
      <c r="G248" t="inlineStr">
        <is>
          <t>DOROTEA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43092-2023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45182</v>
      </c>
      <c r="E249" s="1" t="n">
        <v>46259</v>
      </c>
      <c r="F249" t="inlineStr">
        <is>
          <t>VÄSTERBOTTENS LÄN</t>
        </is>
      </c>
      <c r="G249" t="inlineStr">
        <is>
          <t>DOROTEA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46141</v>
      </c>
      <c r="E250" s="1" t="n">
        <v>46259</v>
      </c>
      <c r="F250" t="inlineStr">
        <is>
          <t>VÄSTERBOTTENS LÄN</t>
        </is>
      </c>
      <c r="G250" t="inlineStr">
        <is>
          <t>DOROTEA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28717-2022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44748</v>
      </c>
      <c r="E251" s="1" t="n">
        <v>46259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47494-2023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45202</v>
      </c>
      <c r="E252" s="1" t="n">
        <v>46259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46141</v>
      </c>
      <c r="E253" s="1" t="n">
        <v>46259</v>
      </c>
      <c r="F253" t="inlineStr">
        <is>
          <t>VÄSTERBOTTENS LÄN</t>
        </is>
      </c>
      <c r="G253" t="inlineStr">
        <is>
          <t>DOROTEA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58313-2024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45632</v>
      </c>
      <c r="E254" s="1" t="n">
        <v>46259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36137-2023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45149</v>
      </c>
      <c r="E255" s="1" t="n">
        <v>46259</v>
      </c>
      <c r="F255" t="inlineStr">
        <is>
          <t>VÄSTERBOTTENS LÄN</t>
        </is>
      </c>
      <c r="G255" t="inlineStr">
        <is>
          <t>DOROTEA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20231-2026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46259</v>
      </c>
      <c r="F256" t="inlineStr">
        <is>
          <t>VÄSTERBOTTENS LÄN</t>
        </is>
      </c>
      <c r="G256" t="inlineStr">
        <is>
          <t>DOROTEA</t>
        </is>
      </c>
      <c r="I256" t="n">
        <v>21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8095-2023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46259</v>
      </c>
      <c r="F257" t="inlineStr">
        <is>
          <t>VÄSTERBOTTENS LÄN</t>
        </is>
      </c>
      <c r="G257" t="inlineStr">
        <is>
          <t>DOROTEA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40434-2023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45169</v>
      </c>
      <c r="E258" s="1" t="n">
        <v>46259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13.9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46141</v>
      </c>
      <c r="E259" s="1" t="n">
        <v>46259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46818-2023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45198</v>
      </c>
      <c r="E260" s="1" t="n">
        <v>46259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46136</v>
      </c>
      <c r="E261" s="1" t="n">
        <v>46259</v>
      </c>
      <c r="F261" t="inlineStr">
        <is>
          <t>VÄSTERBOTTENS LÄN</t>
        </is>
      </c>
      <c r="G261" t="inlineStr">
        <is>
          <t>DOROTEA</t>
        </is>
      </c>
      <c r="I261" t="n">
        <v>17.8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41104-2023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45170</v>
      </c>
      <c r="E262" s="1" t="n">
        <v>46259</v>
      </c>
      <c r="F262" t="inlineStr">
        <is>
          <t>VÄSTERBOTTENS LÄN</t>
        </is>
      </c>
      <c r="G262" t="inlineStr">
        <is>
          <t>DOROTEA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60145-2021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44494</v>
      </c>
      <c r="E263" s="1" t="n">
        <v>46259</v>
      </c>
      <c r="F263" t="inlineStr">
        <is>
          <t>VÄSTERBOTTENS LÄN</t>
        </is>
      </c>
      <c r="G263" t="inlineStr">
        <is>
          <t>DOROTEA</t>
        </is>
      </c>
      <c r="I263" t="n">
        <v>13.3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21199-2026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46146</v>
      </c>
      <c r="E264" s="1" t="n">
        <v>46259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21152-2026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46146</v>
      </c>
      <c r="E265" s="1" t="n">
        <v>46259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59007-2024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45636</v>
      </c>
      <c r="E266" s="1" t="n">
        <v>46259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21338-2026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46147</v>
      </c>
      <c r="E267" s="1" t="n">
        <v>46259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44820-2024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45574</v>
      </c>
      <c r="E268" s="1" t="n">
        <v>46259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10400-2025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45720</v>
      </c>
      <c r="E269" s="1" t="n">
        <v>46259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21332-2026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46147</v>
      </c>
      <c r="E270" s="1" t="n">
        <v>46259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27909-2024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45475</v>
      </c>
      <c r="E271" s="1" t="n">
        <v>46259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13.2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21749-2026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46149</v>
      </c>
      <c r="E272" s="1" t="n">
        <v>46259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21812-2026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46150</v>
      </c>
      <c r="E273" s="1" t="n">
        <v>46259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21902-2026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46150</v>
      </c>
      <c r="E274" s="1" t="n">
        <v>46259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12.8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27762-2026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46189</v>
      </c>
      <c r="E275" s="1" t="n">
        <v>46259</v>
      </c>
      <c r="F275" t="inlineStr">
        <is>
          <t>VÄSTERBOTTENS LÄN</t>
        </is>
      </c>
      <c r="G275" t="inlineStr">
        <is>
          <t>DOROTEA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46189</v>
      </c>
      <c r="E276" s="1" t="n">
        <v>46259</v>
      </c>
      <c r="F276" t="inlineStr">
        <is>
          <t>VÄSTERBOTTENS LÄN</t>
        </is>
      </c>
      <c r="G276" t="inlineStr">
        <is>
          <t>DOROTEA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46189</v>
      </c>
      <c r="E277" s="1" t="n">
        <v>46259</v>
      </c>
      <c r="F277" t="inlineStr">
        <is>
          <t>VÄSTERBOTTENS LÄN</t>
        </is>
      </c>
      <c r="G277" t="inlineStr">
        <is>
          <t>DOROTEA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57794-2023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45246</v>
      </c>
      <c r="E278" s="1" t="n">
        <v>46259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25719-2024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45463</v>
      </c>
      <c r="E279" s="1" t="n">
        <v>46259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22128-2026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46259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37105-2024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45539</v>
      </c>
      <c r="E281" s="1" t="n">
        <v>46259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12.3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55888-2022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44888</v>
      </c>
      <c r="E282" s="1" t="n">
        <v>46259</v>
      </c>
      <c r="F282" t="inlineStr">
        <is>
          <t>VÄSTERBOTTENS LÄN</t>
        </is>
      </c>
      <c r="G282" t="inlineStr">
        <is>
          <t>DOROTEA</t>
        </is>
      </c>
      <c r="I282" t="n">
        <v>7.6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22214-2026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46259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16.4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56807-2021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44481</v>
      </c>
      <c r="E284" s="1" t="n">
        <v>46259</v>
      </c>
      <c r="F284" t="inlineStr">
        <is>
          <t>VÄSTERBOTTENS LÄN</t>
        </is>
      </c>
      <c r="G284" t="inlineStr">
        <is>
          <t>DOROTEA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44960</v>
      </c>
      <c r="E285" s="1" t="n">
        <v>46259</v>
      </c>
      <c r="F285" t="inlineStr">
        <is>
          <t>VÄSTERBOTTENS LÄN</t>
        </is>
      </c>
      <c r="G285" t="inlineStr">
        <is>
          <t>DOROTEA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14806-2023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45013</v>
      </c>
      <c r="E286" s="1" t="n">
        <v>46259</v>
      </c>
      <c r="F286" t="inlineStr">
        <is>
          <t>VÄSTERBOTTENS LÄN</t>
        </is>
      </c>
      <c r="G286" t="inlineStr">
        <is>
          <t>DOROTEA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45747</v>
      </c>
      <c r="E287" s="1" t="n">
        <v>46259</v>
      </c>
      <c r="F287" t="inlineStr">
        <is>
          <t>VÄSTERBOTTENS LÄN</t>
        </is>
      </c>
      <c r="G287" t="inlineStr">
        <is>
          <t>DOROTEA</t>
        </is>
      </c>
      <c r="I287" t="n">
        <v>10.3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60169-2024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45642</v>
      </c>
      <c r="E288" s="1" t="n">
        <v>46259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14163-2024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45392</v>
      </c>
      <c r="E289" s="1" t="n">
        <v>46259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22650-2026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46155</v>
      </c>
      <c r="E290" s="1" t="n">
        <v>46259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38700-2024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45547</v>
      </c>
      <c r="E291" s="1" t="n">
        <v>46259</v>
      </c>
      <c r="F291" t="inlineStr">
        <is>
          <t>VÄSTERBOTTENS LÄN</t>
        </is>
      </c>
      <c r="G291" t="inlineStr">
        <is>
          <t>DOROTEA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15735-2026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46107</v>
      </c>
      <c r="E292" s="1" t="n">
        <v>46259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11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23001-2026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46160</v>
      </c>
      <c r="E293" s="1" t="n">
        <v>46259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38377-2023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45161</v>
      </c>
      <c r="E294" s="1" t="n">
        <v>46259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46817-2022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44848</v>
      </c>
      <c r="E295" s="1" t="n">
        <v>46259</v>
      </c>
      <c r="F295" t="inlineStr">
        <is>
          <t>VÄSTERBOTTENS LÄN</t>
        </is>
      </c>
      <c r="G295" t="inlineStr">
        <is>
          <t>DOROTEA</t>
        </is>
      </c>
      <c r="I295" t="n">
        <v>29.8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38096-2025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45882</v>
      </c>
      <c r="E296" s="1" t="n">
        <v>46259</v>
      </c>
      <c r="F296" t="inlineStr">
        <is>
          <t>VÄSTERBOTTENS LÄN</t>
        </is>
      </c>
      <c r="G296" t="inlineStr">
        <is>
          <t>DOROTEA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31497-2024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45505</v>
      </c>
      <c r="E297" s="1" t="n">
        <v>46259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23336-2026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46162</v>
      </c>
      <c r="E298" s="1" t="n">
        <v>46259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23324-2026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46162</v>
      </c>
      <c r="E299" s="1" t="n">
        <v>46259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42473-2024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45565</v>
      </c>
      <c r="E300" s="1" t="n">
        <v>46259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30461-2024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45491</v>
      </c>
      <c r="E301" s="1" t="n">
        <v>46259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7.1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54031-2025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45962</v>
      </c>
      <c r="E302" s="1" t="n">
        <v>46259</v>
      </c>
      <c r="F302" t="inlineStr">
        <is>
          <t>VÄSTERBOTTENS LÄN</t>
        </is>
      </c>
      <c r="G302" t="inlineStr">
        <is>
          <t>DOROTEA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46965-2024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45586</v>
      </c>
      <c r="E303" s="1" t="n">
        <v>46259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Sveaskog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23214-2026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46162</v>
      </c>
      <c r="E304" s="1" t="n">
        <v>46259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14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23408-2026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46162</v>
      </c>
      <c r="E305" s="1" t="n">
        <v>46259</v>
      </c>
      <c r="F305" t="inlineStr">
        <is>
          <t>VÄSTERBOTTENS LÄN</t>
        </is>
      </c>
      <c r="G305" t="inlineStr">
        <is>
          <t>DOROTEA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44980</v>
      </c>
      <c r="E306" s="1" t="n">
        <v>46259</v>
      </c>
      <c r="F306" t="inlineStr">
        <is>
          <t>VÄSTERBOTTENS LÄN</t>
        </is>
      </c>
      <c r="G306" t="inlineStr">
        <is>
          <t>DOROTEA</t>
        </is>
      </c>
      <c r="I306" t="n">
        <v>18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46259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50582-2024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45600</v>
      </c>
      <c r="E308" s="1" t="n">
        <v>46259</v>
      </c>
      <c r="F308" t="inlineStr">
        <is>
          <t>VÄSTERBOTTENS LÄN</t>
        </is>
      </c>
      <c r="G308" t="inlineStr">
        <is>
          <t>DOROTEA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25373-2026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46259</v>
      </c>
      <c r="F309" t="inlineStr">
        <is>
          <t>VÄSTERBOTTENS LÄN</t>
        </is>
      </c>
      <c r="G309" t="inlineStr">
        <is>
          <t>DOROTEA</t>
        </is>
      </c>
      <c r="I309" t="n">
        <v>7.9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42228-2024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45562</v>
      </c>
      <c r="E310" s="1" t="n">
        <v>46259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53409-2025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46259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31179-2026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46217</v>
      </c>
      <c r="E312" s="1" t="n">
        <v>46259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9103-2023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44979</v>
      </c>
      <c r="E313" s="1" t="n">
        <v>46259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7.7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25361-2026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46176</v>
      </c>
      <c r="E314" s="1" t="n">
        <v>46259</v>
      </c>
      <c r="F314" t="inlineStr">
        <is>
          <t>VÄSTERBOTTENS LÄN</t>
        </is>
      </c>
      <c r="G314" t="inlineStr">
        <is>
          <t>DOROTEA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31181-2026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46217</v>
      </c>
      <c r="E315" s="1" t="n">
        <v>46259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15.6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46218</v>
      </c>
      <c r="E316" s="1" t="n">
        <v>46259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27477-2023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45097</v>
      </c>
      <c r="E317" s="1" t="n">
        <v>46259</v>
      </c>
      <c r="F317" t="inlineStr">
        <is>
          <t>VÄSTERBOTTENS LÄN</t>
        </is>
      </c>
      <c r="G317" t="inlineStr">
        <is>
          <t>DOROTEA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31260-2026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46218</v>
      </c>
      <c r="E318" s="1" t="n">
        <v>46259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24839-2026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46259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46259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44942</v>
      </c>
      <c r="E321" s="1" t="n">
        <v>46259</v>
      </c>
      <c r="F321" t="inlineStr">
        <is>
          <t>VÄSTERBOTTENS LÄN</t>
        </is>
      </c>
      <c r="G321" t="inlineStr">
        <is>
          <t>DOROTEA</t>
        </is>
      </c>
      <c r="I321" t="n">
        <v>22.7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31259-2026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46218</v>
      </c>
      <c r="E322" s="1" t="n">
        <v>46259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54489-2025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45965</v>
      </c>
      <c r="E323" s="1" t="n">
        <v>46259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31439-2026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46220</v>
      </c>
      <c r="E324" s="1" t="n">
        <v>46259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10.1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45566</v>
      </c>
      <c r="E325" s="1" t="n">
        <v>46259</v>
      </c>
      <c r="F325" t="inlineStr">
        <is>
          <t>VÄSTERBOTTENS LÄN</t>
        </is>
      </c>
      <c r="G325" t="inlineStr">
        <is>
          <t>DOROTEA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54623-2025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45966</v>
      </c>
      <c r="E326" s="1" t="n">
        <v>46259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54624-2025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45966</v>
      </c>
      <c r="E327" s="1" t="n">
        <v>46259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7.3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14255-2026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46099</v>
      </c>
      <c r="E328" s="1" t="n">
        <v>46259</v>
      </c>
      <c r="F328" t="inlineStr">
        <is>
          <t>VÄSTERBOTTENS LÄN</t>
        </is>
      </c>
      <c r="G328" t="inlineStr">
        <is>
          <t>DOROTEA</t>
        </is>
      </c>
      <c r="I328" t="n">
        <v>26.2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31573-2026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46224</v>
      </c>
      <c r="E329" s="1" t="n">
        <v>46259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31574-2026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46224</v>
      </c>
      <c r="E330" s="1" t="n">
        <v>46259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26124-2026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46181</v>
      </c>
      <c r="E331" s="1" t="n">
        <v>46259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25682-2026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46178</v>
      </c>
      <c r="E332" s="1" t="n">
        <v>46259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31575-2026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46224</v>
      </c>
      <c r="E333" s="1" t="n">
        <v>46259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59653-2024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45639</v>
      </c>
      <c r="E334" s="1" t="n">
        <v>46259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17783-2023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45036</v>
      </c>
      <c r="E335" s="1" t="n">
        <v>46259</v>
      </c>
      <c r="F335" t="inlineStr">
        <is>
          <t>VÄSTERBOTTENS LÄN</t>
        </is>
      </c>
      <c r="G335" t="inlineStr">
        <is>
          <t>DOROTEA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22944-2024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45448</v>
      </c>
      <c r="E336" s="1" t="n">
        <v>46259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26237-2026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46182</v>
      </c>
      <c r="E337" s="1" t="n">
        <v>46259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8852-2024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45356</v>
      </c>
      <c r="E338" s="1" t="n">
        <v>46259</v>
      </c>
      <c r="F338" t="inlineStr">
        <is>
          <t>VÄSTERBOTTENS LÄN</t>
        </is>
      </c>
      <c r="G338" t="inlineStr">
        <is>
          <t>DOROTEA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26255-2026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46182</v>
      </c>
      <c r="E339" s="1" t="n">
        <v>46259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19657-2025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45770</v>
      </c>
      <c r="E340" s="1" t="n">
        <v>46259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8246-2024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45351</v>
      </c>
      <c r="E341" s="1" t="n">
        <v>46259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46259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56556-2025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46259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46259</v>
      </c>
      <c r="F344" t="inlineStr">
        <is>
          <t>VÄSTERBOTTENS LÄN</t>
        </is>
      </c>
      <c r="G344" t="inlineStr">
        <is>
          <t>DOROTEA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57250-2025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46259</v>
      </c>
      <c r="F345" t="inlineStr">
        <is>
          <t>VÄSTERBOTTENS LÄN</t>
        </is>
      </c>
      <c r="G345" t="inlineStr">
        <is>
          <t>DOROTEA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56707-2025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45977</v>
      </c>
      <c r="E346" s="1" t="n">
        <v>46259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26926-2026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46185</v>
      </c>
      <c r="E347" s="1" t="n">
        <v>46259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57480-2025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45980</v>
      </c>
      <c r="E348" s="1" t="n">
        <v>46259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45980</v>
      </c>
      <c r="E349" s="1" t="n">
        <v>46259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7.4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57380-2025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45980</v>
      </c>
      <c r="E350" s="1" t="n">
        <v>46259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10.2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58014-2025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45982</v>
      </c>
      <c r="E351" s="1" t="n">
        <v>46259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18.2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57722-2025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45981</v>
      </c>
      <c r="E352" s="1" t="n">
        <v>46259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57819-2025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45981</v>
      </c>
      <c r="E353" s="1" t="n">
        <v>46259</v>
      </c>
      <c r="F353" t="inlineStr">
        <is>
          <t>VÄSTERBOTTENS LÄN</t>
        </is>
      </c>
      <c r="G353" t="inlineStr">
        <is>
          <t>DOROTEA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57947-2025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45982</v>
      </c>
      <c r="E354" s="1" t="n">
        <v>46259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58600-2025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45986</v>
      </c>
      <c r="E355" s="1" t="n">
        <v>46259</v>
      </c>
      <c r="F355" t="inlineStr">
        <is>
          <t>VÄSTERBOTTENS LÄN</t>
        </is>
      </c>
      <c r="G355" t="inlineStr">
        <is>
          <t>DOROTEA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59395-2023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45253</v>
      </c>
      <c r="E356" s="1" t="n">
        <v>46259</v>
      </c>
      <c r="F356" t="inlineStr">
        <is>
          <t>VÄSTERBOTTENS LÄN</t>
        </is>
      </c>
      <c r="G356" t="inlineStr">
        <is>
          <t>DOROTEA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59397-2023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45253</v>
      </c>
      <c r="E357" s="1" t="n">
        <v>46259</v>
      </c>
      <c r="F357" t="inlineStr">
        <is>
          <t>VÄSTERBOTTENS LÄN</t>
        </is>
      </c>
      <c r="G357" t="inlineStr">
        <is>
          <t>DOROTEA</t>
        </is>
      </c>
      <c r="I357" t="n">
        <v>8.5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59338-2025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45988</v>
      </c>
      <c r="E358" s="1" t="n">
        <v>46259</v>
      </c>
      <c r="F358" t="inlineStr">
        <is>
          <t>VÄSTERBOTTENS LÄN</t>
        </is>
      </c>
      <c r="G358" t="inlineStr">
        <is>
          <t>DOROTEA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59066-2025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45988</v>
      </c>
      <c r="E359" s="1" t="n">
        <v>46259</v>
      </c>
      <c r="F359" t="inlineStr">
        <is>
          <t>VÄSTERBOTTENS LÄN</t>
        </is>
      </c>
      <c r="G359" t="inlineStr">
        <is>
          <t>DOROTEA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59054-2025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46259</v>
      </c>
      <c r="F360" t="inlineStr">
        <is>
          <t>VÄSTERBOTTENS LÄN</t>
        </is>
      </c>
      <c r="G360" t="inlineStr">
        <is>
          <t>DOROTEA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20759-2023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45055</v>
      </c>
      <c r="E361" s="1" t="n">
        <v>46259</v>
      </c>
      <c r="F361" t="inlineStr">
        <is>
          <t>VÄSTERBOTTENS LÄN</t>
        </is>
      </c>
      <c r="G361" t="inlineStr">
        <is>
          <t>DOROTEA</t>
        </is>
      </c>
      <c r="H361" t="inlineStr">
        <is>
          <t>Övriga statliga verk och myndigheter</t>
        </is>
      </c>
      <c r="I361" t="n">
        <v>13.9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67686-2021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44524</v>
      </c>
      <c r="E362" s="1" t="n">
        <v>46259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32821-2024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45516</v>
      </c>
      <c r="E363" s="1" t="n">
        <v>46259</v>
      </c>
      <c r="F363" t="inlineStr">
        <is>
          <t>VÄSTERBOTTENS LÄN</t>
        </is>
      </c>
      <c r="G363" t="inlineStr">
        <is>
          <t>DOROTEA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57376-2022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44889</v>
      </c>
      <c r="E364" s="1" t="n">
        <v>46259</v>
      </c>
      <c r="F364" t="inlineStr">
        <is>
          <t>VÄSTERBOTTENS LÄN</t>
        </is>
      </c>
      <c r="G364" t="inlineStr">
        <is>
          <t>DOROTEA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35937-2025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45862</v>
      </c>
      <c r="E365" s="1" t="n">
        <v>46259</v>
      </c>
      <c r="F365" t="inlineStr">
        <is>
          <t>VÄSTERBOTTENS LÄN</t>
        </is>
      </c>
      <c r="G365" t="inlineStr">
        <is>
          <t>DOROTEA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60724-2025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45996</v>
      </c>
      <c r="E366" s="1" t="n">
        <v>46259</v>
      </c>
      <c r="F366" t="inlineStr">
        <is>
          <t>VÄSTERBOTTENS LÄN</t>
        </is>
      </c>
      <c r="G366" t="inlineStr">
        <is>
          <t>DOROTEA</t>
        </is>
      </c>
      <c r="I366" t="n">
        <v>23.9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27738-2026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46191</v>
      </c>
      <c r="E367" s="1" t="n">
        <v>46259</v>
      </c>
      <c r="F367" t="inlineStr">
        <is>
          <t>VÄSTERBOTTENS LÄN</t>
        </is>
      </c>
      <c r="G367" t="inlineStr">
        <is>
          <t>DOROTEA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34107-2023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45125</v>
      </c>
      <c r="E368" s="1" t="n">
        <v>46259</v>
      </c>
      <c r="F368" t="inlineStr">
        <is>
          <t>VÄSTERBOTTENS LÄN</t>
        </is>
      </c>
      <c r="G368" t="inlineStr">
        <is>
          <t>DOROTEA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35000-2023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45142</v>
      </c>
      <c r="E369" s="1" t="n">
        <v>46259</v>
      </c>
      <c r="F369" t="inlineStr">
        <is>
          <t>VÄSTERBOTTENS LÄN</t>
        </is>
      </c>
      <c r="G369" t="inlineStr">
        <is>
          <t>DOROTEA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28176-2026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46195</v>
      </c>
      <c r="E370" s="1" t="n">
        <v>46259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52276-2023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45217</v>
      </c>
      <c r="E371" s="1" t="n">
        <v>46259</v>
      </c>
      <c r="F371" t="inlineStr">
        <is>
          <t>VÄSTERBOTTENS LÄN</t>
        </is>
      </c>
      <c r="G371" t="inlineStr">
        <is>
          <t>DOROTEA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28180-2026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46195</v>
      </c>
      <c r="E372" s="1" t="n">
        <v>46259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53795-2022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44876</v>
      </c>
      <c r="E373" s="1" t="n">
        <v>46259</v>
      </c>
      <c r="F373" t="inlineStr">
        <is>
          <t>VÄSTERBOTTENS LÄN</t>
        </is>
      </c>
      <c r="G373" t="inlineStr">
        <is>
          <t>DOROTEA</t>
        </is>
      </c>
      <c r="I373" t="n">
        <v>12.3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62193-2025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46003</v>
      </c>
      <c r="E374" s="1" t="n">
        <v>46259</v>
      </c>
      <c r="F374" t="inlineStr">
        <is>
          <t>VÄSTERBOTTENS LÄN</t>
        </is>
      </c>
      <c r="G374" t="inlineStr">
        <is>
          <t>DOROTEA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61831-2025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46003</v>
      </c>
      <c r="E375" s="1" t="n">
        <v>46259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37072-2024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45539</v>
      </c>
      <c r="E376" s="1" t="n">
        <v>46259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8.199999999999999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62399-2025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46007</v>
      </c>
      <c r="E377" s="1" t="n">
        <v>46259</v>
      </c>
      <c r="F377" t="inlineStr">
        <is>
          <t>VÄSTERBOTTENS LÄN</t>
        </is>
      </c>
      <c r="G377" t="inlineStr">
        <is>
          <t>DOROTEA</t>
        </is>
      </c>
      <c r="I377" t="n">
        <v>16.7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13170-2025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45735</v>
      </c>
      <c r="E378" s="1" t="n">
        <v>46259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62422-2025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46007</v>
      </c>
      <c r="E379" s="1" t="n">
        <v>46259</v>
      </c>
      <c r="F379" t="inlineStr">
        <is>
          <t>VÄSTERBOTTENS LÄN</t>
        </is>
      </c>
      <c r="G379" t="inlineStr">
        <is>
          <t>DOROTEA</t>
        </is>
      </c>
      <c r="I379" t="n">
        <v>6.4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28360-2026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46196</v>
      </c>
      <c r="E380" s="1" t="n">
        <v>46259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49.5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62423-2025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46007</v>
      </c>
      <c r="E381" s="1" t="n">
        <v>46259</v>
      </c>
      <c r="F381" t="inlineStr">
        <is>
          <t>VÄSTERBOTTENS LÄN</t>
        </is>
      </c>
      <c r="G381" t="inlineStr">
        <is>
          <t>DOROTEA</t>
        </is>
      </c>
      <c r="I381" t="n">
        <v>13.2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17132-2025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45755</v>
      </c>
      <c r="E382" s="1" t="n">
        <v>46259</v>
      </c>
      <c r="F382" t="inlineStr">
        <is>
          <t>VÄSTERBOTTENS LÄN</t>
        </is>
      </c>
      <c r="G382" t="inlineStr">
        <is>
          <t>DOROTEA</t>
        </is>
      </c>
      <c r="I382" t="n">
        <v>7.6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62424-2025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46007</v>
      </c>
      <c r="E383" s="1" t="n">
        <v>46259</v>
      </c>
      <c r="F383" t="inlineStr">
        <is>
          <t>VÄSTERBOTTENS LÄN</t>
        </is>
      </c>
      <c r="G383" t="inlineStr">
        <is>
          <t>DOROTEA</t>
        </is>
      </c>
      <c r="I383" t="n">
        <v>12.3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62974-2025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46259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9.4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63939-2025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46259</v>
      </c>
      <c r="F385" t="inlineStr">
        <is>
          <t>VÄSTERBOTTENS LÄN</t>
        </is>
      </c>
      <c r="G385" t="inlineStr">
        <is>
          <t>DOROTEA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28782-2026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46198</v>
      </c>
      <c r="E386" s="1" t="n">
        <v>46259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7.3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28741-2026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46198</v>
      </c>
      <c r="E387" s="1" t="n">
        <v>46259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28783-2026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46259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52144-2023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45223</v>
      </c>
      <c r="E389" s="1" t="n">
        <v>46259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63745-2025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46017</v>
      </c>
      <c r="E390" s="1" t="n">
        <v>46259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8.699999999999999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33738-2024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45520</v>
      </c>
      <c r="E391" s="1" t="n">
        <v>46259</v>
      </c>
      <c r="F391" t="inlineStr">
        <is>
          <t>VÄSTERBOTTENS LÄN</t>
        </is>
      </c>
      <c r="G391" t="inlineStr">
        <is>
          <t>DOROTEA</t>
        </is>
      </c>
      <c r="I391" t="n">
        <v>11.1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22450-2024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45446</v>
      </c>
      <c r="E392" s="1" t="n">
        <v>46259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60153-2024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45642</v>
      </c>
      <c r="E393" s="1" t="n">
        <v>46259</v>
      </c>
      <c r="F393" t="inlineStr">
        <is>
          <t>VÄSTERBOTTENS LÄN</t>
        </is>
      </c>
      <c r="G393" t="inlineStr">
        <is>
          <t>DOROTEA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9030-2025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45713</v>
      </c>
      <c r="E394" s="1" t="n">
        <v>46259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60015-2023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45257</v>
      </c>
      <c r="E395" s="1" t="n">
        <v>46259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29757-2026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46259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9.300000000000001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909-2026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46030</v>
      </c>
      <c r="E397" s="1" t="n">
        <v>46259</v>
      </c>
      <c r="F397" t="inlineStr">
        <is>
          <t>VÄSTERBOTTENS LÄN</t>
        </is>
      </c>
      <c r="G397" t="inlineStr">
        <is>
          <t>DOROTEA</t>
        </is>
      </c>
      <c r="I397" t="n">
        <v>18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33514-2026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46248</v>
      </c>
      <c r="E398" s="1" t="n">
        <v>46259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3017-2024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45315</v>
      </c>
      <c r="E399" s="1" t="n">
        <v>46259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45720</v>
      </c>
      <c r="E400" s="1" t="n">
        <v>46259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33364-2026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46247</v>
      </c>
      <c r="E401" s="1" t="n">
        <v>46259</v>
      </c>
      <c r="F401" t="inlineStr">
        <is>
          <t>VÄSTERBOTTENS LÄN</t>
        </is>
      </c>
      <c r="G401" t="inlineStr">
        <is>
          <t>DOROTEA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2146-2026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46036</v>
      </c>
      <c r="E402" s="1" t="n">
        <v>46259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46038</v>
      </c>
      <c r="E403" s="1" t="n">
        <v>46259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3559-2026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46259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12.9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46259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46042</v>
      </c>
      <c r="E406" s="1" t="n">
        <v>46259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995-2026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46029</v>
      </c>
      <c r="E407" s="1" t="n">
        <v>46259</v>
      </c>
      <c r="F407" t="inlineStr">
        <is>
          <t>VÄSTERBOTTENS LÄN</t>
        </is>
      </c>
      <c r="G407" t="inlineStr">
        <is>
          <t>DOROTEA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46043</v>
      </c>
      <c r="E408" s="1" t="n">
        <v>46259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59394-2023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45253</v>
      </c>
      <c r="E409" s="1" t="n">
        <v>46259</v>
      </c>
      <c r="F409" t="inlineStr">
        <is>
          <t>VÄSTERBOTTENS LÄN</t>
        </is>
      </c>
      <c r="G409" t="inlineStr">
        <is>
          <t>DOROTEA</t>
        </is>
      </c>
      <c r="I409" t="n">
        <v>28.8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30078-2026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46206</v>
      </c>
      <c r="E410" s="1" t="n">
        <v>46259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63885-2025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46259</v>
      </c>
      <c r="F411" t="inlineStr">
        <is>
          <t>VÄSTERBOTTENS LÄN</t>
        </is>
      </c>
      <c r="G411" t="inlineStr">
        <is>
          <t>DOROTEA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46036</v>
      </c>
      <c r="E412" s="1" t="n">
        <v>46259</v>
      </c>
      <c r="F412" t="inlineStr">
        <is>
          <t>VÄSTERBOTTENS LÄN</t>
        </is>
      </c>
      <c r="G412" t="inlineStr">
        <is>
          <t>DOROTEA</t>
        </is>
      </c>
      <c r="I412" t="n">
        <v>11.8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27305-2024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45471</v>
      </c>
      <c r="E413" s="1" t="n">
        <v>46259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28549-2023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45103</v>
      </c>
      <c r="E414" s="1" t="n">
        <v>46259</v>
      </c>
      <c r="F414" t="inlineStr">
        <is>
          <t>VÄSTERBOTTENS LÄN</t>
        </is>
      </c>
      <c r="G414" t="inlineStr">
        <is>
          <t>DOROTEA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31093-2026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46209</v>
      </c>
      <c r="E415" s="1" t="n">
        <v>46259</v>
      </c>
      <c r="F415" t="inlineStr">
        <is>
          <t>VÄSTERBOTTENS LÄN</t>
        </is>
      </c>
      <c r="G415" t="inlineStr">
        <is>
          <t>DOROTEA</t>
        </is>
      </c>
      <c r="I415" t="n">
        <v>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30190-2026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46206</v>
      </c>
      <c r="E416" s="1" t="n">
        <v>46259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12773-2026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46091</v>
      </c>
      <c r="E417" s="1" t="n">
        <v>46259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43944-2024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45572</v>
      </c>
      <c r="E418" s="1" t="n">
        <v>46259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28856-2024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45478</v>
      </c>
      <c r="E419" s="1" t="n">
        <v>46259</v>
      </c>
      <c r="F419" t="inlineStr">
        <is>
          <t>VÄSTERBOTTENS LÄN</t>
        </is>
      </c>
      <c r="G419" t="inlineStr">
        <is>
          <t>DOROTEA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53382-2024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45614</v>
      </c>
      <c r="E420" s="1" t="n">
        <v>46259</v>
      </c>
      <c r="F420" t="inlineStr">
        <is>
          <t>VÄSTERBOTTENS LÄN</t>
        </is>
      </c>
      <c r="G420" t="inlineStr">
        <is>
          <t>DOROTEA</t>
        </is>
      </c>
      <c r="I420" t="n">
        <v>11.2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34189-2026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46253</v>
      </c>
      <c r="E421" s="1" t="n">
        <v>46259</v>
      </c>
      <c r="F421" t="inlineStr">
        <is>
          <t>VÄSTERBOTTENS LÄN</t>
        </is>
      </c>
      <c r="G421" t="inlineStr">
        <is>
          <t>DOROTEA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30740-2026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46211</v>
      </c>
      <c r="E422" s="1" t="n">
        <v>46259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30645-2026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46211</v>
      </c>
      <c r="E423" s="1" t="n">
        <v>46259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46253</v>
      </c>
      <c r="E424" s="1" t="n">
        <v>46259</v>
      </c>
      <c r="F424" t="inlineStr">
        <is>
          <t>VÄSTERBOTTENS LÄN</t>
        </is>
      </c>
      <c r="G424" t="inlineStr">
        <is>
          <t>DOROTEA</t>
        </is>
      </c>
      <c r="I424" t="n">
        <v>13.6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46253</v>
      </c>
      <c r="E425" s="1" t="n">
        <v>46259</v>
      </c>
      <c r="F425" t="inlineStr">
        <is>
          <t>VÄSTERBOTTENS LÄN</t>
        </is>
      </c>
      <c r="G425" t="inlineStr">
        <is>
          <t>DOROTEA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5743-2026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46051</v>
      </c>
      <c r="E426" s="1" t="n">
        <v>46259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5758-2026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46051</v>
      </c>
      <c r="E427" s="1" t="n">
        <v>46259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34149-2026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46253</v>
      </c>
      <c r="E428" s="1" t="n">
        <v>46259</v>
      </c>
      <c r="F428" t="inlineStr">
        <is>
          <t>VÄSTERBOTTENS LÄN</t>
        </is>
      </c>
      <c r="G428" t="inlineStr">
        <is>
          <t>DOROTEA</t>
        </is>
      </c>
      <c r="I428" t="n">
        <v>11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46055</v>
      </c>
      <c r="E429" s="1" t="n">
        <v>46259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42104-2024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45562</v>
      </c>
      <c r="E430" s="1" t="n">
        <v>46259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30885-2026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46212</v>
      </c>
      <c r="E431" s="1" t="n">
        <v>46259</v>
      </c>
      <c r="F431" t="inlineStr">
        <is>
          <t>VÄSTERBOTTENS LÄN</t>
        </is>
      </c>
      <c r="G431" t="inlineStr">
        <is>
          <t>DOROTEA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6134-2026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46054</v>
      </c>
      <c r="E432" s="1" t="n">
        <v>46259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30821-2026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46212</v>
      </c>
      <c r="E433" s="1" t="n">
        <v>46259</v>
      </c>
      <c r="F433" t="inlineStr">
        <is>
          <t>VÄSTERBOTTENS LÄN</t>
        </is>
      </c>
      <c r="G433" t="inlineStr">
        <is>
          <t>DOROTEA</t>
        </is>
      </c>
      <c r="I433" t="n">
        <v>8.4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46212</v>
      </c>
      <c r="E434" s="1" t="n">
        <v>46259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46213</v>
      </c>
      <c r="E435" s="1" t="n">
        <v>46259</v>
      </c>
      <c r="F435" t="inlineStr">
        <is>
          <t>VÄSTERBOTTENS LÄN</t>
        </is>
      </c>
      <c r="G435" t="inlineStr">
        <is>
          <t>DOROTEA</t>
        </is>
      </c>
      <c r="I435" t="n">
        <v>7.8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34448-2026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46254</v>
      </c>
      <c r="E436" s="1" t="n">
        <v>46259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22774-2025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45789</v>
      </c>
      <c r="E437" s="1" t="n">
        <v>46259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31006-2026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46213</v>
      </c>
      <c r="E438" s="1" t="n">
        <v>46259</v>
      </c>
      <c r="F438" t="inlineStr">
        <is>
          <t>VÄSTERBOTTENS LÄN</t>
        </is>
      </c>
      <c r="G438" t="inlineStr">
        <is>
          <t>DOROTEA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19889-2025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45771</v>
      </c>
      <c r="E439" s="1" t="n">
        <v>46259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23457-2025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45792</v>
      </c>
      <c r="E440" s="1" t="n">
        <v>46259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29737-2024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45485</v>
      </c>
      <c r="E441" s="1" t="n">
        <v>46259</v>
      </c>
      <c r="F441" t="inlineStr">
        <is>
          <t>VÄSTERBOTTENS LÄN</t>
        </is>
      </c>
      <c r="G441" t="inlineStr">
        <is>
          <t>DOROTEA</t>
        </is>
      </c>
      <c r="I441" t="n">
        <v>10.2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13451-2022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44645</v>
      </c>
      <c r="E442" s="1" t="n">
        <v>46259</v>
      </c>
      <c r="F442" t="inlineStr">
        <is>
          <t>VÄSTERBOTTENS LÄN</t>
        </is>
      </c>
      <c r="G442" t="inlineStr">
        <is>
          <t>DOROTEA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34820-2023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45140</v>
      </c>
      <c r="E443" s="1" t="n">
        <v>46259</v>
      </c>
      <c r="F443" t="inlineStr">
        <is>
          <t>VÄSTERBOTTENS LÄN</t>
        </is>
      </c>
      <c r="G443" t="inlineStr">
        <is>
          <t>DOROTEA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45551</v>
      </c>
      <c r="E444" s="1" t="n">
        <v>46259</v>
      </c>
      <c r="F444" t="inlineStr">
        <is>
          <t>VÄSTERBOTTENS LÄN</t>
        </is>
      </c>
      <c r="G444" t="inlineStr">
        <is>
          <t>DOROTEA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33113-2024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45517</v>
      </c>
      <c r="E445" s="1" t="n">
        <v>46259</v>
      </c>
      <c r="F445" t="inlineStr">
        <is>
          <t>VÄSTERBOTTENS LÄN</t>
        </is>
      </c>
      <c r="G445" t="inlineStr">
        <is>
          <t>DOROTEA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53380-2024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45614</v>
      </c>
      <c r="E446" s="1" t="n">
        <v>46259</v>
      </c>
      <c r="F446" t="inlineStr">
        <is>
          <t>VÄSTERBOTTENS LÄN</t>
        </is>
      </c>
      <c r="G446" t="inlineStr">
        <is>
          <t>DOROTEA</t>
        </is>
      </c>
      <c r="I446" t="n">
        <v>12.8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46059</v>
      </c>
      <c r="E447" s="1" t="n">
        <v>46259</v>
      </c>
      <c r="F447" t="inlineStr">
        <is>
          <t>VÄSTERBOTTENS LÄN</t>
        </is>
      </c>
      <c r="G447" t="inlineStr">
        <is>
          <t>DOROTEA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7716-2026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46059</v>
      </c>
      <c r="E448" s="1" t="n">
        <v>46259</v>
      </c>
      <c r="F448" t="inlineStr">
        <is>
          <t>VÄSTERBOTTENS LÄN</t>
        </is>
      </c>
      <c r="G448" t="inlineStr">
        <is>
          <t>DOROTEA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7963-2026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46063</v>
      </c>
      <c r="E449" s="1" t="n">
        <v>46259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46072</v>
      </c>
      <c r="E450" s="1" t="n">
        <v>46259</v>
      </c>
      <c r="F450" t="inlineStr">
        <is>
          <t>VÄSTERBOTTENS LÄN</t>
        </is>
      </c>
      <c r="G450" t="inlineStr">
        <is>
          <t>DOROTEA</t>
        </is>
      </c>
      <c r="I450" t="n">
        <v>20.1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11817-2026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46085</v>
      </c>
      <c r="E451" s="1" t="n">
        <v>46259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12082-2026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46086</v>
      </c>
      <c r="E452" s="1" t="n">
        <v>46259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24003-2025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45796</v>
      </c>
      <c r="E453" s="1" t="n">
        <v>46259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17133-2025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45755</v>
      </c>
      <c r="E454" s="1" t="n">
        <v>46259</v>
      </c>
      <c r="F454" t="inlineStr">
        <is>
          <t>VÄSTERBOTTENS LÄN</t>
        </is>
      </c>
      <c r="G454" t="inlineStr">
        <is>
          <t>DOROTEA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35202-2025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45852</v>
      </c>
      <c r="E455" s="1" t="n">
        <v>46259</v>
      </c>
      <c r="F455" t="inlineStr">
        <is>
          <t>VÄSTERBOTTENS LÄN</t>
        </is>
      </c>
      <c r="G455" t="inlineStr">
        <is>
          <t>DOROTEA</t>
        </is>
      </c>
      <c r="H455" t="inlineStr">
        <is>
          <t>Allmännings- och besparingsskogar</t>
        </is>
      </c>
      <c r="I455" t="n">
        <v>22.1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35203-2025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45852</v>
      </c>
      <c r="E456" s="1" t="n">
        <v>46259</v>
      </c>
      <c r="F456" t="inlineStr">
        <is>
          <t>VÄSTERBOTTENS LÄN</t>
        </is>
      </c>
      <c r="G456" t="inlineStr">
        <is>
          <t>DOROTEA</t>
        </is>
      </c>
      <c r="H456" t="inlineStr">
        <is>
          <t>Allmännings- och besparingsskogar</t>
        </is>
      </c>
      <c r="I456" t="n">
        <v>20.3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2945-2024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45506</v>
      </c>
      <c r="E457" s="1" t="n">
        <v>46259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1058-2025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45749</v>
      </c>
      <c r="E458" s="1" t="n">
        <v>46259</v>
      </c>
      <c r="F458" t="inlineStr">
        <is>
          <t>VÄSTERBOTTENS LÄN</t>
        </is>
      </c>
      <c r="G458" t="inlineStr">
        <is>
          <t>DOROTEA</t>
        </is>
      </c>
      <c r="I458" t="n">
        <v>10.9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844-2025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45733</v>
      </c>
      <c r="E459" s="1" t="n">
        <v>46259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1293.5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2195-2025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45858</v>
      </c>
      <c r="E460" s="1" t="n">
        <v>46259</v>
      </c>
      <c r="F460" t="inlineStr">
        <is>
          <t>VÄSTERBOTTENS LÄN</t>
        </is>
      </c>
      <c r="G460" t="inlineStr">
        <is>
          <t>DOROTEA</t>
        </is>
      </c>
      <c r="I460" t="n">
        <v>27.4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2283-2025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45876</v>
      </c>
      <c r="E461" s="1" t="n">
        <v>46259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10.1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2360-2025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45889</v>
      </c>
      <c r="E462" s="1" t="n">
        <v>46259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>
      <c r="A463" t="inlineStr">
        <is>
          <t>S 1763-2026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46189</v>
      </c>
      <c r="E463" s="1" t="n">
        <v>46259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2026-08-25T01:53:52Z</dcterms:created>
  <dcterms:modified xmlns:dcterms="http://purl.org/dc/terms/" xmlns:xsi="http://www.w3.org/2001/XMLSchema-instance" xsi:type="dcterms:W3CDTF">2026-08-25T01:53:53Z</dcterms:modified>
</cp:coreProperties>
</file>