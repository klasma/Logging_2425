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46299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46299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46299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46299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46299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46299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46299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46299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46299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46299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46299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30755-2026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46212</v>
      </c>
      <c r="E13" s="1" t="n">
        <v>46299</v>
      </c>
      <c r="F13" t="inlineStr">
        <is>
          <t>VÄSTERBOTTENS LÄN</t>
        </is>
      </c>
      <c r="G13" t="inlineStr">
        <is>
          <t>DOROTEA</t>
        </is>
      </c>
      <c r="H13" t="inlineStr">
        <is>
          <t>SCA</t>
        </is>
      </c>
      <c r="I13" t="n">
        <v>2.5</v>
      </c>
      <c r="J13" t="n">
        <v>1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Gammelgransskål
Rynkskinn
Plattlummer
Skinnlav
Stuplav</t>
        </is>
      </c>
      <c r="W13">
        <f>HYPERLINK("https://klasma.github.io/Logging_2425/artfynd/A 30755-2026 artfynd.xlsx", "A 30755-2026")</f>
        <v/>
      </c>
      <c r="X13">
        <f>HYPERLINK("https://klasma.github.io/Logging_2425/kartor/A 30755-2026 karta.png", "A 30755-2026")</f>
        <v/>
      </c>
      <c r="Y13">
        <f>HYPERLINK("https://klasma.github.io/Logging_2425/kartor_geotiff/A 30755-2026 georefererad karta.tif", "A 30755-2026")</f>
        <v/>
      </c>
      <c r="AA13">
        <f>HYPERLINK("https://klasma.github.io/Logging_2425/klagomål/A 30755-2026 FSC-klagomål.docx", "A 30755-2026")</f>
        <v/>
      </c>
      <c r="AB13">
        <f>HYPERLINK("https://klasma.github.io/Logging_2425/klagomålsmail/A 30755-2026 FSC-klagomål mail.docx", "A 30755-2026")</f>
        <v/>
      </c>
      <c r="AC13">
        <f>HYPERLINK("https://klasma.github.io/Logging_2425/tillsyn/A 30755-2026 tillsynsbegäran.docx", "A 30755-2026")</f>
        <v/>
      </c>
      <c r="AD13">
        <f>HYPERLINK("https://klasma.github.io/Logging_2425/tillsynsmail/A 30755-2026 tillsynsbegäran mail.docx", "A 30755-2026")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46299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46299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46299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46299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46299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46299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21672-2023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46299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7.4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Doftskinn
Skrovellav
Ullticka</t>
        </is>
      </c>
      <c r="W20">
        <f>HYPERLINK("https://klasma.github.io/Logging_2425/artfynd/A 21672-2023 artfynd.xlsx", "A 21672-2023")</f>
        <v/>
      </c>
      <c r="X20">
        <f>HYPERLINK("https://klasma.github.io/Logging_2425/kartor/A 21672-2023 karta.png", "A 21672-2023")</f>
        <v/>
      </c>
      <c r="Y20">
        <f>HYPERLINK("https://klasma.github.io/Logging_2425/kartor_geotiff/A 21672-2023 georefererad karta.tif", "A 21672-2023")</f>
        <v/>
      </c>
      <c r="AA20">
        <f>HYPERLINK("https://klasma.github.io/Logging_2425/klagomål/A 21672-2023 FSC-klagomål.docx", "A 21672-2023")</f>
        <v/>
      </c>
      <c r="AB20">
        <f>HYPERLINK("https://klasma.github.io/Logging_2425/klagomålsmail/A 21672-2023 FSC-klagomål mail.docx", "A 21672-2023")</f>
        <v/>
      </c>
      <c r="AC20">
        <f>HYPERLINK("https://klasma.github.io/Logging_2425/tillsyn/A 21672-2023 tillsynsbegäran.docx", "A 21672-2023")</f>
        <v/>
      </c>
      <c r="AD20">
        <f>HYPERLINK("https://klasma.github.io/Logging_2425/tillsynsmail/A 21672-2023 tillsynsbegäran mail.docx", "A 21672-2023")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46299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46299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46299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46299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4554-2026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46047</v>
      </c>
      <c r="E25" s="1" t="n">
        <v>46299</v>
      </c>
      <c r="F25" t="inlineStr">
        <is>
          <t>VÄSTERBOTTENS LÄN</t>
        </is>
      </c>
      <c r="G25" t="inlineStr">
        <is>
          <t>DOROTEA</t>
        </is>
      </c>
      <c r="I25" t="n">
        <v>6.1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Violettkantad guldvinge
Kricka</t>
        </is>
      </c>
      <c r="W25">
        <f>HYPERLINK("https://klasma.github.io/Logging_2425/artfynd/A 4554-2026 artfynd.xlsx", "A 4554-2026")</f>
        <v/>
      </c>
      <c r="X25">
        <f>HYPERLINK("https://klasma.github.io/Logging_2425/kartor/A 4554-2026 karta.png", "A 4554-2026")</f>
        <v/>
      </c>
      <c r="Y25">
        <f>HYPERLINK("https://klasma.github.io/Logging_2425/kartor_geotiff/A 4554-2026 georefererad karta.tif", "A 4554-2026")</f>
        <v/>
      </c>
      <c r="AA25">
        <f>HYPERLINK("https://klasma.github.io/Logging_2425/klagomål/A 4554-2026 FSC-klagomål.docx", "A 4554-2026")</f>
        <v/>
      </c>
      <c r="AB25">
        <f>HYPERLINK("https://klasma.github.io/Logging_2425/klagomålsmail/A 4554-2026 FSC-klagomål mail.docx", "A 4554-2026")</f>
        <v/>
      </c>
      <c r="AC25">
        <f>HYPERLINK("https://klasma.github.io/Logging_2425/tillsyn/A 4554-2026 tillsynsbegäran.docx", "A 4554-2026")</f>
        <v/>
      </c>
      <c r="AD25">
        <f>HYPERLINK("https://klasma.github.io/Logging_2425/tillsynsmail/A 4554-2026 tillsynsbegäran mail.docx", "A 4554-2026")</f>
        <v/>
      </c>
      <c r="AE25">
        <f>HYPERLINK("https://klasma.github.io/Logging_2425/fåglar/A 4554-2026 prioriterade fågelarter.docx", "A 4554-2026")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46299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46299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46299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27234-2024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46299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2.2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Rynkskinn
Skrovellav</t>
        </is>
      </c>
      <c r="W29">
        <f>HYPERLINK("https://klasma.github.io/Logging_2425/artfynd/A 27234-2024 artfynd.xlsx", "A 27234-2024")</f>
        <v/>
      </c>
      <c r="X29">
        <f>HYPERLINK("https://klasma.github.io/Logging_2425/kartor/A 27234-2024 karta.png", "A 27234-2024")</f>
        <v/>
      </c>
      <c r="Y29">
        <f>HYPERLINK("https://klasma.github.io/Logging_2425/kartor_geotiff/A 27234-2024 georefererad karta.tif", "A 27234-2024")</f>
        <v/>
      </c>
      <c r="AA29">
        <f>HYPERLINK("https://klasma.github.io/Logging_2425/klagomål/A 27234-2024 FSC-klagomål.docx", "A 27234-2024")</f>
        <v/>
      </c>
      <c r="AB29">
        <f>HYPERLINK("https://klasma.github.io/Logging_2425/klagomålsmail/A 27234-2024 FSC-klagomål mail.docx", "A 27234-2024")</f>
        <v/>
      </c>
      <c r="AC29">
        <f>HYPERLINK("https://klasma.github.io/Logging_2425/tillsyn/A 27234-2024 tillsynsbegäran.docx", "A 27234-2024")</f>
        <v/>
      </c>
      <c r="AD29">
        <f>HYPERLINK("https://klasma.github.io/Logging_2425/tillsynsmail/A 27234-2024 tillsynsbegäran mail.docx", "A 27234-2024")</f>
        <v/>
      </c>
    </row>
    <row r="30" ht="15" customHeight="1">
      <c r="A30" t="inlineStr">
        <is>
          <t>A 40013-2024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45553</v>
      </c>
      <c r="E30" s="1" t="n">
        <v>46299</v>
      </c>
      <c r="F30" t="inlineStr">
        <is>
          <t>VÄSTERBOTTENS LÄN</t>
        </is>
      </c>
      <c r="G30" t="inlineStr">
        <is>
          <t>DOROTEA</t>
        </is>
      </c>
      <c r="H30" t="inlineStr">
        <is>
          <t>Övriga statliga verk och myndigheter</t>
        </is>
      </c>
      <c r="I30" t="n">
        <v>1.5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Tretåig hackspett
Tjäder</t>
        </is>
      </c>
      <c r="W30">
        <f>HYPERLINK("https://klasma.github.io/Logging_2425/artfynd/A 40013-2024 artfynd.xlsx", "A 40013-2024")</f>
        <v/>
      </c>
      <c r="X30">
        <f>HYPERLINK("https://klasma.github.io/Logging_2425/kartor/A 40013-2024 karta.png", "A 40013-2024")</f>
        <v/>
      </c>
      <c r="Y30">
        <f>HYPERLINK("https://klasma.github.io/Logging_2425/kartor_geotiff/A 40013-2024 georefererad karta.tif", "A 40013-2024")</f>
        <v/>
      </c>
      <c r="AA30">
        <f>HYPERLINK("https://klasma.github.io/Logging_2425/klagomål/A 40013-2024 FSC-klagomål.docx", "A 40013-2024")</f>
        <v/>
      </c>
      <c r="AB30">
        <f>HYPERLINK("https://klasma.github.io/Logging_2425/klagomålsmail/A 40013-2024 FSC-klagomål mail.docx", "A 40013-2024")</f>
        <v/>
      </c>
      <c r="AC30">
        <f>HYPERLINK("https://klasma.github.io/Logging_2425/tillsyn/A 40013-2024 tillsynsbegäran.docx", "A 40013-2024")</f>
        <v/>
      </c>
      <c r="AD30">
        <f>HYPERLINK("https://klasma.github.io/Logging_2425/tillsynsmail/A 40013-2024 tillsynsbegäran mail.docx", "A 40013-2024")</f>
        <v/>
      </c>
      <c r="AE30">
        <f>HYPERLINK("https://klasma.github.io/Logging_2425/fåglar/A 40013-2024 prioriterade fågelarter.docx", "A 40013-2024")</f>
        <v/>
      </c>
    </row>
    <row r="31" ht="15" customHeight="1">
      <c r="A31" t="inlineStr">
        <is>
          <t>A 33263-2025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46299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Gammelgransskål
Vedticka</t>
        </is>
      </c>
      <c r="W31">
        <f>HYPERLINK("https://klasma.github.io/Logging_2425/artfynd/A 33263-2025 artfynd.xlsx", "A 33263-2025")</f>
        <v/>
      </c>
      <c r="X31">
        <f>HYPERLINK("https://klasma.github.io/Logging_2425/kartor/A 33263-2025 karta.png", "A 33263-2025")</f>
        <v/>
      </c>
      <c r="Y31">
        <f>HYPERLINK("https://klasma.github.io/Logging_2425/kartor_geotiff/A 33263-2025 georefererad karta.tif", "A 33263-2025")</f>
        <v/>
      </c>
      <c r="AA31">
        <f>HYPERLINK("https://klasma.github.io/Logging_2425/klagomål/A 33263-2025 FSC-klagomål.docx", "A 33263-2025")</f>
        <v/>
      </c>
      <c r="AB31">
        <f>HYPERLINK("https://klasma.github.io/Logging_2425/klagomålsmail/A 33263-2025 FSC-klagomål mail.docx", "A 33263-2025")</f>
        <v/>
      </c>
      <c r="AC31">
        <f>HYPERLINK("https://klasma.github.io/Logging_2425/tillsyn/A 33263-2025 tillsynsbegäran.docx", "A 33263-2025")</f>
        <v/>
      </c>
      <c r="AD31">
        <f>HYPERLINK("https://klasma.github.io/Logging_2425/tillsynsmail/A 33263-2025 tillsynsbegäran mail.docx", "A 33263-2025")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46299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46299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A 40654-2026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46296</v>
      </c>
      <c r="E34" s="1" t="n">
        <v>46299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8.800000000000001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Plattlummer
Mattlummer</t>
        </is>
      </c>
      <c r="W34">
        <f>HYPERLINK("https://klasma.github.io/Logging_2425/artfynd/A 40654-2026 artfynd.xlsx", "A 40654-2026")</f>
        <v/>
      </c>
      <c r="X34">
        <f>HYPERLINK("https://klasma.github.io/Logging_2425/kartor/A 40654-2026 karta.png", "A 40654-2026")</f>
        <v/>
      </c>
      <c r="Y34">
        <f>HYPERLINK("https://klasma.github.io/Logging_2425/kartor_geotiff/A 40654-2026 georefererad karta.tif", "A 40654-2026")</f>
        <v/>
      </c>
      <c r="AA34">
        <f>HYPERLINK("https://klasma.github.io/Logging_2425/klagomål/A 40654-2026 FSC-klagomål.docx", "A 40654-2026")</f>
        <v/>
      </c>
      <c r="AB34">
        <f>HYPERLINK("https://klasma.github.io/Logging_2425/klagomålsmail/A 40654-2026 FSC-klagomål mail.docx", "A 40654-2026")</f>
        <v/>
      </c>
      <c r="AC34">
        <f>HYPERLINK("https://klasma.github.io/Logging_2425/tillsyn/A 40654-2026 tillsynsbegäran.docx", "A 40654-2026")</f>
        <v/>
      </c>
      <c r="AD34">
        <f>HYPERLINK("https://klasma.github.io/Logging_2425/tillsynsmail/A 40654-2026 tillsynsbegäran mail.docx", "A 40654-2026")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46299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46299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46299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39686-2025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46299</v>
      </c>
      <c r="F38" t="inlineStr">
        <is>
          <t>VÄSTERBOTTENS LÄN</t>
        </is>
      </c>
      <c r="G38" t="inlineStr">
        <is>
          <t>DOROTEA</t>
        </is>
      </c>
      <c r="I38" t="n">
        <v>1.5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HYPERLINK("https://klasma.github.io/Logging_2425/artfynd/A 39686-2025 artfynd.xlsx", "A 39686-2025")</f>
        <v/>
      </c>
      <c r="X38">
        <f>HYPERLINK("https://klasma.github.io/Logging_2425/kartor/A 39686-2025 karta.png", "A 39686-2025")</f>
        <v/>
      </c>
      <c r="Y38">
        <f>HYPERLINK("https://klasma.github.io/Logging_2425/kartor_geotiff/A 39686-2025 georefererad karta.tif", "A 39686-2025")</f>
        <v/>
      </c>
      <c r="AA38">
        <f>HYPERLINK("https://klasma.github.io/Logging_2425/klagomål/A 39686-2025 FSC-klagomål.docx", "A 39686-2025")</f>
        <v/>
      </c>
      <c r="AB38">
        <f>HYPERLINK("https://klasma.github.io/Logging_2425/klagomålsmail/A 39686-2025 FSC-klagomål mail.docx", "A 39686-2025")</f>
        <v/>
      </c>
      <c r="AC38">
        <f>HYPERLINK("https://klasma.github.io/Logging_2425/tillsyn/A 39686-2025 tillsynsbegäran.docx", "A 39686-2025")</f>
        <v/>
      </c>
      <c r="AD38">
        <f>HYPERLINK("https://klasma.github.io/Logging_2425/tillsynsmail/A 39686-2025 tillsynsbegäran mail.docx", "A 39686-2025")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46299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26440-2025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46299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HYPERLINK("https://klasma.github.io/Logging_2425/artfynd/A 26440-2025 artfynd.xlsx", "A 26440-2025")</f>
        <v/>
      </c>
      <c r="X40">
        <f>HYPERLINK("https://klasma.github.io/Logging_2425/kartor/A 26440-2025 karta.png", "A 26440-2025")</f>
        <v/>
      </c>
      <c r="Y40">
        <f>HYPERLINK("https://klasma.github.io/Logging_2425/kartor_geotiff/A 26440-2025 georefererad karta.tif", "A 26440-2025")</f>
        <v/>
      </c>
      <c r="AA40">
        <f>HYPERLINK("https://klasma.github.io/Logging_2425/klagomål/A 26440-2025 FSC-klagomål.docx", "A 26440-2025")</f>
        <v/>
      </c>
      <c r="AB40">
        <f>HYPERLINK("https://klasma.github.io/Logging_2425/klagomålsmail/A 26440-2025 FSC-klagomål mail.docx", "A 26440-2025")</f>
        <v/>
      </c>
      <c r="AC40">
        <f>HYPERLINK("https://klasma.github.io/Logging_2425/tillsyn/A 26440-2025 tillsynsbegäran.docx", "A 26440-2025")</f>
        <v/>
      </c>
      <c r="AD40">
        <f>HYPERLINK("https://klasma.github.io/Logging_2425/tillsynsmail/A 26440-2025 tillsynsbegäran mail.docx", "A 26440-2025")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46299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48089-2022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44855</v>
      </c>
      <c r="E42" s="1" t="n">
        <v>46299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9.199999999999999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Gammelgransskål</t>
        </is>
      </c>
      <c r="W42">
        <f>HYPERLINK("https://klasma.github.io/Logging_2425/artfynd/A 48089-2022 artfynd.xlsx", "A 48089-2022")</f>
        <v/>
      </c>
      <c r="X42">
        <f>HYPERLINK("https://klasma.github.io/Logging_2425/kartor/A 48089-2022 karta.png", "A 48089-2022")</f>
        <v/>
      </c>
      <c r="Y42">
        <f>HYPERLINK("https://klasma.github.io/Logging_2425/kartor_geotiff/A 48089-2022 georefererad karta.tif", "A 48089-2022")</f>
        <v/>
      </c>
      <c r="AA42">
        <f>HYPERLINK("https://klasma.github.io/Logging_2425/klagomål/A 48089-2022 FSC-klagomål.docx", "A 48089-2022")</f>
        <v/>
      </c>
      <c r="AB42">
        <f>HYPERLINK("https://klasma.github.io/Logging_2425/klagomålsmail/A 48089-2022 FSC-klagomål mail.docx", "A 48089-2022")</f>
        <v/>
      </c>
      <c r="AC42">
        <f>HYPERLINK("https://klasma.github.io/Logging_2425/tillsyn/A 48089-2022 tillsynsbegäran.docx", "A 48089-2022")</f>
        <v/>
      </c>
      <c r="AD42">
        <f>HYPERLINK("https://klasma.github.io/Logging_2425/tillsynsmail/A 48089-2022 tillsynsbegäran mail.docx", "A 48089-2022")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46299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46299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46299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21926-2026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46299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Stuplav</t>
        </is>
      </c>
      <c r="W46">
        <f>HYPERLINK("https://klasma.github.io/Logging_2425/artfynd/A 21926-2026 artfynd.xlsx", "A 21926-2026")</f>
        <v/>
      </c>
      <c r="X46">
        <f>HYPERLINK("https://klasma.github.io/Logging_2425/kartor/A 21926-2026 karta.png", "A 21926-2026")</f>
        <v/>
      </c>
      <c r="Y46">
        <f>HYPERLINK("https://klasma.github.io/Logging_2425/kartor_geotiff/A 21926-2026 georefererad karta.tif", "A 21926-2026")</f>
        <v/>
      </c>
      <c r="AA46">
        <f>HYPERLINK("https://klasma.github.io/Logging_2425/klagomål/A 21926-2026 FSC-klagomål.docx", "A 21926-2026")</f>
        <v/>
      </c>
      <c r="AB46">
        <f>HYPERLINK("https://klasma.github.io/Logging_2425/klagomålsmail/A 21926-2026 FSC-klagomål mail.docx", "A 21926-2026")</f>
        <v/>
      </c>
      <c r="AC46">
        <f>HYPERLINK("https://klasma.github.io/Logging_2425/tillsyn/A 21926-2026 tillsynsbegäran.docx", "A 21926-2026")</f>
        <v/>
      </c>
      <c r="AD46">
        <f>HYPERLINK("https://klasma.github.io/Logging_2425/tillsynsmail/A 21926-2026 tillsynsbegäran mail.docx", "A 21926-2026")</f>
        <v/>
      </c>
    </row>
    <row r="47" ht="15" customHeight="1">
      <c r="A47" t="inlineStr">
        <is>
          <t>A 12005-2023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44994</v>
      </c>
      <c r="E47" s="1" t="n">
        <v>46299</v>
      </c>
      <c r="F47" t="inlineStr">
        <is>
          <t>VÄSTERBOTTENS LÄN</t>
        </is>
      </c>
      <c r="G47" t="inlineStr">
        <is>
          <t>DOROTEA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HYPERLINK("https://klasma.github.io/Logging_2425/artfynd/A 12005-2023 artfynd.xlsx", "A 12005-2023")</f>
        <v/>
      </c>
      <c r="X47">
        <f>HYPERLINK("https://klasma.github.io/Logging_2425/kartor/A 12005-2023 karta.png", "A 12005-2023")</f>
        <v/>
      </c>
      <c r="Y47">
        <f>HYPERLINK("https://klasma.github.io/Logging_2425/kartor_geotiff/A 12005-2023 georefererad karta.tif", "A 12005-2023")</f>
        <v/>
      </c>
      <c r="AA47">
        <f>HYPERLINK("https://klasma.github.io/Logging_2425/klagomål/A 12005-2023 FSC-klagomål.docx", "A 12005-2023")</f>
        <v/>
      </c>
      <c r="AB47">
        <f>HYPERLINK("https://klasma.github.io/Logging_2425/klagomålsmail/A 12005-2023 FSC-klagomål mail.docx", "A 12005-2023")</f>
        <v/>
      </c>
      <c r="AC47">
        <f>HYPERLINK("https://klasma.github.io/Logging_2425/tillsyn/A 12005-2023 tillsynsbegäran.docx", "A 12005-2023")</f>
        <v/>
      </c>
      <c r="AD47">
        <f>HYPERLINK("https://klasma.github.io/Logging_2425/tillsynsmail/A 12005-2023 tillsynsbegäran mail.docx", "A 12005-2023")</f>
        <v/>
      </c>
    </row>
    <row r="48" ht="15" customHeight="1">
      <c r="A48" t="inlineStr">
        <is>
          <t>A 25980-2026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46299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40.2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HYPERLINK("https://klasma.github.io/Logging_2425/artfynd/A 25980-2026 artfynd.xlsx", "A 25980-2026")</f>
        <v/>
      </c>
      <c r="X48">
        <f>HYPERLINK("https://klasma.github.io/Logging_2425/kartor/A 25980-2026 karta.png", "A 25980-2026")</f>
        <v/>
      </c>
      <c r="Y48">
        <f>HYPERLINK("https://klasma.github.io/Logging_2425/kartor_geotiff/A 25980-2026 georefererad karta.tif", "A 25980-2026")</f>
        <v/>
      </c>
      <c r="AA48">
        <f>HYPERLINK("https://klasma.github.io/Logging_2425/klagomål/A 25980-2026 FSC-klagomål.docx", "A 25980-2026")</f>
        <v/>
      </c>
      <c r="AB48">
        <f>HYPERLINK("https://klasma.github.io/Logging_2425/klagomålsmail/A 25980-2026 FSC-klagomål mail.docx", "A 25980-2026")</f>
        <v/>
      </c>
      <c r="AC48">
        <f>HYPERLINK("https://klasma.github.io/Logging_2425/tillsyn/A 25980-2026 tillsynsbegäran.docx", "A 25980-2026")</f>
        <v/>
      </c>
      <c r="AD48">
        <f>HYPERLINK("https://klasma.github.io/Logging_2425/tillsynsmail/A 25980-2026 tillsynsbegäran mail.docx", "A 25980-2026")</f>
        <v/>
      </c>
    </row>
    <row r="49" ht="15" customHeight="1">
      <c r="A49" t="inlineStr">
        <is>
          <t>A 30357-2026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46209</v>
      </c>
      <c r="E49" s="1" t="n">
        <v>46299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Tajgahumla</t>
        </is>
      </c>
      <c r="W49">
        <f>HYPERLINK("https://klasma.github.io/Logging_2425/artfynd/A 30357-2026 artfynd.xlsx", "A 30357-2026")</f>
        <v/>
      </c>
      <c r="X49">
        <f>HYPERLINK("https://klasma.github.io/Logging_2425/kartor/A 30357-2026 karta.png", "A 30357-2026")</f>
        <v/>
      </c>
      <c r="Y49">
        <f>HYPERLINK("https://klasma.github.io/Logging_2425/kartor_geotiff/A 30357-2026 georefererad karta.tif", "A 30357-2026")</f>
        <v/>
      </c>
      <c r="AA49">
        <f>HYPERLINK("https://klasma.github.io/Logging_2425/klagomål/A 30357-2026 FSC-klagomål.docx", "A 30357-2026")</f>
        <v/>
      </c>
      <c r="AB49">
        <f>HYPERLINK("https://klasma.github.io/Logging_2425/klagomålsmail/A 30357-2026 FSC-klagomål mail.docx", "A 30357-2026")</f>
        <v/>
      </c>
      <c r="AC49">
        <f>HYPERLINK("https://klasma.github.io/Logging_2425/tillsyn/A 30357-2026 tillsynsbegäran.docx", "A 30357-2026")</f>
        <v/>
      </c>
      <c r="AD49">
        <f>HYPERLINK("https://klasma.github.io/Logging_2425/tillsynsmail/A 30357-2026 tillsynsbegäran mail.docx", "A 30357-2026")</f>
        <v/>
      </c>
    </row>
    <row r="50" ht="15" customHeight="1">
      <c r="A50" t="inlineStr">
        <is>
          <t>A 35297-2026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46299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5.5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35297-2026 artfynd.xlsx", "A 35297-2026")</f>
        <v/>
      </c>
      <c r="X50">
        <f>HYPERLINK("https://klasma.github.io/Logging_2425/kartor/A 35297-2026 karta.png", "A 35297-2026")</f>
        <v/>
      </c>
      <c r="Y50">
        <f>HYPERLINK("https://klasma.github.io/Logging_2425/kartor_geotiff/A 35297-2026 georefererad karta.tif", "A 35297-2026")</f>
        <v/>
      </c>
      <c r="AA50">
        <f>HYPERLINK("https://klasma.github.io/Logging_2425/klagomål/A 35297-2026 FSC-klagomål.docx", "A 35297-2026")</f>
        <v/>
      </c>
      <c r="AB50">
        <f>HYPERLINK("https://klasma.github.io/Logging_2425/klagomålsmail/A 35297-2026 FSC-klagomål mail.docx", "A 35297-2026")</f>
        <v/>
      </c>
      <c r="AC50">
        <f>HYPERLINK("https://klasma.github.io/Logging_2425/tillsyn/A 35297-2026 tillsynsbegäran.docx", "A 35297-2026")</f>
        <v/>
      </c>
      <c r="AD50">
        <f>HYPERLINK("https://klasma.github.io/Logging_2425/tillsynsmail/A 35297-2026 tillsynsbegäran mail.docx", "A 35297-2026")</f>
        <v/>
      </c>
    </row>
    <row r="51" ht="15" customHeight="1">
      <c r="A51" t="inlineStr">
        <is>
          <t>A 57060-2024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46299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HYPERLINK("https://klasma.github.io/Logging_2425/artfynd/A 57060-2024 artfynd.xlsx", "A 57060-2024")</f>
        <v/>
      </c>
      <c r="X51">
        <f>HYPERLINK("https://klasma.github.io/Logging_2425/kartor/A 57060-2024 karta.png", "A 57060-2024")</f>
        <v/>
      </c>
      <c r="Y51">
        <f>HYPERLINK("https://klasma.github.io/Logging_2425/kartor_geotiff/A 57060-2024 georefererad karta.tif", "A 57060-2024")</f>
        <v/>
      </c>
      <c r="AA51">
        <f>HYPERLINK("https://klasma.github.io/Logging_2425/klagomål/A 57060-2024 FSC-klagomål.docx", "A 57060-2024")</f>
        <v/>
      </c>
      <c r="AB51">
        <f>HYPERLINK("https://klasma.github.io/Logging_2425/klagomålsmail/A 57060-2024 FSC-klagomål mail.docx", "A 57060-2024")</f>
        <v/>
      </c>
      <c r="AC51">
        <f>HYPERLINK("https://klasma.github.io/Logging_2425/tillsyn/A 57060-2024 tillsynsbegäran.docx", "A 57060-2024")</f>
        <v/>
      </c>
      <c r="AD51">
        <f>HYPERLINK("https://klasma.github.io/Logging_2425/tillsynsmail/A 57060-2024 tillsynsbegäran mail.docx", "A 57060-2024")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46299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20600-2023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45057</v>
      </c>
      <c r="E53" s="1" t="n">
        <v>46299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Korallrot</t>
        </is>
      </c>
      <c r="W53">
        <f>HYPERLINK("https://klasma.github.io/Logging_2425/artfynd/A 20600-2023 artfynd.xlsx", "A 20600-2023")</f>
        <v/>
      </c>
      <c r="X53">
        <f>HYPERLINK("https://klasma.github.io/Logging_2425/kartor/A 20600-2023 karta.png", "A 20600-2023")</f>
        <v/>
      </c>
      <c r="Y53">
        <f>HYPERLINK("https://klasma.github.io/Logging_2425/kartor_geotiff/A 20600-2023 georefererad karta.tif", "A 20600-2023")</f>
        <v/>
      </c>
      <c r="AA53">
        <f>HYPERLINK("https://klasma.github.io/Logging_2425/klagomål/A 20600-2023 FSC-klagomål.docx", "A 20600-2023")</f>
        <v/>
      </c>
      <c r="AB53">
        <f>HYPERLINK("https://klasma.github.io/Logging_2425/klagomålsmail/A 20600-2023 FSC-klagomål mail.docx", "A 20600-2023")</f>
        <v/>
      </c>
      <c r="AC53">
        <f>HYPERLINK("https://klasma.github.io/Logging_2425/tillsyn/A 20600-2023 tillsynsbegäran.docx", "A 20600-2023")</f>
        <v/>
      </c>
      <c r="AD53">
        <f>HYPERLINK("https://klasma.github.io/Logging_2425/tillsynsmail/A 20600-2023 tillsynsbegäran mail.docx", "A 20600-2023")</f>
        <v/>
      </c>
    </row>
    <row r="54" ht="15" customHeight="1">
      <c r="A54" t="inlineStr">
        <is>
          <t>A 57058-2024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46299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57058-2024 artfynd.xlsx", "A 57058-2024")</f>
        <v/>
      </c>
      <c r="X54">
        <f>HYPERLINK("https://klasma.github.io/Logging_2425/kartor/A 57058-2024 karta.png", "A 57058-2024")</f>
        <v/>
      </c>
      <c r="Y54">
        <f>HYPERLINK("https://klasma.github.io/Logging_2425/kartor_geotiff/A 57058-2024 georefererad karta.tif", "A 57058-2024")</f>
        <v/>
      </c>
      <c r="AA54">
        <f>HYPERLINK("https://klasma.github.io/Logging_2425/klagomål/A 57058-2024 FSC-klagomål.docx", "A 57058-2024")</f>
        <v/>
      </c>
      <c r="AB54">
        <f>HYPERLINK("https://klasma.github.io/Logging_2425/klagomålsmail/A 57058-2024 FSC-klagomål mail.docx", "A 57058-2024")</f>
        <v/>
      </c>
      <c r="AC54">
        <f>HYPERLINK("https://klasma.github.io/Logging_2425/tillsyn/A 57058-2024 tillsynsbegäran.docx", "A 57058-2024")</f>
        <v/>
      </c>
      <c r="AD54">
        <f>HYPERLINK("https://klasma.github.io/Logging_2425/tillsynsmail/A 57058-2024 tillsynsbegäran mail.docx", "A 57058-2024")</f>
        <v/>
      </c>
    </row>
    <row r="55" ht="15" customHeight="1">
      <c r="A55" t="inlineStr">
        <is>
          <t>A 46815-2023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45198</v>
      </c>
      <c r="E55" s="1" t="n">
        <v>46299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3.7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46815-2023 artfynd.xlsx", "A 46815-2023")</f>
        <v/>
      </c>
      <c r="X55">
        <f>HYPERLINK("https://klasma.github.io/Logging_2425/kartor/A 46815-2023 karta.png", "A 46815-2023")</f>
        <v/>
      </c>
      <c r="Y55">
        <f>HYPERLINK("https://klasma.github.io/Logging_2425/kartor_geotiff/A 46815-2023 georefererad karta.tif", "A 46815-2023")</f>
        <v/>
      </c>
      <c r="AA55">
        <f>HYPERLINK("https://klasma.github.io/Logging_2425/klagomål/A 46815-2023 FSC-klagomål.docx", "A 46815-2023")</f>
        <v/>
      </c>
      <c r="AB55">
        <f>HYPERLINK("https://klasma.github.io/Logging_2425/klagomålsmail/A 46815-2023 FSC-klagomål mail.docx", "A 46815-2023")</f>
        <v/>
      </c>
      <c r="AC55">
        <f>HYPERLINK("https://klasma.github.io/Logging_2425/tillsyn/A 46815-2023 tillsynsbegäran.docx", "A 46815-2023")</f>
        <v/>
      </c>
      <c r="AD55">
        <f>HYPERLINK("https://klasma.github.io/Logging_2425/tillsynsmail/A 46815-2023 tillsynsbegäran mail.docx", "A 46815-2023")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46299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46299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2218-2026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46258</v>
      </c>
      <c r="E58" s="1" t="n">
        <v>46299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2218-2026 artfynd.xlsx", "S 2218-2026")</f>
        <v/>
      </c>
      <c r="X58">
        <f>HYPERLINK("https://klasma.github.io/Logging_2425/kartor/S 2218-2026 karta.png", "S 2218-2026")</f>
        <v/>
      </c>
      <c r="Y58">
        <f>HYPERLINK("https://klasma.github.io/Logging_2425/kartor_geotiff/S 2218-2026 georefererad karta.tif", "S 2218-2026")</f>
        <v/>
      </c>
      <c r="AA58">
        <f>HYPERLINK("https://klasma.github.io/Logging_2425/klagomål/S 2218-2026 FSC-klagomål.docx", "S 2218-2026")</f>
        <v/>
      </c>
      <c r="AB58">
        <f>HYPERLINK("https://klasma.github.io/Logging_2425/klagomålsmail/S 2218-2026 FSC-klagomål mail.docx", "S 2218-2026")</f>
        <v/>
      </c>
      <c r="AC58">
        <f>HYPERLINK("https://klasma.github.io/Logging_2425/tillsyn/S 2218-2026 tillsynsbegäran.docx", "S 2218-2026")</f>
        <v/>
      </c>
      <c r="AD58">
        <f>HYPERLINK("https://klasma.github.io/Logging_2425/tillsynsmail/S 2218-2026 tillsynsbegäran mail.docx", "S 2218-2026")</f>
        <v/>
      </c>
    </row>
    <row r="59" ht="15" customHeight="1">
      <c r="A59" t="inlineStr">
        <is>
          <t>S 2107-2026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46240</v>
      </c>
      <c r="E59" s="1" t="n">
        <v>46299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2107-2026 artfynd.xlsx", "S 2107-2026")</f>
        <v/>
      </c>
      <c r="X59">
        <f>HYPERLINK("https://klasma.github.io/Logging_2425/kartor/S 2107-2026 karta.png", "S 2107-2026")</f>
        <v/>
      </c>
      <c r="Y59">
        <f>HYPERLINK("https://klasma.github.io/Logging_2425/kartor_geotiff/S 2107-2026 georefererad karta.tif", "S 2107-2026")</f>
        <v/>
      </c>
      <c r="AA59">
        <f>HYPERLINK("https://klasma.github.io/Logging_2425/klagomål/S 2107-2026 FSC-klagomål.docx", "S 2107-2026")</f>
        <v/>
      </c>
      <c r="AB59">
        <f>HYPERLINK("https://klasma.github.io/Logging_2425/klagomålsmail/S 2107-2026 FSC-klagomål mail.docx", "S 2107-2026")</f>
        <v/>
      </c>
      <c r="AC59">
        <f>HYPERLINK("https://klasma.github.io/Logging_2425/tillsyn/S 2107-2026 tillsynsbegäran.docx", "S 2107-2026")</f>
        <v/>
      </c>
      <c r="AD59">
        <f>HYPERLINK("https://klasma.github.io/Logging_2425/tillsynsmail/S 2107-2026 tillsynsbegäran mail.docx", "S 2107-2026")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46299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46299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46299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46299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46299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46299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46299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46299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46299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41104-2023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45170</v>
      </c>
      <c r="E69" s="1" t="n">
        <v>46299</v>
      </c>
      <c r="F69" t="inlineStr">
        <is>
          <t>VÄSTERBOTTENS LÄN</t>
        </is>
      </c>
      <c r="G69" t="inlineStr">
        <is>
          <t>DOROTEA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46299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46299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46299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45721</v>
      </c>
      <c r="E73" s="1" t="n">
        <v>46299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12.2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45556</v>
      </c>
      <c r="E74" s="1" t="n">
        <v>46299</v>
      </c>
      <c r="F74" t="inlineStr">
        <is>
          <t>VÄSTERBOTTENS LÄN</t>
        </is>
      </c>
      <c r="G74" t="inlineStr">
        <is>
          <t>DOROTEA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60015-2023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45257</v>
      </c>
      <c r="E75" s="1" t="n">
        <v>46299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45036</v>
      </c>
      <c r="E76" s="1" t="n">
        <v>46299</v>
      </c>
      <c r="F76" t="inlineStr">
        <is>
          <t>VÄSTERBOTTENS LÄN</t>
        </is>
      </c>
      <c r="G76" t="inlineStr">
        <is>
          <t>DOROTEA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46299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46299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53795-2022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44876</v>
      </c>
      <c r="E79" s="1" t="n">
        <v>46299</v>
      </c>
      <c r="F79" t="inlineStr">
        <is>
          <t>VÄSTERBOTTENS LÄN</t>
        </is>
      </c>
      <c r="G79" t="inlineStr">
        <is>
          <t>DOROTEA</t>
        </is>
      </c>
      <c r="I79" t="n">
        <v>12.3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27477-2023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45097</v>
      </c>
      <c r="E80" s="1" t="n">
        <v>46299</v>
      </c>
      <c r="F80" t="inlineStr">
        <is>
          <t>VÄSTERBOTTENS LÄN</t>
        </is>
      </c>
      <c r="G80" t="inlineStr">
        <is>
          <t>DOROTEA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62193-2025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46003</v>
      </c>
      <c r="E81" s="1" t="n">
        <v>46299</v>
      </c>
      <c r="F81" t="inlineStr">
        <is>
          <t>VÄSTERBOTTENS LÄN</t>
        </is>
      </c>
      <c r="G81" t="inlineStr">
        <is>
          <t>DOROTEA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46007</v>
      </c>
      <c r="E82" s="1" t="n">
        <v>46299</v>
      </c>
      <c r="F82" t="inlineStr">
        <is>
          <t>VÄSTERBOTTENS LÄN</t>
        </is>
      </c>
      <c r="G82" t="inlineStr">
        <is>
          <t>DOROTEA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62399-2025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46007</v>
      </c>
      <c r="E83" s="1" t="n">
        <v>46299</v>
      </c>
      <c r="F83" t="inlineStr">
        <is>
          <t>VÄSTERBOTTENS LÄN</t>
        </is>
      </c>
      <c r="G83" t="inlineStr">
        <is>
          <t>DOROTEA</t>
        </is>
      </c>
      <c r="I83" t="n">
        <v>16.7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62423-2025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46299</v>
      </c>
      <c r="F84" t="inlineStr">
        <is>
          <t>VÄSTERBOTTENS LÄN</t>
        </is>
      </c>
      <c r="G84" t="inlineStr">
        <is>
          <t>DOROTEA</t>
        </is>
      </c>
      <c r="I84" t="n">
        <v>13.2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17132-2025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45755</v>
      </c>
      <c r="E85" s="1" t="n">
        <v>46299</v>
      </c>
      <c r="F85" t="inlineStr">
        <is>
          <t>VÄSTERBOTTENS LÄN</t>
        </is>
      </c>
      <c r="G85" t="inlineStr">
        <is>
          <t>DOROTEA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46299</v>
      </c>
      <c r="F86" t="inlineStr">
        <is>
          <t>VÄSTERBOTTENS LÄN</t>
        </is>
      </c>
      <c r="G86" t="inlineStr">
        <is>
          <t>DOROTEA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46299</v>
      </c>
      <c r="F87" t="inlineStr">
        <is>
          <t>VÄSTERBOTTENS LÄN</t>
        </is>
      </c>
      <c r="G87" t="inlineStr">
        <is>
          <t>DOROTEA</t>
        </is>
      </c>
      <c r="I87" t="n">
        <v>12.3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62974-2025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46009</v>
      </c>
      <c r="E88" s="1" t="n">
        <v>46299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9.4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37072-2024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46299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8.199999999999999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19889-2025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46299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63939-2025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46010</v>
      </c>
      <c r="E91" s="1" t="n">
        <v>46299</v>
      </c>
      <c r="F91" t="inlineStr">
        <is>
          <t>VÄSTERBOTTENS LÄN</t>
        </is>
      </c>
      <c r="G91" t="inlineStr">
        <is>
          <t>DOROTEA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22450-2024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45446</v>
      </c>
      <c r="E92" s="1" t="n">
        <v>46299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45125</v>
      </c>
      <c r="E93" s="1" t="n">
        <v>46299</v>
      </c>
      <c r="F93" t="inlineStr">
        <is>
          <t>VÄSTERBOTTENS LÄN</t>
        </is>
      </c>
      <c r="G93" t="inlineStr">
        <is>
          <t>DOROTEA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30373-2024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45491</v>
      </c>
      <c r="E94" s="1" t="n">
        <v>46299</v>
      </c>
      <c r="F94" t="inlineStr">
        <is>
          <t>VÄSTERBOTTENS LÄN</t>
        </is>
      </c>
      <c r="G94" t="inlineStr">
        <is>
          <t>DOROTEA</t>
        </is>
      </c>
      <c r="H94" t="inlineStr">
        <is>
          <t>Sveaskog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63745-2025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46017</v>
      </c>
      <c r="E95" s="1" t="n">
        <v>46299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8.699999999999999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39778-2025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45891</v>
      </c>
      <c r="E96" s="1" t="n">
        <v>46299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39977-2025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45893</v>
      </c>
      <c r="E97" s="1" t="n">
        <v>46299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46030</v>
      </c>
      <c r="E98" s="1" t="n">
        <v>46299</v>
      </c>
      <c r="F98" t="inlineStr">
        <is>
          <t>VÄSTERBOTTENS LÄN</t>
        </is>
      </c>
      <c r="G98" t="inlineStr">
        <is>
          <t>DOROTEA</t>
        </is>
      </c>
      <c r="I98" t="n">
        <v>18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34107-2023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45125</v>
      </c>
      <c r="E99" s="1" t="n">
        <v>46299</v>
      </c>
      <c r="F99" t="inlineStr">
        <is>
          <t>VÄSTERBOTTENS LÄN</t>
        </is>
      </c>
      <c r="G99" t="inlineStr">
        <is>
          <t>DOROTEA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46299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46299</v>
      </c>
      <c r="F101" t="inlineStr">
        <is>
          <t>VÄSTERBOTTENS LÄN</t>
        </is>
      </c>
      <c r="G101" t="inlineStr">
        <is>
          <t>DOROTEA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46299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45903</v>
      </c>
      <c r="E103" s="1" t="n">
        <v>46299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45140</v>
      </c>
      <c r="E104" s="1" t="n">
        <v>46299</v>
      </c>
      <c r="F104" t="inlineStr">
        <is>
          <t>VÄSTERBOTTENS LÄN</t>
        </is>
      </c>
      <c r="G104" t="inlineStr">
        <is>
          <t>DOROTEA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45485</v>
      </c>
      <c r="E105" s="1" t="n">
        <v>46299</v>
      </c>
      <c r="F105" t="inlineStr">
        <is>
          <t>VÄSTERBOTTENS LÄN</t>
        </is>
      </c>
      <c r="G105" t="inlineStr">
        <is>
          <t>DOROTEA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42553-2025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46299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46029</v>
      </c>
      <c r="E107" s="1" t="n">
        <v>46299</v>
      </c>
      <c r="F107" t="inlineStr">
        <is>
          <t>VÄSTERBOTTENS LÄN</t>
        </is>
      </c>
      <c r="G107" t="inlineStr">
        <is>
          <t>DOROTEA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42125-2025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45904</v>
      </c>
      <c r="E108" s="1" t="n">
        <v>46299</v>
      </c>
      <c r="F108" t="inlineStr">
        <is>
          <t>VÄSTERBOTTENS LÄN</t>
        </is>
      </c>
      <c r="G108" t="inlineStr">
        <is>
          <t>DOROTEA</t>
        </is>
      </c>
      <c r="H108" t="inlineStr">
        <is>
          <t>Övriga Aktiebolag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2842-2026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46299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3845-2026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46043</v>
      </c>
      <c r="E110" s="1" t="n">
        <v>46299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3559-2026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46042</v>
      </c>
      <c r="E111" s="1" t="n">
        <v>46299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34702-2023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45140</v>
      </c>
      <c r="E112" s="1" t="n">
        <v>46299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45792</v>
      </c>
      <c r="E113" s="1" t="n">
        <v>46299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46299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46299</v>
      </c>
      <c r="F115" t="inlineStr">
        <is>
          <t>VÄSTERBOTTENS LÄN</t>
        </is>
      </c>
      <c r="G115" t="inlineStr">
        <is>
          <t>DOROTEA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46042</v>
      </c>
      <c r="E116" s="1" t="n">
        <v>46299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45517</v>
      </c>
      <c r="E117" s="1" t="n">
        <v>46299</v>
      </c>
      <c r="F117" t="inlineStr">
        <is>
          <t>VÄSTERBOTTENS LÄN</t>
        </is>
      </c>
      <c r="G117" t="inlineStr">
        <is>
          <t>DOROTEA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53380-2024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46299</v>
      </c>
      <c r="F118" t="inlineStr">
        <is>
          <t>VÄSTERBOTTENS LÄN</t>
        </is>
      </c>
      <c r="G118" t="inlineStr">
        <is>
          <t>DOROTEA</t>
        </is>
      </c>
      <c r="I118" t="n">
        <v>12.8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46299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46299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63885-2025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46010</v>
      </c>
      <c r="E121" s="1" t="n">
        <v>46299</v>
      </c>
      <c r="F121" t="inlineStr">
        <is>
          <t>VÄSTERBOTTENS LÄN</t>
        </is>
      </c>
      <c r="G121" t="inlineStr">
        <is>
          <t>DOROTEA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46299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46299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43720-2025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46299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44593-2025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45917</v>
      </c>
      <c r="E125" s="1" t="n">
        <v>46299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46091</v>
      </c>
      <c r="E126" s="1" t="n">
        <v>46299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44282-2025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45916</v>
      </c>
      <c r="E127" s="1" t="n">
        <v>46299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46299</v>
      </c>
      <c r="F128" t="inlineStr">
        <is>
          <t>VÄSTERBOTTENS LÄN</t>
        </is>
      </c>
      <c r="G128" t="inlineStr">
        <is>
          <t>DOROTEA</t>
        </is>
      </c>
      <c r="H128" t="inlineStr">
        <is>
          <t>Övriga statliga verk och myndigheter</t>
        </is>
      </c>
      <c r="I128" t="n">
        <v>15.2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45917</v>
      </c>
      <c r="E129" s="1" t="n">
        <v>46299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46299</v>
      </c>
      <c r="F130" t="inlineStr">
        <is>
          <t>VÄSTERBOTTENS LÄN</t>
        </is>
      </c>
      <c r="G130" t="inlineStr">
        <is>
          <t>DOROTEA</t>
        </is>
      </c>
      <c r="I130" t="n">
        <v>11.8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5743-2026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46051</v>
      </c>
      <c r="E131" s="1" t="n">
        <v>46299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5758-2026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46299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46299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46299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46299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45805</v>
      </c>
      <c r="E136" s="1" t="n">
        <v>46299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26481-2025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45807</v>
      </c>
      <c r="E137" s="1" t="n">
        <v>46299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45845</v>
      </c>
      <c r="E138" s="1" t="n">
        <v>46299</v>
      </c>
      <c r="F138" t="inlineStr">
        <is>
          <t>VÄSTERBOTTENS LÄN</t>
        </is>
      </c>
      <c r="G138" t="inlineStr">
        <is>
          <t>DOROTEA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46299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46055</v>
      </c>
      <c r="E140" s="1" t="n">
        <v>46299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45845</v>
      </c>
      <c r="E141" s="1" t="n">
        <v>46299</v>
      </c>
      <c r="F141" t="inlineStr">
        <is>
          <t>VÄSTERBOTTENS LÄN</t>
        </is>
      </c>
      <c r="G141" t="inlineStr">
        <is>
          <t>DOROTEA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46054</v>
      </c>
      <c r="E142" s="1" t="n">
        <v>46299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7716-2026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46299</v>
      </c>
      <c r="F143" t="inlineStr">
        <is>
          <t>VÄSTERBOTTENS LÄN</t>
        </is>
      </c>
      <c r="G143" t="inlineStr">
        <is>
          <t>DOROTEA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7713-2026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46059</v>
      </c>
      <c r="E144" s="1" t="n">
        <v>46299</v>
      </c>
      <c r="F144" t="inlineStr">
        <is>
          <t>VÄSTERBOTTENS LÄN</t>
        </is>
      </c>
      <c r="G144" t="inlineStr">
        <is>
          <t>DOROTEA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46299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38700-2024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45547</v>
      </c>
      <c r="E146" s="1" t="n">
        <v>46299</v>
      </c>
      <c r="F146" t="inlineStr">
        <is>
          <t>VÄSTERBOTTENS LÄN</t>
        </is>
      </c>
      <c r="G146" t="inlineStr">
        <is>
          <t>DOROTEA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45735</v>
      </c>
      <c r="E147" s="1" t="n">
        <v>46299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48530-2025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45936</v>
      </c>
      <c r="E148" s="1" t="n">
        <v>46299</v>
      </c>
      <c r="F148" t="inlineStr">
        <is>
          <t>VÄSTERBOTTENS LÄN</t>
        </is>
      </c>
      <c r="G148" t="inlineStr">
        <is>
          <t>DOROTEA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46299</v>
      </c>
      <c r="F149" t="inlineStr">
        <is>
          <t>VÄSTERBOTTENS LÄN</t>
        </is>
      </c>
      <c r="G149" t="inlineStr">
        <is>
          <t>DOROTEA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46299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Sveaskog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46299</v>
      </c>
      <c r="F151" t="inlineStr">
        <is>
          <t>VÄSTERBOTTENS LÄN</t>
        </is>
      </c>
      <c r="G151" t="inlineStr">
        <is>
          <t>DOROTEA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46299</v>
      </c>
      <c r="F152" t="inlineStr">
        <is>
          <t>VÄSTERBOTTENS LÄN</t>
        </is>
      </c>
      <c r="G152" t="inlineStr">
        <is>
          <t>DOROTEA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25028-2024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45461</v>
      </c>
      <c r="E153" s="1" t="n">
        <v>46299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46299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17787-2023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45036</v>
      </c>
      <c r="E155" s="1" t="n">
        <v>46299</v>
      </c>
      <c r="F155" t="inlineStr">
        <is>
          <t>VÄSTERBOTTENS LÄN</t>
        </is>
      </c>
      <c r="G155" t="inlineStr">
        <is>
          <t>DOROTEA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45938</v>
      </c>
      <c r="E156" s="1" t="n">
        <v>46299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46299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9.800000000000001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8246-2024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45351</v>
      </c>
      <c r="E158" s="1" t="n">
        <v>46299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9796-2026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46072</v>
      </c>
      <c r="E159" s="1" t="n">
        <v>46299</v>
      </c>
      <c r="F159" t="inlineStr">
        <is>
          <t>VÄSTERBOTTENS LÄN</t>
        </is>
      </c>
      <c r="G159" t="inlineStr">
        <is>
          <t>DOROTEA</t>
        </is>
      </c>
      <c r="I159" t="n">
        <v>20.1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46299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45539</v>
      </c>
      <c r="E161" s="1" t="n">
        <v>46299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48006-2023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45198</v>
      </c>
      <c r="E162" s="1" t="n">
        <v>46299</v>
      </c>
      <c r="F162" t="inlineStr">
        <is>
          <t>VÄSTERBOTTENS LÄN</t>
        </is>
      </c>
      <c r="G162" t="inlineStr">
        <is>
          <t>DOROTEA</t>
        </is>
      </c>
      <c r="H162" t="inlineStr">
        <is>
          <t>Övriga statliga verk och myndigheter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45574</v>
      </c>
      <c r="E163" s="1" t="n">
        <v>46299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45463</v>
      </c>
      <c r="E164" s="1" t="n">
        <v>46299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45228</v>
      </c>
      <c r="E165" s="1" t="n">
        <v>46299</v>
      </c>
      <c r="F165" t="inlineStr">
        <is>
          <t>VÄSTERBOTTENS LÄN</t>
        </is>
      </c>
      <c r="G165" t="inlineStr">
        <is>
          <t>DOROTEA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45228</v>
      </c>
      <c r="E166" s="1" t="n">
        <v>46299</v>
      </c>
      <c r="F166" t="inlineStr">
        <is>
          <t>VÄSTERBOTTENS LÄN</t>
        </is>
      </c>
      <c r="G166" t="inlineStr">
        <is>
          <t>DOROTEA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12082-2026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46086</v>
      </c>
      <c r="E167" s="1" t="n">
        <v>46299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11817-2026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46085</v>
      </c>
      <c r="E168" s="1" t="n">
        <v>46299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52412-2025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46299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46299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44582</v>
      </c>
      <c r="E171" s="1" t="n">
        <v>46299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54489-2025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46299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46299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35202-2025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45852</v>
      </c>
      <c r="E174" s="1" t="n">
        <v>46299</v>
      </c>
      <c r="F174" t="inlineStr">
        <is>
          <t>VÄSTERBOTTENS LÄN</t>
        </is>
      </c>
      <c r="G174" t="inlineStr">
        <is>
          <t>DOROTEA</t>
        </is>
      </c>
      <c r="H174" t="inlineStr">
        <is>
          <t>Allmännings- och besparingsskogar</t>
        </is>
      </c>
      <c r="I174" t="n">
        <v>22.1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46299</v>
      </c>
      <c r="F175" t="inlineStr">
        <is>
          <t>VÄSTERBOTTENS LÄN</t>
        </is>
      </c>
      <c r="G175" t="inlineStr">
        <is>
          <t>DOROTEA</t>
        </is>
      </c>
      <c r="H175" t="inlineStr">
        <is>
          <t>Allmännings- och besparingsskogar</t>
        </is>
      </c>
      <c r="I175" t="n">
        <v>20.3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45755</v>
      </c>
      <c r="E176" s="1" t="n">
        <v>46299</v>
      </c>
      <c r="F176" t="inlineStr">
        <is>
          <t>VÄSTERBOTTENS LÄN</t>
        </is>
      </c>
      <c r="G176" t="inlineStr">
        <is>
          <t>DOROTEA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24003-2025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45796</v>
      </c>
      <c r="E177" s="1" t="n">
        <v>46299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46299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45966</v>
      </c>
      <c r="E179" s="1" t="n">
        <v>46299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46965-2024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45586</v>
      </c>
      <c r="E180" s="1" t="n">
        <v>46299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14806-2023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45013</v>
      </c>
      <c r="E181" s="1" t="n">
        <v>46299</v>
      </c>
      <c r="F181" t="inlineStr">
        <is>
          <t>VÄSTERBOTTENS LÄN</t>
        </is>
      </c>
      <c r="G181" t="inlineStr">
        <is>
          <t>DOROTEA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14249-2026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46099</v>
      </c>
      <c r="E182" s="1" t="n">
        <v>46299</v>
      </c>
      <c r="F182" t="inlineStr">
        <is>
          <t>VÄSTERBOTTENS LÄN</t>
        </is>
      </c>
      <c r="G182" t="inlineStr">
        <is>
          <t>DOROTEA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27558-2022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44742</v>
      </c>
      <c r="E183" s="1" t="n">
        <v>46299</v>
      </c>
      <c r="F183" t="inlineStr">
        <is>
          <t>VÄSTERBOTTENS LÄN</t>
        </is>
      </c>
      <c r="G183" t="inlineStr">
        <is>
          <t>DOROTEA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45720</v>
      </c>
      <c r="E184" s="1" t="n">
        <v>46299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56556-2025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45975</v>
      </c>
      <c r="E185" s="1" t="n">
        <v>46299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46299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15020-2026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46104</v>
      </c>
      <c r="E187" s="1" t="n">
        <v>46299</v>
      </c>
      <c r="F187" t="inlineStr">
        <is>
          <t>VÄSTERBOTTENS LÄN</t>
        </is>
      </c>
      <c r="G187" t="inlineStr">
        <is>
          <t>DOROTEA</t>
        </is>
      </c>
      <c r="I187" t="n">
        <v>7.8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45977</v>
      </c>
      <c r="E188" s="1" t="n">
        <v>46299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57245-2025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45978</v>
      </c>
      <c r="E189" s="1" t="n">
        <v>46299</v>
      </c>
      <c r="F189" t="inlineStr">
        <is>
          <t>VÄSTERBOTTENS LÄN</t>
        </is>
      </c>
      <c r="G189" t="inlineStr">
        <is>
          <t>DOROTEA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46299</v>
      </c>
      <c r="F190" t="inlineStr">
        <is>
          <t>VÄSTERBOTTENS LÄN</t>
        </is>
      </c>
      <c r="G190" t="inlineStr">
        <is>
          <t>DOROTEA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15901-2026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46107</v>
      </c>
      <c r="E191" s="1" t="n">
        <v>46299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57380-2025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46299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57480-2025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45980</v>
      </c>
      <c r="E193" s="1" t="n">
        <v>46299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46299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7.4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45981</v>
      </c>
      <c r="E195" s="1" t="n">
        <v>46299</v>
      </c>
      <c r="F195" t="inlineStr">
        <is>
          <t>VÄSTERBOTTENS LÄN</t>
        </is>
      </c>
      <c r="G195" t="inlineStr">
        <is>
          <t>DOROTEA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46299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45356</v>
      </c>
      <c r="E197" s="1" t="n">
        <v>46299</v>
      </c>
      <c r="F197" t="inlineStr">
        <is>
          <t>VÄSTERBOTTENS LÄN</t>
        </is>
      </c>
      <c r="G197" t="inlineStr">
        <is>
          <t>DOROTEA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45982</v>
      </c>
      <c r="E198" s="1" t="n">
        <v>46299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16251-2026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46299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46299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27305-2024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45471</v>
      </c>
      <c r="E201" s="1" t="n">
        <v>46299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16352-2026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46299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33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58014-2025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45982</v>
      </c>
      <c r="E203" s="1" t="n">
        <v>46299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18.2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46114</v>
      </c>
      <c r="E204" s="1" t="n">
        <v>46299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46299</v>
      </c>
      <c r="F205" t="inlineStr">
        <is>
          <t>VÄSTERBOTTENS LÄN</t>
        </is>
      </c>
      <c r="G205" t="inlineStr">
        <is>
          <t>DOROTEA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16896-2026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46113</v>
      </c>
      <c r="E206" s="1" t="n">
        <v>46299</v>
      </c>
      <c r="F206" t="inlineStr">
        <is>
          <t>VÄSTERBOTTENS LÄN</t>
        </is>
      </c>
      <c r="G206" t="inlineStr">
        <is>
          <t>DOROTEA</t>
        </is>
      </c>
      <c r="H206" t="inlineStr">
        <is>
          <t>Kommuner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45988</v>
      </c>
      <c r="E207" s="1" t="n">
        <v>46299</v>
      </c>
      <c r="F207" t="inlineStr">
        <is>
          <t>VÄSTERBOTTENS LÄN</t>
        </is>
      </c>
      <c r="G207" t="inlineStr">
        <is>
          <t>DOROTEA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29258-2025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46299</v>
      </c>
      <c r="F208" t="inlineStr">
        <is>
          <t>VÄSTERBOTTENS LÄN</t>
        </is>
      </c>
      <c r="G208" t="inlineStr">
        <is>
          <t>DOROTEA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46299</v>
      </c>
      <c r="F209" t="inlineStr">
        <is>
          <t>VÄSTERBOTTENS LÄN</t>
        </is>
      </c>
      <c r="G209" t="inlineStr">
        <is>
          <t>DOROTEA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46120</v>
      </c>
      <c r="E210" s="1" t="n">
        <v>46299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8.6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45988</v>
      </c>
      <c r="E211" s="1" t="n">
        <v>46299</v>
      </c>
      <c r="F211" t="inlineStr">
        <is>
          <t>VÄSTERBOTTENS LÄN</t>
        </is>
      </c>
      <c r="G211" t="inlineStr">
        <is>
          <t>DOROTEA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46299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20.3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45331</v>
      </c>
      <c r="E213" s="1" t="n">
        <v>46299</v>
      </c>
      <c r="F213" t="inlineStr">
        <is>
          <t>VÄSTERBOTTENS LÄN</t>
        </is>
      </c>
      <c r="G213" t="inlineStr">
        <is>
          <t>DOROTEA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44889</v>
      </c>
      <c r="E214" s="1" t="n">
        <v>46299</v>
      </c>
      <c r="F214" t="inlineStr">
        <is>
          <t>VÄSTERBOTTENS LÄN</t>
        </is>
      </c>
      <c r="G214" t="inlineStr">
        <is>
          <t>DOROTEA</t>
        </is>
      </c>
      <c r="I214" t="n">
        <v>15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46126</v>
      </c>
      <c r="E215" s="1" t="n">
        <v>46299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35937-2025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45862</v>
      </c>
      <c r="E216" s="1" t="n">
        <v>46299</v>
      </c>
      <c r="F216" t="inlineStr">
        <is>
          <t>VÄSTERBOTTENS LÄN</t>
        </is>
      </c>
      <c r="G216" t="inlineStr">
        <is>
          <t>DOROTEA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17971-2026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46123</v>
      </c>
      <c r="E217" s="1" t="n">
        <v>46299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46299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18.3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18254-2026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46126</v>
      </c>
      <c r="E219" s="1" t="n">
        <v>46299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46299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18143-2026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46125</v>
      </c>
      <c r="E221" s="1" t="n">
        <v>46299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10.1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60724-2025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45996</v>
      </c>
      <c r="E222" s="1" t="n">
        <v>46299</v>
      </c>
      <c r="F222" t="inlineStr">
        <is>
          <t>VÄSTERBOTTENS LÄN</t>
        </is>
      </c>
      <c r="G222" t="inlineStr">
        <is>
          <t>DOROTEA</t>
        </is>
      </c>
      <c r="I222" t="n">
        <v>23.9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46133</v>
      </c>
      <c r="E223" s="1" t="n">
        <v>46299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46299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19445-2026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46133</v>
      </c>
      <c r="E225" s="1" t="n">
        <v>46299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46133</v>
      </c>
      <c r="E226" s="1" t="n">
        <v>46299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45833</v>
      </c>
      <c r="E227" s="1" t="n">
        <v>46299</v>
      </c>
      <c r="F227" t="inlineStr">
        <is>
          <t>VÄSTERBOTTENS LÄN</t>
        </is>
      </c>
      <c r="G227" t="inlineStr">
        <is>
          <t>DOROTEA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31510-2025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46299</v>
      </c>
      <c r="F228" t="inlineStr">
        <is>
          <t>VÄSTERBOTTENS LÄN</t>
        </is>
      </c>
      <c r="G228" t="inlineStr">
        <is>
          <t>DOROTEA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46299</v>
      </c>
      <c r="F229" t="inlineStr">
        <is>
          <t>VÄSTERBOTTENS LÄN</t>
        </is>
      </c>
      <c r="G229" t="inlineStr">
        <is>
          <t>DOROTEA</t>
        </is>
      </c>
      <c r="I229" t="n">
        <v>14.7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46299</v>
      </c>
      <c r="F230" t="inlineStr">
        <is>
          <t>VÄSTERBOTTENS LÄN</t>
        </is>
      </c>
      <c r="G230" t="inlineStr">
        <is>
          <t>DOROTEA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46136</v>
      </c>
      <c r="E231" s="1" t="n">
        <v>46299</v>
      </c>
      <c r="F231" t="inlineStr">
        <is>
          <t>VÄSTERBOTTENS LÄN</t>
        </is>
      </c>
      <c r="G231" t="inlineStr">
        <is>
          <t>DOROTEA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45142</v>
      </c>
      <c r="E232" s="1" t="n">
        <v>46299</v>
      </c>
      <c r="F232" t="inlineStr">
        <is>
          <t>VÄSTERBOTTENS LÄN</t>
        </is>
      </c>
      <c r="G232" t="inlineStr">
        <is>
          <t>DOROTEA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44888</v>
      </c>
      <c r="E233" s="1" t="n">
        <v>46299</v>
      </c>
      <c r="F233" t="inlineStr">
        <is>
          <t>VÄSTERBOTTENS LÄN</t>
        </is>
      </c>
      <c r="G233" t="inlineStr">
        <is>
          <t>DOROTEA</t>
        </is>
      </c>
      <c r="I233" t="n">
        <v>15.8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29454-2024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45483</v>
      </c>
      <c r="E234" s="1" t="n">
        <v>46299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45757</v>
      </c>
      <c r="E235" s="1" t="n">
        <v>46299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45098</v>
      </c>
      <c r="E236" s="1" t="n">
        <v>46299</v>
      </c>
      <c r="F236" t="inlineStr">
        <is>
          <t>VÄSTERBOTTENS LÄN</t>
        </is>
      </c>
      <c r="G236" t="inlineStr">
        <is>
          <t>DOROTEA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46299</v>
      </c>
      <c r="F237" t="inlineStr">
        <is>
          <t>VÄSTERBOTTENS LÄN</t>
        </is>
      </c>
      <c r="G237" t="inlineStr">
        <is>
          <t>DOROTEA</t>
        </is>
      </c>
      <c r="I237" t="n">
        <v>13.3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20390-2026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46139</v>
      </c>
      <c r="E238" s="1" t="n">
        <v>46299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45351</v>
      </c>
      <c r="E239" s="1" t="n">
        <v>46299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45847</v>
      </c>
      <c r="E240" s="1" t="n">
        <v>46299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45846</v>
      </c>
      <c r="E241" s="1" t="n">
        <v>46299</v>
      </c>
      <c r="F241" t="inlineStr">
        <is>
          <t>VÄSTERBOTTENS LÄN</t>
        </is>
      </c>
      <c r="G241" t="inlineStr">
        <is>
          <t>DOROTEA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46299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20332-2026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46136</v>
      </c>
      <c r="E243" s="1" t="n">
        <v>46299</v>
      </c>
      <c r="F243" t="inlineStr">
        <is>
          <t>VÄSTERBOTTENS LÄN</t>
        </is>
      </c>
      <c r="G243" t="inlineStr">
        <is>
          <t>DOROTEA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45849</v>
      </c>
      <c r="E244" s="1" t="n">
        <v>46299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46299</v>
      </c>
      <c r="F245" t="inlineStr">
        <is>
          <t>VÄSTERBOTTENS LÄN</t>
        </is>
      </c>
      <c r="G245" t="inlineStr">
        <is>
          <t>DOROTEA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8095-2023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44974</v>
      </c>
      <c r="E246" s="1" t="n">
        <v>46299</v>
      </c>
      <c r="F246" t="inlineStr">
        <is>
          <t>VÄSTERBOTTENS LÄN</t>
        </is>
      </c>
      <c r="G246" t="inlineStr">
        <is>
          <t>DOROTEA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45852</v>
      </c>
      <c r="E247" s="1" t="n">
        <v>46299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19657-2025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45770</v>
      </c>
      <c r="E248" s="1" t="n">
        <v>46299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46299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35456-2025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45855</v>
      </c>
      <c r="E250" s="1" t="n">
        <v>46299</v>
      </c>
      <c r="F250" t="inlineStr">
        <is>
          <t>VÄSTERBOTTENS LÄN</t>
        </is>
      </c>
      <c r="G250" t="inlineStr">
        <is>
          <t>DOROTEA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45855</v>
      </c>
      <c r="E251" s="1" t="n">
        <v>46299</v>
      </c>
      <c r="F251" t="inlineStr">
        <is>
          <t>VÄSTERBOTTENS LÄN</t>
        </is>
      </c>
      <c r="G251" t="inlineStr">
        <is>
          <t>DOROTEA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45855</v>
      </c>
      <c r="E252" s="1" t="n">
        <v>46299</v>
      </c>
      <c r="F252" t="inlineStr">
        <is>
          <t>VÄSTERBOTTENS LÄN</t>
        </is>
      </c>
      <c r="G252" t="inlineStr">
        <is>
          <t>DOROTEA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46299</v>
      </c>
      <c r="F253" t="inlineStr">
        <is>
          <t>VÄSTERBOTTENS LÄN</t>
        </is>
      </c>
      <c r="G253" t="inlineStr">
        <is>
          <t>DOROTEA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59653-2024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45639</v>
      </c>
      <c r="E254" s="1" t="n">
        <v>46299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46299</v>
      </c>
      <c r="F255" t="inlineStr">
        <is>
          <t>VÄSTERBOTTENS LÄN</t>
        </is>
      </c>
      <c r="G255" t="inlineStr">
        <is>
          <t>DOROTEA</t>
        </is>
      </c>
      <c r="H255" t="inlineStr">
        <is>
          <t>Kommuner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59394-2023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45253</v>
      </c>
      <c r="E256" s="1" t="n">
        <v>46299</v>
      </c>
      <c r="F256" t="inlineStr">
        <is>
          <t>VÄSTERBOTTENS LÄN</t>
        </is>
      </c>
      <c r="G256" t="inlineStr">
        <is>
          <t>DOROTEA</t>
        </is>
      </c>
      <c r="I256" t="n">
        <v>28.8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46299</v>
      </c>
      <c r="F257" t="inlineStr">
        <is>
          <t>VÄSTERBOTTENS LÄN</t>
        </is>
      </c>
      <c r="G257" t="inlineStr">
        <is>
          <t>DOROTEA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45988</v>
      </c>
      <c r="E258" s="1" t="n">
        <v>46299</v>
      </c>
      <c r="F258" t="inlineStr">
        <is>
          <t>VÄSTERBOTTENS LÄN</t>
        </is>
      </c>
      <c r="G258" t="inlineStr">
        <is>
          <t>DOROTEA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45642</v>
      </c>
      <c r="E259" s="1" t="n">
        <v>46299</v>
      </c>
      <c r="F259" t="inlineStr">
        <is>
          <t>VÄSTERBOTTENS LÄN</t>
        </is>
      </c>
      <c r="G259" t="inlineStr">
        <is>
          <t>DOROTEA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45855</v>
      </c>
      <c r="E260" s="1" t="n">
        <v>46299</v>
      </c>
      <c r="F260" t="inlineStr">
        <is>
          <t>VÄSTERBOTTENS LÄN</t>
        </is>
      </c>
      <c r="G260" t="inlineStr">
        <is>
          <t>DOROTEA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7429-2023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44971</v>
      </c>
      <c r="E261" s="1" t="n">
        <v>46299</v>
      </c>
      <c r="F261" t="inlineStr">
        <is>
          <t>VÄSTERBOTTENS LÄN</t>
        </is>
      </c>
      <c r="G261" t="inlineStr">
        <is>
          <t>DOROTEA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46299</v>
      </c>
      <c r="F262" t="inlineStr">
        <is>
          <t>VÄSTERBOTTENS LÄN</t>
        </is>
      </c>
      <c r="G262" t="inlineStr">
        <is>
          <t>DOROTEA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53092-2024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46299</v>
      </c>
      <c r="F263" t="inlineStr">
        <is>
          <t>VÄSTERBOTTENS LÄN</t>
        </is>
      </c>
      <c r="G263" t="inlineStr">
        <is>
          <t>DOROTEA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45720</v>
      </c>
      <c r="E264" s="1" t="n">
        <v>46299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20286-2026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46136</v>
      </c>
      <c r="E265" s="1" t="n">
        <v>46299</v>
      </c>
      <c r="F265" t="inlineStr">
        <is>
          <t>VÄSTERBOTTENS LÄN</t>
        </is>
      </c>
      <c r="G265" t="inlineStr">
        <is>
          <t>DOROTEA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45295</v>
      </c>
      <c r="E266" s="1" t="n">
        <v>46299</v>
      </c>
      <c r="F266" t="inlineStr">
        <is>
          <t>VÄSTERBOTTENS LÄN</t>
        </is>
      </c>
      <c r="G266" t="inlineStr">
        <is>
          <t>DOROTEA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46141</v>
      </c>
      <c r="E267" s="1" t="n">
        <v>46299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37282-2025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45876</v>
      </c>
      <c r="E268" s="1" t="n">
        <v>46299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45866</v>
      </c>
      <c r="E269" s="1" t="n">
        <v>46299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62657-2022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44925</v>
      </c>
      <c r="E270" s="1" t="n">
        <v>46299</v>
      </c>
      <c r="F270" t="inlineStr">
        <is>
          <t>VÄSTERBOTTENS LÄN</t>
        </is>
      </c>
      <c r="G270" t="inlineStr">
        <is>
          <t>DOROTEA</t>
        </is>
      </c>
      <c r="I270" t="n">
        <v>22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45866</v>
      </c>
      <c r="E271" s="1" t="n">
        <v>46299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20290-2026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46136</v>
      </c>
      <c r="E272" s="1" t="n">
        <v>46299</v>
      </c>
      <c r="F272" t="inlineStr">
        <is>
          <t>VÄSTERBOTTENS LÄN</t>
        </is>
      </c>
      <c r="G272" t="inlineStr">
        <is>
          <t>DOROTEA</t>
        </is>
      </c>
      <c r="I272" t="n">
        <v>17.8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20754-2026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46299</v>
      </c>
      <c r="F273" t="inlineStr">
        <is>
          <t>VÄSTERBOTTENS LÄN</t>
        </is>
      </c>
      <c r="G273" t="inlineStr">
        <is>
          <t>DOROTEA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46299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45069</v>
      </c>
      <c r="E275" s="1" t="n">
        <v>46299</v>
      </c>
      <c r="F275" t="inlineStr">
        <is>
          <t>VÄSTERBOTTENS LÄN</t>
        </is>
      </c>
      <c r="G275" t="inlineStr">
        <is>
          <t>DOROTEA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46299</v>
      </c>
      <c r="F276" t="inlineStr">
        <is>
          <t>VÄSTERBOTTENS LÄN</t>
        </is>
      </c>
      <c r="G276" t="inlineStr">
        <is>
          <t>DOROTEA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53357-2024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46299</v>
      </c>
      <c r="F277" t="inlineStr">
        <is>
          <t>VÄSTERBOTTENS LÄN</t>
        </is>
      </c>
      <c r="G277" t="inlineStr">
        <is>
          <t>DOROTEA</t>
        </is>
      </c>
      <c r="I277" t="n">
        <v>26.5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53272-2024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45614</v>
      </c>
      <c r="E278" s="1" t="n">
        <v>46299</v>
      </c>
      <c r="F278" t="inlineStr">
        <is>
          <t>VÄSTERBOTTENS LÄN</t>
        </is>
      </c>
      <c r="G278" t="inlineStr">
        <is>
          <t>DOROTEA</t>
        </is>
      </c>
      <c r="I278" t="n">
        <v>31.7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63575-2025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46299</v>
      </c>
      <c r="F279" t="inlineStr">
        <is>
          <t>VÄSTERBOTTENS LÄN</t>
        </is>
      </c>
      <c r="G279" t="inlineStr">
        <is>
          <t>DOROTEA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46299</v>
      </c>
      <c r="F280" t="inlineStr">
        <is>
          <t>VÄSTERBOTTENS LÄN</t>
        </is>
      </c>
      <c r="G280" t="inlineStr">
        <is>
          <t>DOROTEA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20231-2026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46299</v>
      </c>
      <c r="F281" t="inlineStr">
        <is>
          <t>VÄSTERBOTTENS LÄN</t>
        </is>
      </c>
      <c r="G281" t="inlineStr">
        <is>
          <t>DOROTEA</t>
        </is>
      </c>
      <c r="I281" t="n">
        <v>21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45678</v>
      </c>
      <c r="E282" s="1" t="n">
        <v>46299</v>
      </c>
      <c r="F282" t="inlineStr">
        <is>
          <t>VÄSTERBOTTENS LÄN</t>
        </is>
      </c>
      <c r="G282" t="inlineStr">
        <is>
          <t>DOROTEA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45866</v>
      </c>
      <c r="E283" s="1" t="n">
        <v>46299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52393-2023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45224</v>
      </c>
      <c r="E284" s="1" t="n">
        <v>46299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9030-2025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45713</v>
      </c>
      <c r="E285" s="1" t="n">
        <v>46299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52276-2023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45217</v>
      </c>
      <c r="E286" s="1" t="n">
        <v>46299</v>
      </c>
      <c r="F286" t="inlineStr">
        <is>
          <t>VÄSTERBOTTENS LÄN</t>
        </is>
      </c>
      <c r="G286" t="inlineStr">
        <is>
          <t>DOROTEA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8088-2023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46299</v>
      </c>
      <c r="F287" t="inlineStr">
        <is>
          <t>VÄSTERBOTTENS LÄN</t>
        </is>
      </c>
      <c r="G287" t="inlineStr">
        <is>
          <t>DOROTEA</t>
        </is>
      </c>
      <c r="I287" t="n">
        <v>14.8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46299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46147</v>
      </c>
      <c r="E289" s="1" t="n">
        <v>46299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21199-2026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46299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46147</v>
      </c>
      <c r="E291" s="1" t="n">
        <v>46299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4618-2023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44956</v>
      </c>
      <c r="E292" s="1" t="n">
        <v>46299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27777-2026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46189</v>
      </c>
      <c r="E293" s="1" t="n">
        <v>46299</v>
      </c>
      <c r="F293" t="inlineStr">
        <is>
          <t>VÄSTERBOTTENS LÄN</t>
        </is>
      </c>
      <c r="G293" t="inlineStr">
        <is>
          <t>DOROTEA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46189</v>
      </c>
      <c r="E294" s="1" t="n">
        <v>46299</v>
      </c>
      <c r="F294" t="inlineStr">
        <is>
          <t>VÄSTERBOTTENS LÄN</t>
        </is>
      </c>
      <c r="G294" t="inlineStr">
        <is>
          <t>DOROTEA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46299</v>
      </c>
      <c r="F295" t="inlineStr">
        <is>
          <t>VÄSTERBOTTENS LÄN</t>
        </is>
      </c>
      <c r="G295" t="inlineStr">
        <is>
          <t>DOROTEA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21749-2026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46149</v>
      </c>
      <c r="E296" s="1" t="n">
        <v>46299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46299</v>
      </c>
      <c r="F297" t="inlineStr">
        <is>
          <t>VÄSTERBOTTENS LÄN</t>
        </is>
      </c>
      <c r="G297" t="inlineStr">
        <is>
          <t>DOROTEA</t>
        </is>
      </c>
      <c r="I297" t="n">
        <v>10.3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36845-2025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45874</v>
      </c>
      <c r="E298" s="1" t="n">
        <v>46299</v>
      </c>
      <c r="F298" t="inlineStr">
        <is>
          <t>VÄSTERBOTTENS LÄN</t>
        </is>
      </c>
      <c r="G298" t="inlineStr">
        <is>
          <t>DOROTEA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46150</v>
      </c>
      <c r="E299" s="1" t="n">
        <v>46299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46299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21812-2026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46150</v>
      </c>
      <c r="E301" s="1" t="n">
        <v>46299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22214-2026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46299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16.4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22650-2026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46299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41771-2024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45561</v>
      </c>
      <c r="E304" s="1" t="n">
        <v>46299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55888-2022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44888</v>
      </c>
      <c r="E305" s="1" t="n">
        <v>46299</v>
      </c>
      <c r="F305" t="inlineStr">
        <is>
          <t>VÄSTERBOTTENS LÄN</t>
        </is>
      </c>
      <c r="G305" t="inlineStr">
        <is>
          <t>DOROTEA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60153-2024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45642</v>
      </c>
      <c r="E306" s="1" t="n">
        <v>46299</v>
      </c>
      <c r="F306" t="inlineStr">
        <is>
          <t>VÄSTERBOTTENS LÄN</t>
        </is>
      </c>
      <c r="G306" t="inlineStr">
        <is>
          <t>DOROTEA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60169-2024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45642</v>
      </c>
      <c r="E307" s="1" t="n">
        <v>46299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44960</v>
      </c>
      <c r="E308" s="1" t="n">
        <v>46299</v>
      </c>
      <c r="F308" t="inlineStr">
        <is>
          <t>VÄSTERBOTTENS LÄN</t>
        </is>
      </c>
      <c r="G308" t="inlineStr">
        <is>
          <t>DOROTEA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38096-2025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45882</v>
      </c>
      <c r="E309" s="1" t="n">
        <v>46299</v>
      </c>
      <c r="F309" t="inlineStr">
        <is>
          <t>VÄSTERBOTTENS LÄN</t>
        </is>
      </c>
      <c r="G309" t="inlineStr">
        <is>
          <t>DOROTEA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15735-2026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46299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45161</v>
      </c>
      <c r="E311" s="1" t="n">
        <v>46299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31497-2024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45505</v>
      </c>
      <c r="E312" s="1" t="n">
        <v>46299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45874</v>
      </c>
      <c r="E313" s="1" t="n">
        <v>46299</v>
      </c>
      <c r="F313" t="inlineStr">
        <is>
          <t>VÄSTERBOTTENS LÄN</t>
        </is>
      </c>
      <c r="G313" t="inlineStr">
        <is>
          <t>DOROTEA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23001-2026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46299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30461-2024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45491</v>
      </c>
      <c r="E315" s="1" t="n">
        <v>46299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45875</v>
      </c>
      <c r="E316" s="1" t="n">
        <v>46299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45962</v>
      </c>
      <c r="E317" s="1" t="n">
        <v>46299</v>
      </c>
      <c r="F317" t="inlineStr">
        <is>
          <t>VÄSTERBOTTENS LÄN</t>
        </is>
      </c>
      <c r="G317" t="inlineStr">
        <is>
          <t>DOROTEA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23214-2026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46162</v>
      </c>
      <c r="E318" s="1" t="n">
        <v>46299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45876</v>
      </c>
      <c r="E319" s="1" t="n">
        <v>46299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23408-2026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46299</v>
      </c>
      <c r="F320" t="inlineStr">
        <is>
          <t>VÄSTERBOTTENS LÄN</t>
        </is>
      </c>
      <c r="G320" t="inlineStr">
        <is>
          <t>DOROTEA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37476-2025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46299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44568</v>
      </c>
      <c r="E322" s="1" t="n">
        <v>46299</v>
      </c>
      <c r="F322" t="inlineStr">
        <is>
          <t>VÄSTERBOTTENS LÄN</t>
        </is>
      </c>
      <c r="G322" t="inlineStr">
        <is>
          <t>DOROTEA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23336-2026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46162</v>
      </c>
      <c r="E323" s="1" t="n">
        <v>46299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23324-2026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46162</v>
      </c>
      <c r="E324" s="1" t="n">
        <v>46299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50582-2024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45600</v>
      </c>
      <c r="E325" s="1" t="n">
        <v>46299</v>
      </c>
      <c r="F325" t="inlineStr">
        <is>
          <t>VÄSTERBOTTENS LÄN</t>
        </is>
      </c>
      <c r="G325" t="inlineStr">
        <is>
          <t>DOROTEA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46299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9103-2023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44979</v>
      </c>
      <c r="E327" s="1" t="n">
        <v>46299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45882</v>
      </c>
      <c r="E328" s="1" t="n">
        <v>46299</v>
      </c>
      <c r="F328" t="inlineStr">
        <is>
          <t>VÄSTERBOTTENS LÄN</t>
        </is>
      </c>
      <c r="G328" t="inlineStr">
        <is>
          <t>DOROTEA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24852-2026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46299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32821-2024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45516</v>
      </c>
      <c r="E330" s="1" t="n">
        <v>46299</v>
      </c>
      <c r="F330" t="inlineStr">
        <is>
          <t>VÄSTERBOTTENS LÄN</t>
        </is>
      </c>
      <c r="G330" t="inlineStr">
        <is>
          <t>DOROTEA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46299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44980</v>
      </c>
      <c r="E332" s="1" t="n">
        <v>46299</v>
      </c>
      <c r="F332" t="inlineStr">
        <is>
          <t>VÄSTERBOTTENS LÄN</t>
        </is>
      </c>
      <c r="G332" t="inlineStr">
        <is>
          <t>DOROTEA</t>
        </is>
      </c>
      <c r="I332" t="n">
        <v>18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46299</v>
      </c>
      <c r="F333" t="inlineStr">
        <is>
          <t>VÄSTERBOTTENS LÄN</t>
        </is>
      </c>
      <c r="G333" t="inlineStr">
        <is>
          <t>DOROTEA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38097-2025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46299</v>
      </c>
      <c r="F334" t="inlineStr">
        <is>
          <t>VÄSTERBOTTENS LÄN</t>
        </is>
      </c>
      <c r="G334" t="inlineStr">
        <is>
          <t>DOROTEA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38098-2025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46299</v>
      </c>
      <c r="F335" t="inlineStr">
        <is>
          <t>VÄSTERBOTTENS LÄN</t>
        </is>
      </c>
      <c r="G335" t="inlineStr">
        <is>
          <t>DOROTEA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38239-2025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45883</v>
      </c>
      <c r="E336" s="1" t="n">
        <v>46299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27909-2024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45475</v>
      </c>
      <c r="E337" s="1" t="n">
        <v>46299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38101-2025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45882</v>
      </c>
      <c r="E338" s="1" t="n">
        <v>46299</v>
      </c>
      <c r="F338" t="inlineStr">
        <is>
          <t>VÄSTERBOTTENS LÄN</t>
        </is>
      </c>
      <c r="G338" t="inlineStr">
        <is>
          <t>DOROTEA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45712</v>
      </c>
      <c r="E339" s="1" t="n">
        <v>46299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25682-2026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46178</v>
      </c>
      <c r="E340" s="1" t="n">
        <v>46299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45448</v>
      </c>
      <c r="E341" s="1" t="n">
        <v>46299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45071</v>
      </c>
      <c r="E342" s="1" t="n">
        <v>46299</v>
      </c>
      <c r="F342" t="inlineStr">
        <is>
          <t>VÄSTERBOTTENS LÄN</t>
        </is>
      </c>
      <c r="G342" t="inlineStr">
        <is>
          <t>DOROTEA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14255-2026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46099</v>
      </c>
      <c r="E343" s="1" t="n">
        <v>46299</v>
      </c>
      <c r="F343" t="inlineStr">
        <is>
          <t>VÄSTERBOTTENS LÄN</t>
        </is>
      </c>
      <c r="G343" t="inlineStr">
        <is>
          <t>DOROTEA</t>
        </is>
      </c>
      <c r="I343" t="n">
        <v>26.2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15057-2024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45399</v>
      </c>
      <c r="E344" s="1" t="n">
        <v>46299</v>
      </c>
      <c r="F344" t="inlineStr">
        <is>
          <t>VÄSTERBOTTENS LÄN</t>
        </is>
      </c>
      <c r="G344" t="inlineStr">
        <is>
          <t>DOROTEA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57236-2022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44889</v>
      </c>
      <c r="E345" s="1" t="n">
        <v>46299</v>
      </c>
      <c r="F345" t="inlineStr">
        <is>
          <t>VÄSTERBOTTENS LÄN</t>
        </is>
      </c>
      <c r="G345" t="inlineStr">
        <is>
          <t>DOROTEA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26124-2026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46181</v>
      </c>
      <c r="E346" s="1" t="n">
        <v>46299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26237-2026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46299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46299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67686-2021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44524</v>
      </c>
      <c r="E349" s="1" t="n">
        <v>46299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26926-2026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46299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7.4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27738-2026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46191</v>
      </c>
      <c r="E351" s="1" t="n">
        <v>46299</v>
      </c>
      <c r="F351" t="inlineStr">
        <is>
          <t>VÄSTERBOTTENS LÄN</t>
        </is>
      </c>
      <c r="G351" t="inlineStr">
        <is>
          <t>DOROTEA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39721-2024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45552</v>
      </c>
      <c r="E352" s="1" t="n">
        <v>46299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36137-2023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45149</v>
      </c>
      <c r="E353" s="1" t="n">
        <v>46299</v>
      </c>
      <c r="F353" t="inlineStr">
        <is>
          <t>VÄSTERBOTTENS LÄN</t>
        </is>
      </c>
      <c r="G353" t="inlineStr">
        <is>
          <t>DOROTEA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9102-2023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44979</v>
      </c>
      <c r="E354" s="1" t="n">
        <v>46299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46195</v>
      </c>
      <c r="E355" s="1" t="n">
        <v>46299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46299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46299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49.5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30456-2022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44761</v>
      </c>
      <c r="E358" s="1" t="n">
        <v>46299</v>
      </c>
      <c r="F358" t="inlineStr">
        <is>
          <t>VÄSTERBOTTENS LÄN</t>
        </is>
      </c>
      <c r="G358" t="inlineStr">
        <is>
          <t>DOROTEA</t>
        </is>
      </c>
      <c r="I358" t="n">
        <v>10.6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28782-2026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46299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45036</v>
      </c>
      <c r="E360" s="1" t="n">
        <v>46299</v>
      </c>
      <c r="F360" t="inlineStr">
        <is>
          <t>VÄSTERBOTTENS LÄN</t>
        </is>
      </c>
      <c r="G360" t="inlineStr">
        <is>
          <t>DOROTEA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28783-2026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46299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28741-2026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46299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6.1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29757-2026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46204</v>
      </c>
      <c r="E363" s="1" t="n">
        <v>46299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9.300000000000001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14163-2024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45392</v>
      </c>
      <c r="E364" s="1" t="n">
        <v>46299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23213-2022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44719</v>
      </c>
      <c r="E365" s="1" t="n">
        <v>46299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40435-2023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45169</v>
      </c>
      <c r="E366" s="1" t="n">
        <v>46299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46209</v>
      </c>
      <c r="E367" s="1" t="n">
        <v>46299</v>
      </c>
      <c r="F367" t="inlineStr">
        <is>
          <t>VÄSTERBOTTENS LÄN</t>
        </is>
      </c>
      <c r="G367" t="inlineStr">
        <is>
          <t>DOROTEA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30078-2026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46299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46299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40434-2023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45169</v>
      </c>
      <c r="E370" s="1" t="n">
        <v>46299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4958-2023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44956</v>
      </c>
      <c r="E371" s="1" t="n">
        <v>46299</v>
      </c>
      <c r="F371" t="inlineStr">
        <is>
          <t>VÄSTERBOTTENS LÄN</t>
        </is>
      </c>
      <c r="G371" t="inlineStr">
        <is>
          <t>DOROTEA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41353-2022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44824</v>
      </c>
      <c r="E372" s="1" t="n">
        <v>46299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7.1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46299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46212</v>
      </c>
      <c r="E374" s="1" t="n">
        <v>46299</v>
      </c>
      <c r="F374" t="inlineStr">
        <is>
          <t>VÄSTERBOTTENS LÄN</t>
        </is>
      </c>
      <c r="G374" t="inlineStr">
        <is>
          <t>DOROTEA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60304-2022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44910</v>
      </c>
      <c r="E375" s="1" t="n">
        <v>46299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27199-2024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45471</v>
      </c>
      <c r="E376" s="1" t="n">
        <v>46299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39471-2024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45551</v>
      </c>
      <c r="E377" s="1" t="n">
        <v>46299</v>
      </c>
      <c r="F377" t="inlineStr">
        <is>
          <t>VÄSTERBOTTENS LÄN</t>
        </is>
      </c>
      <c r="G377" t="inlineStr">
        <is>
          <t>DOROTEA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30885-2026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46212</v>
      </c>
      <c r="E378" s="1" t="n">
        <v>46299</v>
      </c>
      <c r="F378" t="inlineStr">
        <is>
          <t>VÄSTERBOTTENS LÄN</t>
        </is>
      </c>
      <c r="G378" t="inlineStr">
        <is>
          <t>DOROTEA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20759-2023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45055</v>
      </c>
      <c r="E379" s="1" t="n">
        <v>46299</v>
      </c>
      <c r="F379" t="inlineStr">
        <is>
          <t>VÄSTERBOTTENS LÄN</t>
        </is>
      </c>
      <c r="G379" t="inlineStr">
        <is>
          <t>DOROTEA</t>
        </is>
      </c>
      <c r="H379" t="inlineStr">
        <is>
          <t>Övriga statliga verk och myndigheter</t>
        </is>
      </c>
      <c r="I379" t="n">
        <v>13.9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46212</v>
      </c>
      <c r="E380" s="1" t="n">
        <v>46299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46211</v>
      </c>
      <c r="E381" s="1" t="n">
        <v>46299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45169</v>
      </c>
      <c r="E382" s="1" t="n">
        <v>46299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45315</v>
      </c>
      <c r="E383" s="1" t="n">
        <v>46299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46213</v>
      </c>
      <c r="E384" s="1" t="n">
        <v>46299</v>
      </c>
      <c r="F384" t="inlineStr">
        <is>
          <t>VÄSTERBOTTENS LÄN</t>
        </is>
      </c>
      <c r="G384" t="inlineStr">
        <is>
          <t>DOROTEA</t>
        </is>
      </c>
      <c r="I384" t="n">
        <v>7.8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31006-2026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46213</v>
      </c>
      <c r="E385" s="1" t="n">
        <v>46299</v>
      </c>
      <c r="F385" t="inlineStr">
        <is>
          <t>VÄSTERBOTTENS LÄN</t>
        </is>
      </c>
      <c r="G385" t="inlineStr">
        <is>
          <t>DOROTEA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19726-2025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45771</v>
      </c>
      <c r="E386" s="1" t="n">
        <v>46299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46218</v>
      </c>
      <c r="E387" s="1" t="n">
        <v>46299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46261</v>
      </c>
      <c r="E388" s="1" t="n">
        <v>46299</v>
      </c>
      <c r="F388" t="inlineStr">
        <is>
          <t>VÄSTERBOTTENS LÄN</t>
        </is>
      </c>
      <c r="G388" t="inlineStr">
        <is>
          <t>DOROTEA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46218</v>
      </c>
      <c r="E389" s="1" t="n">
        <v>46299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31181-2026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46299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35352-2026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46261</v>
      </c>
      <c r="E391" s="1" t="n">
        <v>46299</v>
      </c>
      <c r="F391" t="inlineStr">
        <is>
          <t>VÄSTERBOTTENS LÄN</t>
        </is>
      </c>
      <c r="G391" t="inlineStr">
        <is>
          <t>DOROTEA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31179-2026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46217</v>
      </c>
      <c r="E392" s="1" t="n">
        <v>46299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46218</v>
      </c>
      <c r="E393" s="1" t="n">
        <v>46299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35296-2026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46261</v>
      </c>
      <c r="E394" s="1" t="n">
        <v>46299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46261</v>
      </c>
      <c r="E395" s="1" t="n">
        <v>46299</v>
      </c>
      <c r="F395" t="inlineStr">
        <is>
          <t>VÄSTERBOTTENS LÄN</t>
        </is>
      </c>
      <c r="G395" t="inlineStr">
        <is>
          <t>DOROTEA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35353-2026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46261</v>
      </c>
      <c r="E396" s="1" t="n">
        <v>46299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31439-2026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46220</v>
      </c>
      <c r="E397" s="1" t="n">
        <v>46299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10.1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35500-2026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46262</v>
      </c>
      <c r="E398" s="1" t="n">
        <v>46299</v>
      </c>
      <c r="F398" t="inlineStr">
        <is>
          <t>VÄSTERBOTTENS LÄN</t>
        </is>
      </c>
      <c r="G398" t="inlineStr">
        <is>
          <t>DOROTEA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44958</v>
      </c>
      <c r="E399" s="1" t="n">
        <v>46299</v>
      </c>
      <c r="F399" t="inlineStr">
        <is>
          <t>VÄSTERBOTTENS LÄN</t>
        </is>
      </c>
      <c r="G399" t="inlineStr">
        <is>
          <t>DOROTEA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74013-2021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44557</v>
      </c>
      <c r="E400" s="1" t="n">
        <v>46299</v>
      </c>
      <c r="F400" t="inlineStr">
        <is>
          <t>VÄSTERBOTTENS LÄN</t>
        </is>
      </c>
      <c r="G400" t="inlineStr">
        <is>
          <t>DOROTEA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57794-2023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45246</v>
      </c>
      <c r="E401" s="1" t="n">
        <v>46299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42484-2024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45565</v>
      </c>
      <c r="E402" s="1" t="n">
        <v>46299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46224</v>
      </c>
      <c r="E403" s="1" t="n">
        <v>46299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55919-2023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45239</v>
      </c>
      <c r="E404" s="1" t="n">
        <v>46299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31573-2026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46224</v>
      </c>
      <c r="E405" s="1" t="n">
        <v>46299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31575-2026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46224</v>
      </c>
      <c r="E406" s="1" t="n">
        <v>46299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46268</v>
      </c>
      <c r="E407" s="1" t="n">
        <v>46299</v>
      </c>
      <c r="F407" t="inlineStr">
        <is>
          <t>VÄSTERBOTTENS LÄN</t>
        </is>
      </c>
      <c r="G407" t="inlineStr">
        <is>
          <t>DOROTEA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42228-2024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45562</v>
      </c>
      <c r="E408" s="1" t="n">
        <v>46299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52144-2023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45223</v>
      </c>
      <c r="E409" s="1" t="n">
        <v>46299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46279</v>
      </c>
      <c r="E410" s="1" t="n">
        <v>46299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47494-2023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45202</v>
      </c>
      <c r="E411" s="1" t="n">
        <v>46299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22942-2024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45448</v>
      </c>
      <c r="E412" s="1" t="n">
        <v>46299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38087-2026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46281</v>
      </c>
      <c r="E413" s="1" t="n">
        <v>46299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17783-2023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45036</v>
      </c>
      <c r="E414" s="1" t="n">
        <v>46299</v>
      </c>
      <c r="F414" t="inlineStr">
        <is>
          <t>VÄSTERBOTTENS LÄN</t>
        </is>
      </c>
      <c r="G414" t="inlineStr">
        <is>
          <t>DOROTEA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45565</v>
      </c>
      <c r="E415" s="1" t="n">
        <v>46299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46282</v>
      </c>
      <c r="E416" s="1" t="n">
        <v>46299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10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57070-2023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45244</v>
      </c>
      <c r="E417" s="1" t="n">
        <v>46299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59007-2024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45636</v>
      </c>
      <c r="E418" s="1" t="n">
        <v>46299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22944-2024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45448</v>
      </c>
      <c r="E419" s="1" t="n">
        <v>46299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13170-2025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45735</v>
      </c>
      <c r="E420" s="1" t="n">
        <v>46299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42889-2024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46299</v>
      </c>
      <c r="F421" t="inlineStr">
        <is>
          <t>VÄSTERBOTTENS LÄN</t>
        </is>
      </c>
      <c r="G421" t="inlineStr">
        <is>
          <t>DOROTEA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44942</v>
      </c>
      <c r="E422" s="1" t="n">
        <v>46299</v>
      </c>
      <c r="F422" t="inlineStr">
        <is>
          <t>VÄSTERBOTTENS LÄN</t>
        </is>
      </c>
      <c r="G422" t="inlineStr">
        <is>
          <t>DOROTEA</t>
        </is>
      </c>
      <c r="I422" t="n">
        <v>22.7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58313-2024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45632</v>
      </c>
      <c r="E423" s="1" t="n">
        <v>46299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39088-2026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46287</v>
      </c>
      <c r="E424" s="1" t="n">
        <v>46299</v>
      </c>
      <c r="F424" t="inlineStr">
        <is>
          <t>VÄSTERBOTTENS LÄN</t>
        </is>
      </c>
      <c r="G424" t="inlineStr">
        <is>
          <t>DOROTEA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45519</v>
      </c>
      <c r="E425" s="1" t="n">
        <v>46299</v>
      </c>
      <c r="F425" t="inlineStr">
        <is>
          <t>VÄSTERBOTTENS LÄN</t>
        </is>
      </c>
      <c r="G425" t="inlineStr">
        <is>
          <t>DOROTEA</t>
        </is>
      </c>
      <c r="I425" t="n">
        <v>8.9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46265</v>
      </c>
      <c r="E426" s="1" t="n">
        <v>46299</v>
      </c>
      <c r="F426" t="inlineStr">
        <is>
          <t>VÄSTERBOTTENS LÄN</t>
        </is>
      </c>
      <c r="G426" t="inlineStr">
        <is>
          <t>DOROTEA</t>
        </is>
      </c>
      <c r="H426" t="inlineStr">
        <is>
          <t>Allmännings- och besparingsskogar</t>
        </is>
      </c>
      <c r="I426" t="n">
        <v>16.4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46265</v>
      </c>
      <c r="E427" s="1" t="n">
        <v>46299</v>
      </c>
      <c r="F427" t="inlineStr">
        <is>
          <t>VÄSTERBOTTENS LÄN</t>
        </is>
      </c>
      <c r="G427" t="inlineStr">
        <is>
          <t>DOROTEA</t>
        </is>
      </c>
      <c r="H427" t="inlineStr">
        <is>
          <t>Allmännings- och besparingsskogar</t>
        </is>
      </c>
      <c r="I427" t="n">
        <v>12.6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33514-2026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46248</v>
      </c>
      <c r="E428" s="1" t="n">
        <v>46299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46293</v>
      </c>
      <c r="E429" s="1" t="n">
        <v>46299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46247</v>
      </c>
      <c r="E430" s="1" t="n">
        <v>46299</v>
      </c>
      <c r="F430" t="inlineStr">
        <is>
          <t>VÄSTERBOTTENS LÄN</t>
        </is>
      </c>
      <c r="G430" t="inlineStr">
        <is>
          <t>DOROTEA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14320-2024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45393</v>
      </c>
      <c r="E431" s="1" t="n">
        <v>46299</v>
      </c>
      <c r="F431" t="inlineStr">
        <is>
          <t>VÄSTERBOTTENS LÄN</t>
        </is>
      </c>
      <c r="G431" t="inlineStr">
        <is>
          <t>DOROTEA</t>
        </is>
      </c>
      <c r="I431" t="n">
        <v>10.2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59418-2023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45253</v>
      </c>
      <c r="E432" s="1" t="n">
        <v>46299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33738-2024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45520</v>
      </c>
      <c r="E433" s="1" t="n">
        <v>46299</v>
      </c>
      <c r="F433" t="inlineStr">
        <is>
          <t>VÄSTERBOTTENS LÄN</t>
        </is>
      </c>
      <c r="G433" t="inlineStr">
        <is>
          <t>DOROTEA</t>
        </is>
      </c>
      <c r="I433" t="n">
        <v>11.1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30570-2023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45111</v>
      </c>
      <c r="E434" s="1" t="n">
        <v>46299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42515-2023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45180</v>
      </c>
      <c r="E435" s="1" t="n">
        <v>46299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27.7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40614-2026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46295</v>
      </c>
      <c r="E436" s="1" t="n">
        <v>46299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52148-2023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45223</v>
      </c>
      <c r="E437" s="1" t="n">
        <v>46299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4617-2023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44956</v>
      </c>
      <c r="E438" s="1" t="n">
        <v>46299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56807-2021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44481</v>
      </c>
      <c r="E439" s="1" t="n">
        <v>46299</v>
      </c>
      <c r="F439" t="inlineStr">
        <is>
          <t>VÄSTERBOTTENS LÄN</t>
        </is>
      </c>
      <c r="G439" t="inlineStr">
        <is>
          <t>DOROTEA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46299</v>
      </c>
      <c r="F440" t="inlineStr">
        <is>
          <t>VÄSTERBOTTENS LÄN</t>
        </is>
      </c>
      <c r="G440" t="inlineStr">
        <is>
          <t>DOROTEA</t>
        </is>
      </c>
      <c r="I440" t="n">
        <v>11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46299</v>
      </c>
      <c r="F441" t="inlineStr">
        <is>
          <t>VÄSTERBOTTENS LÄN</t>
        </is>
      </c>
      <c r="G441" t="inlineStr">
        <is>
          <t>DOROTEA</t>
        </is>
      </c>
      <c r="I441" t="n">
        <v>13.6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34448-2026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46254</v>
      </c>
      <c r="E442" s="1" t="n">
        <v>46299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46299</v>
      </c>
      <c r="F443" t="inlineStr">
        <is>
          <t>VÄSTERBOTTENS LÄN</t>
        </is>
      </c>
      <c r="G443" t="inlineStr">
        <is>
          <t>DOROTEA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46299</v>
      </c>
      <c r="F444" t="inlineStr">
        <is>
          <t>VÄSTERBOTTENS LÄN</t>
        </is>
      </c>
      <c r="G444" t="inlineStr">
        <is>
          <t>DOROTEA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59395-2023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45253</v>
      </c>
      <c r="E445" s="1" t="n">
        <v>46299</v>
      </c>
      <c r="F445" t="inlineStr">
        <is>
          <t>VÄSTERBOTTENS LÄN</t>
        </is>
      </c>
      <c r="G445" t="inlineStr">
        <is>
          <t>DOROTEA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59397-2023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45253</v>
      </c>
      <c r="E446" s="1" t="n">
        <v>46299</v>
      </c>
      <c r="F446" t="inlineStr">
        <is>
          <t>VÄSTERBOTTENS LÄN</t>
        </is>
      </c>
      <c r="G446" t="inlineStr">
        <is>
          <t>DOROTEA</t>
        </is>
      </c>
      <c r="I446" t="n">
        <v>8.5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35990-2023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45148</v>
      </c>
      <c r="E447" s="1" t="n">
        <v>46299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46818-2023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45198</v>
      </c>
      <c r="E448" s="1" t="n">
        <v>46299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57955-2021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44484</v>
      </c>
      <c r="E449" s="1" t="n">
        <v>46299</v>
      </c>
      <c r="F449" t="inlineStr">
        <is>
          <t>VÄSTERBOTTENS LÄN</t>
        </is>
      </c>
      <c r="G449" t="inlineStr">
        <is>
          <t>DOROTEA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57071-2023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45244</v>
      </c>
      <c r="E450" s="1" t="n">
        <v>46299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60145-2021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44494</v>
      </c>
      <c r="E451" s="1" t="n">
        <v>46299</v>
      </c>
      <c r="F451" t="inlineStr">
        <is>
          <t>VÄSTERBOTTENS LÄN</t>
        </is>
      </c>
      <c r="G451" t="inlineStr">
        <is>
          <t>DOROTEA</t>
        </is>
      </c>
      <c r="I451" t="n">
        <v>13.3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46299</v>
      </c>
      <c r="F452" t="inlineStr">
        <is>
          <t>VÄSTERBOTTENS LÄN</t>
        </is>
      </c>
      <c r="G452" t="inlineStr">
        <is>
          <t>DOROTEA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46817-2022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44848</v>
      </c>
      <c r="E453" s="1" t="n">
        <v>46299</v>
      </c>
      <c r="F453" t="inlineStr">
        <is>
          <t>VÄSTERBOTTENS LÄN</t>
        </is>
      </c>
      <c r="G453" t="inlineStr">
        <is>
          <t>DOROTEA</t>
        </is>
      </c>
      <c r="I453" t="n">
        <v>29.8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45385</v>
      </c>
      <c r="E454" s="1" t="n">
        <v>46299</v>
      </c>
      <c r="F454" t="inlineStr">
        <is>
          <t>VÄSTERBOTTENS LÄN</t>
        </is>
      </c>
      <c r="G454" t="inlineStr">
        <is>
          <t>DOROTEA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46966-2024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45586</v>
      </c>
      <c r="E455" s="1" t="n">
        <v>46299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45075</v>
      </c>
      <c r="E456" s="1" t="n">
        <v>46299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28717-2022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44748</v>
      </c>
      <c r="E457" s="1" t="n">
        <v>46299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30059-2024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45488</v>
      </c>
      <c r="E458" s="1" t="n">
        <v>46299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43092-2023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46299</v>
      </c>
      <c r="F459" t="inlineStr">
        <is>
          <t>VÄSTERBOTTENS LÄN</t>
        </is>
      </c>
      <c r="G459" t="inlineStr">
        <is>
          <t>DOROTEA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13023-2025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45734</v>
      </c>
      <c r="E460" s="1" t="n">
        <v>46299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43944-2024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45572</v>
      </c>
      <c r="E461" s="1" t="n">
        <v>46299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28856-2024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45478</v>
      </c>
      <c r="E462" s="1" t="n">
        <v>46299</v>
      </c>
      <c r="F462" t="inlineStr">
        <is>
          <t>VÄSTERBOTTENS LÄN</t>
        </is>
      </c>
      <c r="G462" t="inlineStr">
        <is>
          <t>DOROTEA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53382-2024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45614</v>
      </c>
      <c r="E463" s="1" t="n">
        <v>46299</v>
      </c>
      <c r="F463" t="inlineStr">
        <is>
          <t>VÄSTERBOTTENS LÄN</t>
        </is>
      </c>
      <c r="G463" t="inlineStr">
        <is>
          <t>DOROTEA</t>
        </is>
      </c>
      <c r="I463" t="n">
        <v>11.2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42104-2024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45562</v>
      </c>
      <c r="E464" s="1" t="n">
        <v>46299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46299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46299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46299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46299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46299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46299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2407-2026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46279</v>
      </c>
      <c r="E471" s="1" t="n">
        <v>46299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1763-2026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46189</v>
      </c>
      <c r="E472" s="1" t="n">
        <v>46299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2026-10-04T01:58:42Z</dcterms:created>
  <dcterms:modified xmlns:dcterms="http://purl.org/dc/terms/" xmlns:xsi="http://www.w3.org/2001/XMLSchema-instance" xsi:type="dcterms:W3CDTF">2026-10-04T01:58:42Z</dcterms:modified>
</cp:coreProperties>
</file>