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46251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46251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46251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46251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57581-2024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45630</v>
      </c>
      <c r="E6" s="1" t="n">
        <v>46251</v>
      </c>
      <c r="F6" t="inlineStr">
        <is>
          <t>VÄSTERBOTTENS LÄN</t>
        </is>
      </c>
      <c r="G6" t="inlineStr">
        <is>
          <t>DOROTEA</t>
        </is>
      </c>
      <c r="I6" t="n">
        <v>9.1</v>
      </c>
      <c r="J6" t="n">
        <v>4</v>
      </c>
      <c r="K6" t="n">
        <v>4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40</v>
      </c>
      <c r="U6" t="n">
        <v>40</v>
      </c>
      <c r="V6" s="2" t="inlineStr">
        <is>
          <t>Garnlav
Lunglav
Skrovellav
Talltagel
Talltita
Tretåig hackspett
Bårdlav
Luddlav
Norrlandslav
Skinnlav
Spillkråka
Fiskgjuse</t>
        </is>
      </c>
      <c r="W6">
        <f>HYPERLINK("https://klasma.github.io/Logging_2425/artfynd/A 57581-2024 artfynd.xlsx", "A 57581-2024")</f>
        <v/>
      </c>
      <c r="X6">
        <f>HYPERLINK("https://klasma.github.io/Logging_2425/kartor/A 57581-2024 karta.png", "A 57581-2024")</f>
        <v/>
      </c>
      <c r="Y6">
        <f>HYPERLINK("https://klasma.github.io/Logging_2425/kartor_geotiff/A 57581-2024 georefererad karta.tif", "A 57581-2024")</f>
        <v/>
      </c>
      <c r="AA6">
        <f>HYPERLINK("https://klasma.github.io/Logging_2425/klagomål/A 57581-2024 FSC-klagomål.docx", "A 57581-2024")</f>
        <v/>
      </c>
      <c r="AB6">
        <f>HYPERLINK("https://klasma.github.io/Logging_2425/klagomålsmail/A 57581-2024 FSC-klagomål mail.docx", "A 57581-2024")</f>
        <v/>
      </c>
      <c r="AC6">
        <f>HYPERLINK("https://klasma.github.io/Logging_2425/tillsyn/A 57581-2024 tillsynsbegäran.docx", "A 57581-2024")</f>
        <v/>
      </c>
      <c r="AD6">
        <f>HYPERLINK("https://klasma.github.io/Logging_2425/tillsynsmail/A 57581-2024 tillsynsbegäran mail.docx", "A 57581-2024")</f>
        <v/>
      </c>
      <c r="AE6">
        <f>HYPERLINK("https://klasma.github.io/Logging_2425/fåglar/A 57581-2024 prioriterade fågelarter.docx", "A 57581-2024")</f>
        <v/>
      </c>
    </row>
    <row r="7" ht="15" customHeight="1">
      <c r="A7" t="inlineStr">
        <is>
          <t>A 25257-2025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46251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10.6</v>
      </c>
      <c r="J7" t="n">
        <v>6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54</v>
      </c>
      <c r="U7" t="n">
        <v>54</v>
      </c>
      <c r="V7" s="2" t="inlineStr">
        <is>
          <t>Garnlav
Harticka
Lavskrika
Lunglav
Talltita
Tretåig hackspett
Luddlav
Plattlummer
Spindelblomster
Stuplav
Trådticka
Spillkråka</t>
        </is>
      </c>
      <c r="W7">
        <f>HYPERLINK("https://klasma.github.io/Logging_2425/artfynd/A 25257-2025 artfynd.xlsx", "A 25257-2025")</f>
        <v/>
      </c>
      <c r="X7">
        <f>HYPERLINK("https://klasma.github.io/Logging_2425/kartor/A 25257-2025 karta.png", "A 25257-2025")</f>
        <v/>
      </c>
      <c r="Y7">
        <f>HYPERLINK("https://klasma.github.io/Logging_2425/kartor_geotiff/A 25257-2025 georefererad karta.tif", "A 25257-2025")</f>
        <v/>
      </c>
      <c r="AA7">
        <f>HYPERLINK("https://klasma.github.io/Logging_2425/klagomål/A 25257-2025 FSC-klagomål.docx", "A 25257-2025")</f>
        <v/>
      </c>
      <c r="AB7">
        <f>HYPERLINK("https://klasma.github.io/Logging_2425/klagomålsmail/A 25257-2025 FSC-klagomål mail.docx", "A 25257-2025")</f>
        <v/>
      </c>
      <c r="AC7">
        <f>HYPERLINK("https://klasma.github.io/Logging_2425/tillsyn/A 25257-2025 tillsynsbegäran.docx", "A 25257-2025")</f>
        <v/>
      </c>
      <c r="AD7">
        <f>HYPERLINK("https://klasma.github.io/Logging_2425/tillsynsmail/A 25257-2025 tillsynsbegäran mail.docx", "A 25257-2025")</f>
        <v/>
      </c>
      <c r="AE7">
        <f>HYPERLINK("https://klasma.github.io/Logging_2425/fåglar/A 25257-2025 prioriterade fågelarter.docx", "A 25257-2025")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46251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46251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46251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46251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46251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46251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46251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33655-2023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46251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21.4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12</v>
      </c>
      <c r="U15" t="n">
        <v>12</v>
      </c>
      <c r="V15" s="2" t="inlineStr">
        <is>
          <t>Garnlav
Fjällig taggsvamp s.str.
Harticka
Rosenticka
Ullticka
Trådticka</t>
        </is>
      </c>
      <c r="W15">
        <f>HYPERLINK("https://klasma.github.io/Logging_2425/artfynd/A 33655-2023 artfynd.xlsx", "A 33655-2023")</f>
        <v/>
      </c>
      <c r="X15">
        <f>HYPERLINK("https://klasma.github.io/Logging_2425/kartor/A 33655-2023 karta.png", "A 33655-2023")</f>
        <v/>
      </c>
      <c r="Y15">
        <f>HYPERLINK("https://klasma.github.io/Logging_2425/kartor_geotiff/A 33655-2023 georefererad karta.tif", "A 33655-2023")</f>
        <v/>
      </c>
      <c r="AA15">
        <f>HYPERLINK("https://klasma.github.io/Logging_2425/klagomål/A 33655-2023 FSC-klagomål.docx", "A 33655-2023")</f>
        <v/>
      </c>
      <c r="AB15">
        <f>HYPERLINK("https://klasma.github.io/Logging_2425/klagomålsmail/A 33655-2023 FSC-klagomål mail.docx", "A 33655-2023")</f>
        <v/>
      </c>
      <c r="AC15">
        <f>HYPERLINK("https://klasma.github.io/Logging_2425/tillsyn/A 33655-2023 tillsynsbegäran.docx", "A 33655-2023")</f>
        <v/>
      </c>
      <c r="AD15">
        <f>HYPERLINK("https://klasma.github.io/Logging_2425/tillsynsmail/A 33655-2023 tillsynsbegäran mail.docx", "A 33655-2023")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46251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46251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46251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46251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A 28671-2026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46198</v>
      </c>
      <c r="E20" s="1" t="n">
        <v>46251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27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Ostticka
Rosenticka
Skinnlav
Stuplav</t>
        </is>
      </c>
      <c r="W20">
        <f>HYPERLINK("https://klasma.github.io/Logging_2425/artfynd/A 28671-2026 artfynd.xlsx", "A 28671-2026")</f>
        <v/>
      </c>
      <c r="X20">
        <f>HYPERLINK("https://klasma.github.io/Logging_2425/kartor/A 28671-2026 karta.png", "A 28671-2026")</f>
        <v/>
      </c>
      <c r="Y20">
        <f>HYPERLINK("https://klasma.github.io/Logging_2425/kartor_geotiff/A 28671-2026 georefererad karta.tif", "A 28671-2026")</f>
        <v/>
      </c>
      <c r="AA20">
        <f>HYPERLINK("https://klasma.github.io/Logging_2425/klagomål/A 28671-2026 FSC-klagomål.docx", "A 28671-2026")</f>
        <v/>
      </c>
      <c r="AB20">
        <f>HYPERLINK("https://klasma.github.io/Logging_2425/klagomålsmail/A 28671-2026 FSC-klagomål mail.docx", "A 28671-2026")</f>
        <v/>
      </c>
      <c r="AC20">
        <f>HYPERLINK("https://klasma.github.io/Logging_2425/tillsyn/A 28671-2026 tillsynsbegäran.docx", "A 28671-2026")</f>
        <v/>
      </c>
      <c r="AD20">
        <f>HYPERLINK("https://klasma.github.io/Logging_2425/tillsynsmail/A 28671-2026 tillsynsbegäran mail.docx", "A 28671-2026")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46251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46251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46251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46251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A 28909-2025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45820</v>
      </c>
      <c r="E25" s="1" t="n">
        <v>46251</v>
      </c>
      <c r="F25" t="inlineStr">
        <is>
          <t>VÄSTERBOTTENS LÄN</t>
        </is>
      </c>
      <c r="G25" t="inlineStr">
        <is>
          <t>DOROTEA</t>
        </is>
      </c>
      <c r="H25" t="inlineStr">
        <is>
          <t>Kyrkan</t>
        </is>
      </c>
      <c r="I25" t="n">
        <v>5.5</v>
      </c>
      <c r="J25" t="n">
        <v>1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8</v>
      </c>
      <c r="U25" t="n">
        <v>8</v>
      </c>
      <c r="V25" s="2" t="inlineStr">
        <is>
          <t>Kolflarnlav
Mörk kolflarnlav
Tretåig hackspett</t>
        </is>
      </c>
      <c r="W25">
        <f>HYPERLINK("https://klasma.github.io/Logging_2425/artfynd/A 28909-2025 artfynd.xlsx", "A 28909-2025")</f>
        <v/>
      </c>
      <c r="X25">
        <f>HYPERLINK("https://klasma.github.io/Logging_2425/kartor/A 28909-2025 karta.png", "A 28909-2025")</f>
        <v/>
      </c>
      <c r="Y25">
        <f>HYPERLINK("https://klasma.github.io/Logging_2425/kartor_geotiff/A 28909-2025 georefererad karta.tif", "A 28909-2025")</f>
        <v/>
      </c>
      <c r="AA25">
        <f>HYPERLINK("https://klasma.github.io/Logging_2425/klagomål/A 28909-2025 FSC-klagomål.docx", "A 28909-2025")</f>
        <v/>
      </c>
      <c r="AB25">
        <f>HYPERLINK("https://klasma.github.io/Logging_2425/klagomålsmail/A 28909-2025 FSC-klagomål mail.docx", "A 28909-2025")</f>
        <v/>
      </c>
      <c r="AC25">
        <f>HYPERLINK("https://klasma.github.io/Logging_2425/tillsyn/A 28909-2025 tillsynsbegäran.docx", "A 28909-2025")</f>
        <v/>
      </c>
      <c r="AD25">
        <f>HYPERLINK("https://klasma.github.io/Logging_2425/tillsynsmail/A 28909-2025 tillsynsbegäran mail.docx", "A 28909-2025")</f>
        <v/>
      </c>
      <c r="AE25">
        <f>HYPERLINK("https://klasma.github.io/Logging_2425/fåglar/A 28909-2025 prioriterade fågelarter.docx", "A 28909-2025")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46251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46251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19589-2024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45429</v>
      </c>
      <c r="E28" s="1" t="n">
        <v>46251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Lunglav
Talltita</t>
        </is>
      </c>
      <c r="W28">
        <f>HYPERLINK("https://klasma.github.io/Logging_2425/artfynd/A 19589-2024 artfynd.xlsx", "A 19589-2024")</f>
        <v/>
      </c>
      <c r="X28">
        <f>HYPERLINK("https://klasma.github.io/Logging_2425/kartor/A 19589-2024 karta.png", "A 19589-2024")</f>
        <v/>
      </c>
      <c r="Y28">
        <f>HYPERLINK("https://klasma.github.io/Logging_2425/kartor_geotiff/A 19589-2024 georefererad karta.tif", "A 19589-2024")</f>
        <v/>
      </c>
      <c r="AA28">
        <f>HYPERLINK("https://klasma.github.io/Logging_2425/klagomål/A 19589-2024 FSC-klagomål.docx", "A 19589-2024")</f>
        <v/>
      </c>
      <c r="AB28">
        <f>HYPERLINK("https://klasma.github.io/Logging_2425/klagomålsmail/A 19589-2024 FSC-klagomål mail.docx", "A 19589-2024")</f>
        <v/>
      </c>
      <c r="AC28">
        <f>HYPERLINK("https://klasma.github.io/Logging_2425/tillsyn/A 19589-2024 tillsynsbegäran.docx", "A 19589-2024")</f>
        <v/>
      </c>
      <c r="AD28">
        <f>HYPERLINK("https://klasma.github.io/Logging_2425/tillsynsmail/A 19589-2024 tillsynsbegäran mail.docx", "A 19589-2024")</f>
        <v/>
      </c>
      <c r="AE28">
        <f>HYPERLINK("https://klasma.github.io/Logging_2425/fåglar/A 19589-2024 prioriterade fågelarter.docx", "A 19589-2024")</f>
        <v/>
      </c>
    </row>
    <row r="29" ht="15" customHeight="1">
      <c r="A29" t="inlineStr">
        <is>
          <t>A 40013-2024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45553</v>
      </c>
      <c r="E29" s="1" t="n">
        <v>46251</v>
      </c>
      <c r="F29" t="inlineStr">
        <is>
          <t>VÄSTERBOTTENS LÄN</t>
        </is>
      </c>
      <c r="G29" t="inlineStr">
        <is>
          <t>DOROTEA</t>
        </is>
      </c>
      <c r="H29" t="inlineStr">
        <is>
          <t>Övriga statliga verk och myndigheter</t>
        </is>
      </c>
      <c r="I29" t="n">
        <v>1.5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Tretåig hackspett
Tjäder</t>
        </is>
      </c>
      <c r="W29">
        <f>HYPERLINK("https://klasma.github.io/Logging_2425/artfynd/A 40013-2024 artfynd.xlsx", "A 40013-2024")</f>
        <v/>
      </c>
      <c r="X29">
        <f>HYPERLINK("https://klasma.github.io/Logging_2425/kartor/A 40013-2024 karta.png", "A 40013-2024")</f>
        <v/>
      </c>
      <c r="Y29">
        <f>HYPERLINK("https://klasma.github.io/Logging_2425/kartor_geotiff/A 40013-2024 georefererad karta.tif", "A 40013-2024")</f>
        <v/>
      </c>
      <c r="AA29">
        <f>HYPERLINK("https://klasma.github.io/Logging_2425/klagomål/A 40013-2024 FSC-klagomål.docx", "A 40013-2024")</f>
        <v/>
      </c>
      <c r="AB29">
        <f>HYPERLINK("https://klasma.github.io/Logging_2425/klagomålsmail/A 40013-2024 FSC-klagomål mail.docx", "A 40013-2024")</f>
        <v/>
      </c>
      <c r="AC29">
        <f>HYPERLINK("https://klasma.github.io/Logging_2425/tillsyn/A 40013-2024 tillsynsbegäran.docx", "A 40013-2024")</f>
        <v/>
      </c>
      <c r="AD29">
        <f>HYPERLINK("https://klasma.github.io/Logging_2425/tillsynsmail/A 40013-2024 tillsynsbegäran mail.docx", "A 40013-2024")</f>
        <v/>
      </c>
      <c r="AE29">
        <f>HYPERLINK("https://klasma.github.io/Logging_2425/fåglar/A 40013-2024 prioriterade fågelarter.docx", "A 40013-2024")</f>
        <v/>
      </c>
    </row>
    <row r="30" ht="15" customHeight="1">
      <c r="A30" t="inlineStr">
        <is>
          <t>A 27234-2024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46251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2.2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Rynkskinn
Skrovellav</t>
        </is>
      </c>
      <c r="W30">
        <f>HYPERLINK("https://klasma.github.io/Logging_2425/artfynd/A 27234-2024 artfynd.xlsx", "A 27234-2024")</f>
        <v/>
      </c>
      <c r="X30">
        <f>HYPERLINK("https://klasma.github.io/Logging_2425/kartor/A 27234-2024 karta.png", "A 27234-2024")</f>
        <v/>
      </c>
      <c r="Y30">
        <f>HYPERLINK("https://klasma.github.io/Logging_2425/kartor_geotiff/A 27234-2024 georefererad karta.tif", "A 27234-2024")</f>
        <v/>
      </c>
      <c r="AA30">
        <f>HYPERLINK("https://klasma.github.io/Logging_2425/klagomål/A 27234-2024 FSC-klagomål.docx", "A 27234-2024")</f>
        <v/>
      </c>
      <c r="AB30">
        <f>HYPERLINK("https://klasma.github.io/Logging_2425/klagomålsmail/A 27234-2024 FSC-klagomål mail.docx", "A 27234-2024")</f>
        <v/>
      </c>
      <c r="AC30">
        <f>HYPERLINK("https://klasma.github.io/Logging_2425/tillsyn/A 27234-2024 tillsynsbegäran.docx", "A 27234-2024")</f>
        <v/>
      </c>
      <c r="AD30">
        <f>HYPERLINK("https://klasma.github.io/Logging_2425/tillsynsmail/A 27234-2024 tillsynsbegäran mail.docx", "A 27234-2024")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46251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58736-2022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44902</v>
      </c>
      <c r="E32" s="1" t="n">
        <v>46251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3.4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Skrovellav</t>
        </is>
      </c>
      <c r="W32">
        <f>HYPERLINK("https://klasma.github.io/Logging_2425/artfynd/A 58736-2022 artfynd.xlsx", "A 58736-2022")</f>
        <v/>
      </c>
      <c r="X32">
        <f>HYPERLINK("https://klasma.github.io/Logging_2425/kartor/A 58736-2022 karta.png", "A 58736-2022")</f>
        <v/>
      </c>
      <c r="Y32">
        <f>HYPERLINK("https://klasma.github.io/Logging_2425/kartor_geotiff/A 58736-2022 georefererad karta.tif", "A 58736-2022")</f>
        <v/>
      </c>
      <c r="AA32">
        <f>HYPERLINK("https://klasma.github.io/Logging_2425/klagomål/A 58736-2022 FSC-klagomål.docx", "A 58736-2022")</f>
        <v/>
      </c>
      <c r="AB32">
        <f>HYPERLINK("https://klasma.github.io/Logging_2425/klagomålsmail/A 58736-2022 FSC-klagomål mail.docx", "A 58736-2022")</f>
        <v/>
      </c>
      <c r="AC32">
        <f>HYPERLINK("https://klasma.github.io/Logging_2425/tillsyn/A 58736-2022 tillsynsbegäran.docx", "A 58736-2022")</f>
        <v/>
      </c>
      <c r="AD32">
        <f>HYPERLINK("https://klasma.github.io/Logging_2425/tillsynsmail/A 58736-2022 tillsynsbegäran mail.docx", "A 58736-2022")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46251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46251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46251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A 1278-2024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45302</v>
      </c>
      <c r="E36" s="1" t="n">
        <v>46251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1.3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Gräddticka</t>
        </is>
      </c>
      <c r="W36">
        <f>HYPERLINK("https://klasma.github.io/Logging_2425/artfynd/A 1278-2024 artfynd.xlsx", "A 1278-2024")</f>
        <v/>
      </c>
      <c r="X36">
        <f>HYPERLINK("https://klasma.github.io/Logging_2425/kartor/A 1278-2024 karta.png", "A 1278-2024")</f>
        <v/>
      </c>
      <c r="Y36">
        <f>HYPERLINK("https://klasma.github.io/Logging_2425/kartor_geotiff/A 1278-2024 georefererad karta.tif", "A 1278-2024")</f>
        <v/>
      </c>
      <c r="AA36">
        <f>HYPERLINK("https://klasma.github.io/Logging_2425/klagomål/A 1278-2024 FSC-klagomål.docx", "A 1278-2024")</f>
        <v/>
      </c>
      <c r="AB36">
        <f>HYPERLINK("https://klasma.github.io/Logging_2425/klagomålsmail/A 1278-2024 FSC-klagomål mail.docx", "A 1278-2024")</f>
        <v/>
      </c>
      <c r="AC36">
        <f>HYPERLINK("https://klasma.github.io/Logging_2425/tillsyn/A 1278-2024 tillsynsbegäran.docx", "A 1278-2024")</f>
        <v/>
      </c>
      <c r="AD36">
        <f>HYPERLINK("https://klasma.github.io/Logging_2425/tillsynsmail/A 1278-2024 tillsynsbegäran mail.docx", "A 1278-2024")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46251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46251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46251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46251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20600-2023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45057</v>
      </c>
      <c r="E41" s="1" t="n">
        <v>46251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HYPERLINK("https://klasma.github.io/Logging_2425/artfynd/A 20600-2023 artfynd.xlsx", "A 20600-2023")</f>
        <v/>
      </c>
      <c r="X41">
        <f>HYPERLINK("https://klasma.github.io/Logging_2425/kartor/A 20600-2023 karta.png", "A 20600-2023")</f>
        <v/>
      </c>
      <c r="Y41">
        <f>HYPERLINK("https://klasma.github.io/Logging_2425/kartor_geotiff/A 20600-2023 georefererad karta.tif", "A 20600-2023")</f>
        <v/>
      </c>
      <c r="AA41">
        <f>HYPERLINK("https://klasma.github.io/Logging_2425/klagomål/A 20600-2023 FSC-klagomål.docx", "A 20600-2023")</f>
        <v/>
      </c>
      <c r="AB41">
        <f>HYPERLINK("https://klasma.github.io/Logging_2425/klagomålsmail/A 20600-2023 FSC-klagomål mail.docx", "A 20600-2023")</f>
        <v/>
      </c>
      <c r="AC41">
        <f>HYPERLINK("https://klasma.github.io/Logging_2425/tillsyn/A 20600-2023 tillsynsbegäran.docx", "A 20600-2023")</f>
        <v/>
      </c>
      <c r="AD41">
        <f>HYPERLINK("https://klasma.github.io/Logging_2425/tillsynsmail/A 20600-2023 tillsynsbegäran mail.docx", "A 20600-2023")</f>
        <v/>
      </c>
    </row>
    <row r="42" ht="15" customHeight="1">
      <c r="A42" t="inlineStr">
        <is>
          <t>A 57060-2024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45629</v>
      </c>
      <c r="E42" s="1" t="n">
        <v>46251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8.9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HYPERLINK("https://klasma.github.io/Logging_2425/artfynd/A 57060-2024 artfynd.xlsx", "A 57060-2024")</f>
        <v/>
      </c>
      <c r="X42">
        <f>HYPERLINK("https://klasma.github.io/Logging_2425/kartor/A 57060-2024 karta.png", "A 57060-2024")</f>
        <v/>
      </c>
      <c r="Y42">
        <f>HYPERLINK("https://klasma.github.io/Logging_2425/kartor_geotiff/A 57060-2024 georefererad karta.tif", "A 57060-2024")</f>
        <v/>
      </c>
      <c r="AA42">
        <f>HYPERLINK("https://klasma.github.io/Logging_2425/klagomål/A 57060-2024 FSC-klagomål.docx", "A 57060-2024")</f>
        <v/>
      </c>
      <c r="AB42">
        <f>HYPERLINK("https://klasma.github.io/Logging_2425/klagomålsmail/A 57060-2024 FSC-klagomål mail.docx", "A 57060-2024")</f>
        <v/>
      </c>
      <c r="AC42">
        <f>HYPERLINK("https://klasma.github.io/Logging_2425/tillsyn/A 57060-2024 tillsynsbegäran.docx", "A 57060-2024")</f>
        <v/>
      </c>
      <c r="AD42">
        <f>HYPERLINK("https://klasma.github.io/Logging_2425/tillsynsmail/A 57060-2024 tillsynsbegäran mail.docx", "A 57060-2024")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46251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36318-2024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46251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8</v>
      </c>
      <c r="V44" s="2" t="inlineStr">
        <is>
          <t>Garnlav</t>
        </is>
      </c>
      <c r="W44">
        <f>HYPERLINK("https://klasma.github.io/Logging_2425/artfynd/A 36318-2024 artfynd.xlsx", "A 36318-2024")</f>
        <v/>
      </c>
      <c r="X44">
        <f>HYPERLINK("https://klasma.github.io/Logging_2425/kartor/A 36318-2024 karta.png", "A 36318-2024")</f>
        <v/>
      </c>
      <c r="Y44">
        <f>HYPERLINK("https://klasma.github.io/Logging_2425/kartor_geotiff/A 36318-2024 georefererad karta.tif", "A 36318-2024")</f>
        <v/>
      </c>
      <c r="AA44">
        <f>HYPERLINK("https://klasma.github.io/Logging_2425/klagomål/A 36318-2024 FSC-klagomål.docx", "A 36318-2024")</f>
        <v/>
      </c>
      <c r="AB44">
        <f>HYPERLINK("https://klasma.github.io/Logging_2425/klagomålsmail/A 36318-2024 FSC-klagomål mail.docx", "A 36318-2024")</f>
        <v/>
      </c>
      <c r="AC44">
        <f>HYPERLINK("https://klasma.github.io/Logging_2425/tillsyn/A 36318-2024 tillsynsbegäran.docx", "A 36318-2024")</f>
        <v/>
      </c>
      <c r="AD44">
        <f>HYPERLINK("https://klasma.github.io/Logging_2425/tillsynsmail/A 36318-2024 tillsynsbegäran mail.docx", "A 36318-2024")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46251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30357-2026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46209</v>
      </c>
      <c r="E46" s="1" t="n">
        <v>46251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Tajgahumla</t>
        </is>
      </c>
      <c r="W46">
        <f>HYPERLINK("https://klasma.github.io/Logging_2425/artfynd/A 30357-2026 artfynd.xlsx", "A 30357-2026")</f>
        <v/>
      </c>
      <c r="X46">
        <f>HYPERLINK("https://klasma.github.io/Logging_2425/kartor/A 30357-2026 karta.png", "A 30357-2026")</f>
        <v/>
      </c>
      <c r="Y46">
        <f>HYPERLINK("https://klasma.github.io/Logging_2425/kartor_geotiff/A 30357-2026 georefererad karta.tif", "A 30357-2026")</f>
        <v/>
      </c>
      <c r="AA46">
        <f>HYPERLINK("https://klasma.github.io/Logging_2425/klagomål/A 30357-2026 FSC-klagomål.docx", "A 30357-2026")</f>
        <v/>
      </c>
      <c r="AB46">
        <f>HYPERLINK("https://klasma.github.io/Logging_2425/klagomålsmail/A 30357-2026 FSC-klagomål mail.docx", "A 30357-2026")</f>
        <v/>
      </c>
      <c r="AC46">
        <f>HYPERLINK("https://klasma.github.io/Logging_2425/tillsyn/A 30357-2026 tillsynsbegäran.docx", "A 30357-2026")</f>
        <v/>
      </c>
      <c r="AD46">
        <f>HYPERLINK("https://klasma.github.io/Logging_2425/tillsynsmail/A 30357-2026 tillsynsbegäran mail.docx", "A 30357-2026")</f>
        <v/>
      </c>
    </row>
    <row r="47" ht="15" customHeight="1">
      <c r="A47" t="inlineStr">
        <is>
          <t>A 12005-2023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44994</v>
      </c>
      <c r="E47" s="1" t="n">
        <v>46251</v>
      </c>
      <c r="F47" t="inlineStr">
        <is>
          <t>VÄSTERBOTTENS LÄN</t>
        </is>
      </c>
      <c r="G47" t="inlineStr">
        <is>
          <t>DOROTEA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HYPERLINK("https://klasma.github.io/Logging_2425/artfynd/A 12005-2023 artfynd.xlsx", "A 12005-2023")</f>
        <v/>
      </c>
      <c r="X47">
        <f>HYPERLINK("https://klasma.github.io/Logging_2425/kartor/A 12005-2023 karta.png", "A 12005-2023")</f>
        <v/>
      </c>
      <c r="Y47">
        <f>HYPERLINK("https://klasma.github.io/Logging_2425/kartor_geotiff/A 12005-2023 georefererad karta.tif", "A 12005-2023")</f>
        <v/>
      </c>
      <c r="AA47">
        <f>HYPERLINK("https://klasma.github.io/Logging_2425/klagomål/A 12005-2023 FSC-klagomål.docx", "A 12005-2023")</f>
        <v/>
      </c>
      <c r="AB47">
        <f>HYPERLINK("https://klasma.github.io/Logging_2425/klagomålsmail/A 12005-2023 FSC-klagomål mail.docx", "A 12005-2023")</f>
        <v/>
      </c>
      <c r="AC47">
        <f>HYPERLINK("https://klasma.github.io/Logging_2425/tillsyn/A 12005-2023 tillsynsbegäran.docx", "A 12005-2023")</f>
        <v/>
      </c>
      <c r="AD47">
        <f>HYPERLINK("https://klasma.github.io/Logging_2425/tillsynsmail/A 12005-2023 tillsynsbegäran mail.docx", "A 12005-2023")</f>
        <v/>
      </c>
    </row>
    <row r="48" ht="15" customHeight="1">
      <c r="A48" t="inlineStr">
        <is>
          <t>A 57058-2024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46251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57058-2024 artfynd.xlsx", "A 57058-2024")</f>
        <v/>
      </c>
      <c r="X48">
        <f>HYPERLINK("https://klasma.github.io/Logging_2425/kartor/A 57058-2024 karta.png", "A 57058-2024")</f>
        <v/>
      </c>
      <c r="Y48">
        <f>HYPERLINK("https://klasma.github.io/Logging_2425/kartor_geotiff/A 57058-2024 georefererad karta.tif", "A 57058-2024")</f>
        <v/>
      </c>
      <c r="AA48">
        <f>HYPERLINK("https://klasma.github.io/Logging_2425/klagomål/A 57058-2024 FSC-klagomål.docx", "A 57058-2024")</f>
        <v/>
      </c>
      <c r="AB48">
        <f>HYPERLINK("https://klasma.github.io/Logging_2425/klagomålsmail/A 57058-2024 FSC-klagomål mail.docx", "A 57058-2024")</f>
        <v/>
      </c>
      <c r="AC48">
        <f>HYPERLINK("https://klasma.github.io/Logging_2425/tillsyn/A 57058-2024 tillsynsbegäran.docx", "A 57058-2024")</f>
        <v/>
      </c>
      <c r="AD48">
        <f>HYPERLINK("https://klasma.github.io/Logging_2425/tillsynsmail/A 57058-2024 tillsynsbegäran mail.docx", "A 57058-2024")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46251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26440-2025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45807</v>
      </c>
      <c r="E50" s="1" t="n">
        <v>46251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HYPERLINK("https://klasma.github.io/Logging_2425/artfynd/A 26440-2025 artfynd.xlsx", "A 26440-2025")</f>
        <v/>
      </c>
      <c r="X50">
        <f>HYPERLINK("https://klasma.github.io/Logging_2425/kartor/A 26440-2025 karta.png", "A 26440-2025")</f>
        <v/>
      </c>
      <c r="Y50">
        <f>HYPERLINK("https://klasma.github.io/Logging_2425/kartor_geotiff/A 26440-2025 georefererad karta.tif", "A 26440-2025")</f>
        <v/>
      </c>
      <c r="AA50">
        <f>HYPERLINK("https://klasma.github.io/Logging_2425/klagomål/A 26440-2025 FSC-klagomål.docx", "A 26440-2025")</f>
        <v/>
      </c>
      <c r="AB50">
        <f>HYPERLINK("https://klasma.github.io/Logging_2425/klagomålsmail/A 26440-2025 FSC-klagomål mail.docx", "A 26440-2025")</f>
        <v/>
      </c>
      <c r="AC50">
        <f>HYPERLINK("https://klasma.github.io/Logging_2425/tillsyn/A 26440-2025 tillsynsbegäran.docx", "A 26440-2025")</f>
        <v/>
      </c>
      <c r="AD50">
        <f>HYPERLINK("https://klasma.github.io/Logging_2425/tillsynsmail/A 26440-2025 tillsynsbegäran mail.docx", "A 26440-2025")</f>
        <v/>
      </c>
    </row>
    <row r="51" ht="15" customHeight="1">
      <c r="A51" t="inlineStr">
        <is>
          <t>A 53309-2022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44878</v>
      </c>
      <c r="E51" s="1" t="n">
        <v>46251</v>
      </c>
      <c r="F51" t="inlineStr">
        <is>
          <t>VÄSTERBOTTENS LÄN</t>
        </is>
      </c>
      <c r="G51" t="inlineStr">
        <is>
          <t>DOROTEA</t>
        </is>
      </c>
      <c r="I51" t="n">
        <v>6.6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Göktyta</t>
        </is>
      </c>
      <c r="W51">
        <f>HYPERLINK("https://klasma.github.io/Logging_2425/artfynd/A 53309-2022 artfynd.xlsx", "A 53309-2022")</f>
        <v/>
      </c>
      <c r="X51">
        <f>HYPERLINK("https://klasma.github.io/Logging_2425/kartor/A 53309-2022 karta.png", "A 53309-2022")</f>
        <v/>
      </c>
      <c r="Y51">
        <f>HYPERLINK("https://klasma.github.io/Logging_2425/kartor_geotiff/A 53309-2022 georefererad karta.tif", "A 53309-2022")</f>
        <v/>
      </c>
      <c r="AA51">
        <f>HYPERLINK("https://klasma.github.io/Logging_2425/klagomål/A 53309-2022 FSC-klagomål.docx", "A 53309-2022")</f>
        <v/>
      </c>
      <c r="AB51">
        <f>HYPERLINK("https://klasma.github.io/Logging_2425/klagomålsmail/A 53309-2022 FSC-klagomål mail.docx", "A 53309-2022")</f>
        <v/>
      </c>
      <c r="AC51">
        <f>HYPERLINK("https://klasma.github.io/Logging_2425/tillsyn/A 53309-2022 tillsynsbegäran.docx", "A 53309-2022")</f>
        <v/>
      </c>
      <c r="AD51">
        <f>HYPERLINK("https://klasma.github.io/Logging_2425/tillsynsmail/A 53309-2022 tillsynsbegäran mail.docx", "A 53309-2022")</f>
        <v/>
      </c>
      <c r="AE51">
        <f>HYPERLINK("https://klasma.github.io/Logging_2425/fåglar/A 53309-2022 prioriterade fågelarter.docx", "A 53309-2022")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46251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46251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S 877-2022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44606</v>
      </c>
      <c r="E54" s="1" t="n">
        <v>46251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598.1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Gammelgransskål</t>
        </is>
      </c>
      <c r="W54">
        <f>HYPERLINK("https://klasma.github.io/Logging_2425/artfynd/S 877-2022 artfynd.xlsx", "S 877-2022")</f>
        <v/>
      </c>
      <c r="X54">
        <f>HYPERLINK("https://klasma.github.io/Logging_2425/kartor/S 877-2022 karta.png", "S 877-2022")</f>
        <v/>
      </c>
      <c r="Y54">
        <f>HYPERLINK("https://klasma.github.io/Logging_2425/kartor_geotiff/S 877-2022 georefererad karta.tif", "S 877-2022")</f>
        <v/>
      </c>
      <c r="AA54">
        <f>HYPERLINK("https://klasma.github.io/Logging_2425/klagomål/S 877-2022 FSC-klagomål.docx", "S 877-2022")</f>
        <v/>
      </c>
      <c r="AB54">
        <f>HYPERLINK("https://klasma.github.io/Logging_2425/klagomålsmail/S 877-2022 FSC-klagomål mail.docx", "S 877-2022")</f>
        <v/>
      </c>
      <c r="AC54">
        <f>HYPERLINK("https://klasma.github.io/Logging_2425/tillsyn/S 877-2022 tillsynsbegäran.docx", "S 877-2022")</f>
        <v/>
      </c>
      <c r="AD54">
        <f>HYPERLINK("https://klasma.github.io/Logging_2425/tillsynsmail/S 877-2022 tillsynsbegäran mail.docx", "S 877-2022")</f>
        <v/>
      </c>
    </row>
    <row r="55" ht="15" customHeight="1">
      <c r="A55" t="inlineStr">
        <is>
          <t>S 1194-2025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45756</v>
      </c>
      <c r="E55" s="1" t="n">
        <v>46251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13.9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Stjärntagging</t>
        </is>
      </c>
      <c r="W55">
        <f>HYPERLINK("https://klasma.github.io/Logging_2425/artfynd/S 1194-2025 artfynd.xlsx", "S 1194-2025")</f>
        <v/>
      </c>
      <c r="X55">
        <f>HYPERLINK("https://klasma.github.io/Logging_2425/kartor/S 1194-2025 karta.png", "S 1194-2025")</f>
        <v/>
      </c>
      <c r="Y55">
        <f>HYPERLINK("https://klasma.github.io/Logging_2425/kartor_geotiff/S 1194-2025 georefererad karta.tif", "S 1194-2025")</f>
        <v/>
      </c>
      <c r="AA55">
        <f>HYPERLINK("https://klasma.github.io/Logging_2425/klagomål/S 1194-2025 FSC-klagomål.docx", "S 1194-2025")</f>
        <v/>
      </c>
      <c r="AB55">
        <f>HYPERLINK("https://klasma.github.io/Logging_2425/klagomålsmail/S 1194-2025 FSC-klagomål mail.docx", "S 1194-2025")</f>
        <v/>
      </c>
      <c r="AC55">
        <f>HYPERLINK("https://klasma.github.io/Logging_2425/tillsyn/S 1194-2025 tillsynsbegäran.docx", "S 1194-2025")</f>
        <v/>
      </c>
      <c r="AD55">
        <f>HYPERLINK("https://klasma.github.io/Logging_2425/tillsynsmail/S 1194-2025 tillsynsbegäran mail.docx", "S 1194-2025")</f>
        <v/>
      </c>
    </row>
    <row r="56" ht="15" customHeight="1">
      <c r="A56" t="inlineStr">
        <is>
          <t>A 64063-2021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46251</v>
      </c>
      <c r="F56" t="inlineStr">
        <is>
          <t>VÄSTERBOTTENS LÄN</t>
        </is>
      </c>
      <c r="G56" t="inlineStr">
        <is>
          <t>DOROTEA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46251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46251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43403-2022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44834</v>
      </c>
      <c r="E59" s="1" t="n">
        <v>46251</v>
      </c>
      <c r="F59" t="inlineStr">
        <is>
          <t>VÄSTERBOTTENS LÄN</t>
        </is>
      </c>
      <c r="G59" t="inlineStr">
        <is>
          <t>DOROTEA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46251</v>
      </c>
      <c r="F60" t="inlineStr">
        <is>
          <t>VÄSTERBOTTENS LÄN</t>
        </is>
      </c>
      <c r="G60" t="inlineStr">
        <is>
          <t>DOROTEA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46251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46251</v>
      </c>
      <c r="F62" t="inlineStr">
        <is>
          <t>VÄSTERBOTTENS LÄN</t>
        </is>
      </c>
      <c r="G62" t="inlineStr">
        <is>
          <t>DOROTEA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44851</v>
      </c>
      <c r="E63" s="1" t="n">
        <v>46251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44587</v>
      </c>
      <c r="E64" s="1" t="n">
        <v>46251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44761</v>
      </c>
      <c r="E65" s="1" t="n">
        <v>46251</v>
      </c>
      <c r="F65" t="inlineStr">
        <is>
          <t>VÄSTERBOTTENS LÄN</t>
        </is>
      </c>
      <c r="G65" t="inlineStr">
        <is>
          <t>DOROTEA</t>
        </is>
      </c>
      <c r="I65" t="n">
        <v>10.6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48006-2023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45198</v>
      </c>
      <c r="E66" s="1" t="n">
        <v>46251</v>
      </c>
      <c r="F66" t="inlineStr">
        <is>
          <t>VÄSTERBOTTENS LÄN</t>
        </is>
      </c>
      <c r="G66" t="inlineStr">
        <is>
          <t>DOROTEA</t>
        </is>
      </c>
      <c r="H66" t="inlineStr">
        <is>
          <t>Övriga statliga verk och myndigheter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15057-2024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46251</v>
      </c>
      <c r="F67" t="inlineStr">
        <is>
          <t>VÄSTERBOTTENS LÄN</t>
        </is>
      </c>
      <c r="G67" t="inlineStr">
        <is>
          <t>DOROTEA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45385</v>
      </c>
      <c r="E68" s="1" t="n">
        <v>46251</v>
      </c>
      <c r="F68" t="inlineStr">
        <is>
          <t>VÄSTERBOTTENS LÄN</t>
        </is>
      </c>
      <c r="G68" t="inlineStr">
        <is>
          <t>DOROTEA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46251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46251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52362-2021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46251</v>
      </c>
      <c r="F71" t="inlineStr">
        <is>
          <t>VÄSTERBOTTENS LÄN</t>
        </is>
      </c>
      <c r="G71" t="inlineStr">
        <is>
          <t>DOROTEA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45224</v>
      </c>
      <c r="E72" s="1" t="n">
        <v>46251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46251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45712</v>
      </c>
      <c r="E74" s="1" t="n">
        <v>46251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45882</v>
      </c>
      <c r="E75" s="1" t="n">
        <v>46251</v>
      </c>
      <c r="F75" t="inlineStr">
        <is>
          <t>VÄSTERBOTTENS LÄN</t>
        </is>
      </c>
      <c r="G75" t="inlineStr">
        <is>
          <t>DOROTEA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44824</v>
      </c>
      <c r="E76" s="1" t="n">
        <v>46251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45882</v>
      </c>
      <c r="E77" s="1" t="n">
        <v>46251</v>
      </c>
      <c r="F77" t="inlineStr">
        <is>
          <t>VÄSTERBOTTENS LÄN</t>
        </is>
      </c>
      <c r="G77" t="inlineStr">
        <is>
          <t>DOROTEA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46251</v>
      </c>
      <c r="F78" t="inlineStr">
        <is>
          <t>VÄSTERBOTTENS LÄN</t>
        </is>
      </c>
      <c r="G78" t="inlineStr">
        <is>
          <t>DOROTEA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38097-2025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46251</v>
      </c>
      <c r="F79" t="inlineStr">
        <is>
          <t>VÄSTERBOTTENS LÄN</t>
        </is>
      </c>
      <c r="G79" t="inlineStr">
        <is>
          <t>DOROTEA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38098-2025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45882</v>
      </c>
      <c r="E80" s="1" t="n">
        <v>46251</v>
      </c>
      <c r="F80" t="inlineStr">
        <is>
          <t>VÄSTERBOTTENS LÄN</t>
        </is>
      </c>
      <c r="G80" t="inlineStr">
        <is>
          <t>DOROTEA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45735</v>
      </c>
      <c r="E81" s="1" t="n">
        <v>46251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46251</v>
      </c>
      <c r="F82" t="inlineStr">
        <is>
          <t>VÄSTERBOTTENS LÄN</t>
        </is>
      </c>
      <c r="G82" t="inlineStr">
        <is>
          <t>DOROTEA</t>
        </is>
      </c>
      <c r="I82" t="n">
        <v>14.8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46251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46251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45883</v>
      </c>
      <c r="E85" s="1" t="n">
        <v>46251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10.6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4958-2023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44956</v>
      </c>
      <c r="E86" s="1" t="n">
        <v>46251</v>
      </c>
      <c r="F86" t="inlineStr">
        <is>
          <t>VÄSTERBOTTENS LÄN</t>
        </is>
      </c>
      <c r="G86" t="inlineStr">
        <is>
          <t>DOROTEA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46251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27199-2024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45471</v>
      </c>
      <c r="E88" s="1" t="n">
        <v>46251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46251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44582</v>
      </c>
      <c r="E90" s="1" t="n">
        <v>46251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46251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34702-2023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46251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45734</v>
      </c>
      <c r="E93" s="1" t="n">
        <v>46251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46251</v>
      </c>
      <c r="F94" t="inlineStr">
        <is>
          <t>VÄSTERBOTTENS LÄN</t>
        </is>
      </c>
      <c r="G94" t="inlineStr">
        <is>
          <t>DOROTEA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57070-2023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45244</v>
      </c>
      <c r="E95" s="1" t="n">
        <v>46251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59418-2023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45253</v>
      </c>
      <c r="E96" s="1" t="n">
        <v>46251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44860</v>
      </c>
      <c r="E97" s="1" t="n">
        <v>46251</v>
      </c>
      <c r="F97" t="inlineStr">
        <is>
          <t>VÄSTERBOTTENS LÄN</t>
        </is>
      </c>
      <c r="G97" t="inlineStr">
        <is>
          <t>DOROTEA</t>
        </is>
      </c>
      <c r="H97" t="inlineStr">
        <is>
          <t>Sveaskog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45228</v>
      </c>
      <c r="E98" s="1" t="n">
        <v>46251</v>
      </c>
      <c r="F98" t="inlineStr">
        <is>
          <t>VÄSTERBOTTENS LÄN</t>
        </is>
      </c>
      <c r="G98" t="inlineStr">
        <is>
          <t>DOROTEA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45228</v>
      </c>
      <c r="E99" s="1" t="n">
        <v>46251</v>
      </c>
      <c r="F99" t="inlineStr">
        <is>
          <t>VÄSTERBOTTENS LÄN</t>
        </is>
      </c>
      <c r="G99" t="inlineStr">
        <is>
          <t>DOROTEA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46251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45893</v>
      </c>
      <c r="E101" s="1" t="n">
        <v>46251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45488</v>
      </c>
      <c r="E102" s="1" t="n">
        <v>46251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29454-2024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45483</v>
      </c>
      <c r="E103" s="1" t="n">
        <v>46251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46251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40435-2023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45169</v>
      </c>
      <c r="E105" s="1" t="n">
        <v>46251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45904</v>
      </c>
      <c r="E106" s="1" t="n">
        <v>46251</v>
      </c>
      <c r="F106" t="inlineStr">
        <is>
          <t>VÄSTERBOTTENS LÄN</t>
        </is>
      </c>
      <c r="G106" t="inlineStr">
        <is>
          <t>DOROTEA</t>
        </is>
      </c>
      <c r="H106" t="inlineStr">
        <is>
          <t>Övriga Aktiebolag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46251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46251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14320-2024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46251</v>
      </c>
      <c r="F109" t="inlineStr">
        <is>
          <t>VÄSTERBOTTENS LÄN</t>
        </is>
      </c>
      <c r="G109" t="inlineStr">
        <is>
          <t>DOROTEA</t>
        </is>
      </c>
      <c r="I109" t="n">
        <v>10.2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43720-2025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45912</v>
      </c>
      <c r="E110" s="1" t="n">
        <v>46251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45912</v>
      </c>
      <c r="E111" s="1" t="n">
        <v>46251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46251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44484</v>
      </c>
      <c r="E113" s="1" t="n">
        <v>46251</v>
      </c>
      <c r="F113" t="inlineStr">
        <is>
          <t>VÄSTERBOTTENS LÄN</t>
        </is>
      </c>
      <c r="G113" t="inlineStr">
        <is>
          <t>DOROTEA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44282-2025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45916</v>
      </c>
      <c r="E114" s="1" t="n">
        <v>46251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44357-2025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45916</v>
      </c>
      <c r="E115" s="1" t="n">
        <v>46251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45915</v>
      </c>
      <c r="E116" s="1" t="n">
        <v>46251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46251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44395-2025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46251</v>
      </c>
      <c r="F118" t="inlineStr">
        <is>
          <t>VÄSTERBOTTENS LÄN</t>
        </is>
      </c>
      <c r="G118" t="inlineStr">
        <is>
          <t>DOROTEA</t>
        </is>
      </c>
      <c r="H118" t="inlineStr">
        <is>
          <t>Övriga statliga verk och myndigheter</t>
        </is>
      </c>
      <c r="I118" t="n">
        <v>15.2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46251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46251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44784-2025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45917</v>
      </c>
      <c r="E121" s="1" t="n">
        <v>46251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34406-2025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45845</v>
      </c>
      <c r="E122" s="1" t="n">
        <v>46251</v>
      </c>
      <c r="F122" t="inlineStr">
        <is>
          <t>VÄSTERBOTTENS LÄN</t>
        </is>
      </c>
      <c r="G122" t="inlineStr">
        <is>
          <t>DOROTEA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46251</v>
      </c>
      <c r="F123" t="inlineStr">
        <is>
          <t>VÄSTERBOTTENS LÄN</t>
        </is>
      </c>
      <c r="G123" t="inlineStr">
        <is>
          <t>DOROTEA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55549-2024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46251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46085</v>
      </c>
      <c r="E125" s="1" t="n">
        <v>46251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46251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46251</v>
      </c>
      <c r="F127" t="inlineStr">
        <is>
          <t>VÄSTERBOTTENS LÄN</t>
        </is>
      </c>
      <c r="G127" t="inlineStr">
        <is>
          <t>DOROTEA</t>
        </is>
      </c>
      <c r="I127" t="n">
        <v>15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46251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46251</v>
      </c>
      <c r="F129" t="inlineStr">
        <is>
          <t>VÄSTERBOTTENS LÄN</t>
        </is>
      </c>
      <c r="G129" t="inlineStr">
        <is>
          <t>DOROTEA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44748</v>
      </c>
      <c r="E130" s="1" t="n">
        <v>46251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47494-2023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45202</v>
      </c>
      <c r="E131" s="1" t="n">
        <v>46251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46251</v>
      </c>
      <c r="F132" t="inlineStr">
        <is>
          <t>VÄSTERBOTTENS LÄN</t>
        </is>
      </c>
      <c r="G132" t="inlineStr">
        <is>
          <t>DOROTEA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8095-2023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44974</v>
      </c>
      <c r="E133" s="1" t="n">
        <v>46251</v>
      </c>
      <c r="F133" t="inlineStr">
        <is>
          <t>VÄSTERBOTTENS LÄN</t>
        </is>
      </c>
      <c r="G133" t="inlineStr">
        <is>
          <t>DOROTEA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74013-2021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44557</v>
      </c>
      <c r="E134" s="1" t="n">
        <v>46251</v>
      </c>
      <c r="F134" t="inlineStr">
        <is>
          <t>VÄSTERBOTTENS LÄN</t>
        </is>
      </c>
      <c r="G134" t="inlineStr">
        <is>
          <t>DOROTEA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46251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44925</v>
      </c>
      <c r="E136" s="1" t="n">
        <v>46251</v>
      </c>
      <c r="F136" t="inlineStr">
        <is>
          <t>VÄSTERBOTTENS LÄN</t>
        </is>
      </c>
      <c r="G136" t="inlineStr">
        <is>
          <t>DOROTEA</t>
        </is>
      </c>
      <c r="I136" t="n">
        <v>22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46251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9.800000000000001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45742</v>
      </c>
      <c r="E138" s="1" t="n">
        <v>46251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30373-2024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45491</v>
      </c>
      <c r="E139" s="1" t="n">
        <v>46251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Sveaskog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45796</v>
      </c>
      <c r="E140" s="1" t="n">
        <v>46251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46251</v>
      </c>
      <c r="F141" t="inlineStr">
        <is>
          <t>VÄSTERBOTTENS LÄN</t>
        </is>
      </c>
      <c r="G141" t="inlineStr">
        <is>
          <t>DOROTEA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45574</v>
      </c>
      <c r="E142" s="1" t="n">
        <v>46251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45852</v>
      </c>
      <c r="E143" s="1" t="n">
        <v>46251</v>
      </c>
      <c r="F143" t="inlineStr">
        <is>
          <t>VÄSTERBOTTENS LÄN</t>
        </is>
      </c>
      <c r="G143" t="inlineStr">
        <is>
          <t>DOROTEA</t>
        </is>
      </c>
      <c r="H143" t="inlineStr">
        <is>
          <t>Allmännings- och besparingsskogar</t>
        </is>
      </c>
      <c r="I143" t="n">
        <v>22.1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45852</v>
      </c>
      <c r="E144" s="1" t="n">
        <v>46251</v>
      </c>
      <c r="F144" t="inlineStr">
        <is>
          <t>VÄSTERBOTTENS LÄN</t>
        </is>
      </c>
      <c r="G144" t="inlineStr">
        <is>
          <t>DOROTEA</t>
        </is>
      </c>
      <c r="H144" t="inlineStr">
        <is>
          <t>Allmännings- och besparingsskogar</t>
        </is>
      </c>
      <c r="I144" t="n">
        <v>20.3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45463</v>
      </c>
      <c r="E145" s="1" t="n">
        <v>46251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46251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44974</v>
      </c>
      <c r="E147" s="1" t="n">
        <v>46251</v>
      </c>
      <c r="F147" t="inlineStr">
        <is>
          <t>VÄSTERBOTTENS LÄN</t>
        </is>
      </c>
      <c r="G147" t="inlineStr">
        <is>
          <t>DOROTEA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46251</v>
      </c>
      <c r="F148" t="inlineStr">
        <is>
          <t>VÄSTERBOTTENS LÄN</t>
        </is>
      </c>
      <c r="G148" t="inlineStr">
        <is>
          <t>DOROTEA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46251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45954</v>
      </c>
      <c r="E150" s="1" t="n">
        <v>46251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45565</v>
      </c>
      <c r="E151" s="1" t="n">
        <v>46251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46104</v>
      </c>
      <c r="E152" s="1" t="n">
        <v>46251</v>
      </c>
      <c r="F152" t="inlineStr">
        <is>
          <t>VÄSTERBOTTENS LÄN</t>
        </is>
      </c>
      <c r="G152" t="inlineStr">
        <is>
          <t>DOROTEA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45552</v>
      </c>
      <c r="E153" s="1" t="n">
        <v>46251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7429-2023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44971</v>
      </c>
      <c r="E154" s="1" t="n">
        <v>46251</v>
      </c>
      <c r="F154" t="inlineStr">
        <is>
          <t>VÄSTERBOTTENS LÄN</t>
        </is>
      </c>
      <c r="G154" t="inlineStr">
        <is>
          <t>DOROTEA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44481</v>
      </c>
      <c r="E155" s="1" t="n">
        <v>46251</v>
      </c>
      <c r="F155" t="inlineStr">
        <is>
          <t>VÄSTERBOTTENS LÄN</t>
        </is>
      </c>
      <c r="G155" t="inlineStr">
        <is>
          <t>DOROTEA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46251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46251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44719</v>
      </c>
      <c r="E158" s="1" t="n">
        <v>46251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46107</v>
      </c>
      <c r="E159" s="1" t="n">
        <v>46251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46251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46251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46251</v>
      </c>
      <c r="F162" t="inlineStr">
        <is>
          <t>VÄSTERBOTTENS LÄN</t>
        </is>
      </c>
      <c r="G162" t="inlineStr">
        <is>
          <t>DOROTEA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46251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46251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46251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46251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14163-2024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45392</v>
      </c>
      <c r="E167" s="1" t="n">
        <v>46251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16352-2026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46251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33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46251</v>
      </c>
      <c r="F169" t="inlineStr">
        <is>
          <t>VÄSTERBOTTENS LÄN</t>
        </is>
      </c>
      <c r="G169" t="inlineStr">
        <is>
          <t>DOROTEA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16276-2026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46251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46251</v>
      </c>
      <c r="F171" t="inlineStr">
        <is>
          <t>VÄSTERBOTTENS LÄN</t>
        </is>
      </c>
      <c r="G171" t="inlineStr">
        <is>
          <t>DOROTEA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44848</v>
      </c>
      <c r="E172" s="1" t="n">
        <v>46251</v>
      </c>
      <c r="F172" t="inlineStr">
        <is>
          <t>VÄSTERBOTTENS LÄN</t>
        </is>
      </c>
      <c r="G172" t="inlineStr">
        <is>
          <t>DOROTEA</t>
        </is>
      </c>
      <c r="I172" t="n">
        <v>29.8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16896-2026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46251</v>
      </c>
      <c r="F173" t="inlineStr">
        <is>
          <t>VÄSTERBOTTENS LÄN</t>
        </is>
      </c>
      <c r="G173" t="inlineStr">
        <is>
          <t>DOROTEA</t>
        </is>
      </c>
      <c r="H173" t="inlineStr">
        <is>
          <t>Kommuner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46114</v>
      </c>
      <c r="E174" s="1" t="n">
        <v>46251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46251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46251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46251</v>
      </c>
      <c r="F177" t="inlineStr">
        <is>
          <t>VÄSTERBOTTENS LÄN</t>
        </is>
      </c>
      <c r="G177" t="inlineStr">
        <is>
          <t>DOROTEA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46251</v>
      </c>
      <c r="F178" t="inlineStr">
        <is>
          <t>VÄSTERBOTTENS LÄN</t>
        </is>
      </c>
      <c r="G178" t="inlineStr">
        <is>
          <t>DOROTEA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45977</v>
      </c>
      <c r="E179" s="1" t="n">
        <v>46251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46251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46251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46251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46251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18.2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57722-2025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46251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46251</v>
      </c>
      <c r="F185" t="inlineStr">
        <is>
          <t>VÄSTERBOTTENS LÄN</t>
        </is>
      </c>
      <c r="G185" t="inlineStr">
        <is>
          <t>DOROTEA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46251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25028-2024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45461</v>
      </c>
      <c r="E187" s="1" t="n">
        <v>46251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46121</v>
      </c>
      <c r="E188" s="1" t="n">
        <v>46251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20.3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46120</v>
      </c>
      <c r="E189" s="1" t="n">
        <v>46251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45565</v>
      </c>
      <c r="E190" s="1" t="n">
        <v>46251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46251</v>
      </c>
      <c r="F191" t="inlineStr">
        <is>
          <t>VÄSTERBOTTENS LÄN</t>
        </is>
      </c>
      <c r="G191" t="inlineStr">
        <is>
          <t>DOROTEA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46251</v>
      </c>
      <c r="F192" t="inlineStr">
        <is>
          <t>VÄSTERBOTTENS LÄN</t>
        </is>
      </c>
      <c r="G192" t="inlineStr">
        <is>
          <t>DOROTEA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46251</v>
      </c>
      <c r="F193" t="inlineStr">
        <is>
          <t>VÄSTERBOTTENS LÄN</t>
        </is>
      </c>
      <c r="G193" t="inlineStr">
        <is>
          <t>DOROTEA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45988</v>
      </c>
      <c r="E194" s="1" t="n">
        <v>46251</v>
      </c>
      <c r="F194" t="inlineStr">
        <is>
          <t>VÄSTERBOTTENS LÄN</t>
        </is>
      </c>
      <c r="G194" t="inlineStr">
        <is>
          <t>DOROTEA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46125</v>
      </c>
      <c r="E195" s="1" t="n">
        <v>46251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4617-2023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44956</v>
      </c>
      <c r="E196" s="1" t="n">
        <v>46251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46123</v>
      </c>
      <c r="E197" s="1" t="n">
        <v>46251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46251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18.3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46251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46965-2024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45586</v>
      </c>
      <c r="E200" s="1" t="n">
        <v>46251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46126</v>
      </c>
      <c r="E201" s="1" t="n">
        <v>46251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46126</v>
      </c>
      <c r="E202" s="1" t="n">
        <v>46251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35937-2025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45862</v>
      </c>
      <c r="E203" s="1" t="n">
        <v>46251</v>
      </c>
      <c r="F203" t="inlineStr">
        <is>
          <t>VÄSTERBOTTENS LÄN</t>
        </is>
      </c>
      <c r="G203" t="inlineStr">
        <is>
          <t>DOROTEA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45519</v>
      </c>
      <c r="E204" s="1" t="n">
        <v>46251</v>
      </c>
      <c r="F204" t="inlineStr">
        <is>
          <t>VÄSTERBOTTENS LÄN</t>
        </is>
      </c>
      <c r="G204" t="inlineStr">
        <is>
          <t>DOROTEA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46251</v>
      </c>
      <c r="F205" t="inlineStr">
        <is>
          <t>VÄSTERBOTTENS LÄN</t>
        </is>
      </c>
      <c r="G205" t="inlineStr">
        <is>
          <t>DOROTEA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45996</v>
      </c>
      <c r="E206" s="1" t="n">
        <v>46251</v>
      </c>
      <c r="F206" t="inlineStr">
        <is>
          <t>VÄSTERBOTTENS LÄN</t>
        </is>
      </c>
      <c r="G206" t="inlineStr">
        <is>
          <t>DOROTEA</t>
        </is>
      </c>
      <c r="I206" t="n">
        <v>23.9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46251</v>
      </c>
      <c r="F207" t="inlineStr">
        <is>
          <t>VÄSTERBOTTENS LÄN</t>
        </is>
      </c>
      <c r="G207" t="inlineStr">
        <is>
          <t>DOROTEA</t>
        </is>
      </c>
      <c r="I207" t="n">
        <v>18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62193-2025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46003</v>
      </c>
      <c r="E208" s="1" t="n">
        <v>46251</v>
      </c>
      <c r="F208" t="inlineStr">
        <is>
          <t>VÄSTERBOTTENS LÄN</t>
        </is>
      </c>
      <c r="G208" t="inlineStr">
        <is>
          <t>DOROTEA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46251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46003</v>
      </c>
      <c r="E210" s="1" t="n">
        <v>46251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45539</v>
      </c>
      <c r="E211" s="1" t="n">
        <v>46251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46251</v>
      </c>
      <c r="F212" t="inlineStr">
        <is>
          <t>VÄSTERBOTTENS LÄN</t>
        </is>
      </c>
      <c r="G212" t="inlineStr">
        <is>
          <t>DOROTEA</t>
        </is>
      </c>
      <c r="I212" t="n">
        <v>16.7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46251</v>
      </c>
      <c r="F213" t="inlineStr">
        <is>
          <t>VÄSTERBOTTENS LÄN</t>
        </is>
      </c>
      <c r="G213" t="inlineStr">
        <is>
          <t>DOROTEA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46251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46251</v>
      </c>
      <c r="F215" t="inlineStr">
        <is>
          <t>VÄSTERBOTTENS LÄN</t>
        </is>
      </c>
      <c r="G215" t="inlineStr">
        <is>
          <t>DOROTEA</t>
        </is>
      </c>
      <c r="I215" t="n">
        <v>13.2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45755</v>
      </c>
      <c r="E216" s="1" t="n">
        <v>46251</v>
      </c>
      <c r="F216" t="inlineStr">
        <is>
          <t>VÄSTERBOTTENS LÄN</t>
        </is>
      </c>
      <c r="G216" t="inlineStr">
        <is>
          <t>DOROTEA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46133</v>
      </c>
      <c r="E217" s="1" t="n">
        <v>46251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45642</v>
      </c>
      <c r="E218" s="1" t="n">
        <v>46251</v>
      </c>
      <c r="F218" t="inlineStr">
        <is>
          <t>VÄSTERBOTTENS LÄN</t>
        </is>
      </c>
      <c r="G218" t="inlineStr">
        <is>
          <t>DOROTEA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46251</v>
      </c>
      <c r="F219" t="inlineStr">
        <is>
          <t>VÄSTERBOTTENS LÄN</t>
        </is>
      </c>
      <c r="G219" t="inlineStr">
        <is>
          <t>DOROTEA</t>
        </is>
      </c>
      <c r="I219" t="n">
        <v>12.3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46251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46251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46251</v>
      </c>
      <c r="F222" t="inlineStr">
        <is>
          <t>VÄSTERBOTTENS LÄN</t>
        </is>
      </c>
      <c r="G222" t="inlineStr">
        <is>
          <t>DOROTEA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45125</v>
      </c>
      <c r="E223" s="1" t="n">
        <v>46251</v>
      </c>
      <c r="F223" t="inlineStr">
        <is>
          <t>VÄSTERBOTTENS LÄN</t>
        </is>
      </c>
      <c r="G223" t="inlineStr">
        <is>
          <t>DOROTEA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46251</v>
      </c>
      <c r="F224" t="inlineStr">
        <is>
          <t>VÄSTERBOTTENS LÄN</t>
        </is>
      </c>
      <c r="G224" t="inlineStr">
        <is>
          <t>DOROTEA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46251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27477-2023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45097</v>
      </c>
      <c r="E226" s="1" t="n">
        <v>46251</v>
      </c>
      <c r="F226" t="inlineStr">
        <is>
          <t>VÄSTERBOTTENS LÄN</t>
        </is>
      </c>
      <c r="G226" t="inlineStr">
        <is>
          <t>DOROTEA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46251</v>
      </c>
      <c r="F227" t="inlineStr">
        <is>
          <t>VÄSTERBOTTENS LÄN</t>
        </is>
      </c>
      <c r="G227" t="inlineStr">
        <is>
          <t>DOROTEA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46251</v>
      </c>
      <c r="F228" t="inlineStr">
        <is>
          <t>VÄSTERBOTTENS LÄN</t>
        </is>
      </c>
      <c r="G228" t="inlineStr">
        <is>
          <t>DOROTEA</t>
        </is>
      </c>
      <c r="I228" t="n">
        <v>11.1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44942</v>
      </c>
      <c r="E229" s="1" t="n">
        <v>46251</v>
      </c>
      <c r="F229" t="inlineStr">
        <is>
          <t>VÄSTERBOTTENS LÄN</t>
        </is>
      </c>
      <c r="G229" t="inlineStr">
        <is>
          <t>DOROTEA</t>
        </is>
      </c>
      <c r="I229" t="n">
        <v>22.7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46251</v>
      </c>
      <c r="F230" t="inlineStr">
        <is>
          <t>VÄSTERBOTTENS LÄN</t>
        </is>
      </c>
      <c r="G230" t="inlineStr">
        <is>
          <t>DOROTEA</t>
        </is>
      </c>
      <c r="I230" t="n">
        <v>18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46251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45149</v>
      </c>
      <c r="E232" s="1" t="n">
        <v>46251</v>
      </c>
      <c r="F232" t="inlineStr">
        <is>
          <t>VÄSTERBOTTENS LÄN</t>
        </is>
      </c>
      <c r="G232" t="inlineStr">
        <is>
          <t>DOROTEA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40434-2023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45169</v>
      </c>
      <c r="E233" s="1" t="n">
        <v>46251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13.9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45566</v>
      </c>
      <c r="E234" s="1" t="n">
        <v>46251</v>
      </c>
      <c r="F234" t="inlineStr">
        <is>
          <t>VÄSTERBOTTENS LÄN</t>
        </is>
      </c>
      <c r="G234" t="inlineStr">
        <is>
          <t>DOROTEA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46251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45170</v>
      </c>
      <c r="E236" s="1" t="n">
        <v>46251</v>
      </c>
      <c r="F236" t="inlineStr">
        <is>
          <t>VÄSTERBOTTENS LÄN</t>
        </is>
      </c>
      <c r="G236" t="inlineStr">
        <is>
          <t>DOROTEA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60145-2021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44494</v>
      </c>
      <c r="E237" s="1" t="n">
        <v>46251</v>
      </c>
      <c r="F237" t="inlineStr">
        <is>
          <t>VÄSTERBOTTENS LÄN</t>
        </is>
      </c>
      <c r="G237" t="inlineStr">
        <is>
          <t>DOROTEA</t>
        </is>
      </c>
      <c r="I237" t="n">
        <v>13.3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46251</v>
      </c>
      <c r="F238" t="inlineStr">
        <is>
          <t>VÄSTERBOTTENS LÄN</t>
        </is>
      </c>
      <c r="G238" t="inlineStr">
        <is>
          <t>DOROTEA</t>
        </is>
      </c>
      <c r="I238" t="n">
        <v>14.7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46251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46251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46251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45855</v>
      </c>
      <c r="E242" s="1" t="n">
        <v>46251</v>
      </c>
      <c r="F242" t="inlineStr">
        <is>
          <t>VÄSTERBOTTENS LÄN</t>
        </is>
      </c>
      <c r="G242" t="inlineStr">
        <is>
          <t>DOROTEA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45866</v>
      </c>
      <c r="E243" s="1" t="n">
        <v>46251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45639</v>
      </c>
      <c r="E244" s="1" t="n">
        <v>46251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46251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45036</v>
      </c>
      <c r="E246" s="1" t="n">
        <v>46251</v>
      </c>
      <c r="F246" t="inlineStr">
        <is>
          <t>VÄSTERBOTTENS LÄN</t>
        </is>
      </c>
      <c r="G246" t="inlineStr">
        <is>
          <t>DOROTEA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45475</v>
      </c>
      <c r="E247" s="1" t="n">
        <v>46251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45448</v>
      </c>
      <c r="E248" s="1" t="n">
        <v>46251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45295</v>
      </c>
      <c r="E249" s="1" t="n">
        <v>46251</v>
      </c>
      <c r="F249" t="inlineStr">
        <is>
          <t>VÄSTERBOTTENS LÄN</t>
        </is>
      </c>
      <c r="G249" t="inlineStr">
        <is>
          <t>DOROTEA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8852-2024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46251</v>
      </c>
      <c r="F250" t="inlineStr">
        <is>
          <t>VÄSTERBOTTENS LÄN</t>
        </is>
      </c>
      <c r="G250" t="inlineStr">
        <is>
          <t>DOROTEA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46251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46251</v>
      </c>
      <c r="F252" t="inlineStr">
        <is>
          <t>VÄSTERBOTTENS LÄN</t>
        </is>
      </c>
      <c r="G252" t="inlineStr">
        <is>
          <t>DOROTEA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46251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46251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19657-2025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45770</v>
      </c>
      <c r="E255" s="1" t="n">
        <v>46251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46251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7.8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45351</v>
      </c>
      <c r="E257" s="1" t="n">
        <v>46251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46251</v>
      </c>
      <c r="F258" t="inlineStr">
        <is>
          <t>VÄSTERBOTTENS LÄN</t>
        </is>
      </c>
      <c r="G258" t="inlineStr">
        <is>
          <t>DOROTEA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46251</v>
      </c>
      <c r="F259" t="inlineStr">
        <is>
          <t>VÄSTERBOTTENS LÄN</t>
        </is>
      </c>
      <c r="G259" t="inlineStr">
        <is>
          <t>DOROTEA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46251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46251</v>
      </c>
      <c r="F261" t="inlineStr">
        <is>
          <t>VÄSTERBOTTENS LÄN</t>
        </is>
      </c>
      <c r="G261" t="inlineStr">
        <is>
          <t>DOROTEA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20327-2026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46251</v>
      </c>
      <c r="F262" t="inlineStr">
        <is>
          <t>VÄSTERBOTTENS LÄN</t>
        </is>
      </c>
      <c r="G262" t="inlineStr">
        <is>
          <t>DOROTEA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46010</v>
      </c>
      <c r="E263" s="1" t="n">
        <v>46251</v>
      </c>
      <c r="F263" t="inlineStr">
        <is>
          <t>VÄSTERBOTTENS LÄN</t>
        </is>
      </c>
      <c r="G263" t="inlineStr">
        <is>
          <t>DOROTEA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46251</v>
      </c>
      <c r="F264" t="inlineStr">
        <is>
          <t>VÄSTERBOTTENS LÄN</t>
        </is>
      </c>
      <c r="G264" t="inlineStr">
        <is>
          <t>DOROTEA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45013</v>
      </c>
      <c r="E265" s="1" t="n">
        <v>46251</v>
      </c>
      <c r="F265" t="inlineStr">
        <is>
          <t>VÄSTERBOTTENS LÄN</t>
        </is>
      </c>
      <c r="G265" t="inlineStr">
        <is>
          <t>DOROTEA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46251</v>
      </c>
      <c r="F266" t="inlineStr">
        <is>
          <t>VÄSTERBOTTENS LÄN</t>
        </is>
      </c>
      <c r="G266" t="inlineStr">
        <is>
          <t>DOROTEA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46091</v>
      </c>
      <c r="E267" s="1" t="n">
        <v>46251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59395-2023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45253</v>
      </c>
      <c r="E268" s="1" t="n">
        <v>46251</v>
      </c>
      <c r="F268" t="inlineStr">
        <is>
          <t>VÄSTERBOTTENS LÄN</t>
        </is>
      </c>
      <c r="G268" t="inlineStr">
        <is>
          <t>DOROTEA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59397-2023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45253</v>
      </c>
      <c r="E269" s="1" t="n">
        <v>46251</v>
      </c>
      <c r="F269" t="inlineStr">
        <is>
          <t>VÄSTERBOTTENS LÄN</t>
        </is>
      </c>
      <c r="G269" t="inlineStr">
        <is>
          <t>DOROTEA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46051</v>
      </c>
      <c r="E270" s="1" t="n">
        <v>46251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46051</v>
      </c>
      <c r="E271" s="1" t="n">
        <v>46251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44889</v>
      </c>
      <c r="E272" s="1" t="n">
        <v>46251</v>
      </c>
      <c r="F272" t="inlineStr">
        <is>
          <t>VÄSTERBOTTENS LÄN</t>
        </is>
      </c>
      <c r="G272" t="inlineStr">
        <is>
          <t>DOROTEA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46251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46054</v>
      </c>
      <c r="E274" s="1" t="n">
        <v>46251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45055</v>
      </c>
      <c r="E275" s="1" t="n">
        <v>46251</v>
      </c>
      <c r="F275" t="inlineStr">
        <is>
          <t>VÄSTERBOTTENS LÄN</t>
        </is>
      </c>
      <c r="G275" t="inlineStr">
        <is>
          <t>DOROTEA</t>
        </is>
      </c>
      <c r="H275" t="inlineStr">
        <is>
          <t>Övriga statliga verk och myndigheter</t>
        </is>
      </c>
      <c r="I275" t="n">
        <v>13.9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53272-2024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46251</v>
      </c>
      <c r="F276" t="inlineStr">
        <is>
          <t>VÄSTERBOTTENS LÄN</t>
        </is>
      </c>
      <c r="G276" t="inlineStr">
        <is>
          <t>DOROTEA</t>
        </is>
      </c>
      <c r="I276" t="n">
        <v>31.7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67686-2021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44524</v>
      </c>
      <c r="E277" s="1" t="n">
        <v>46251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44888</v>
      </c>
      <c r="E278" s="1" t="n">
        <v>46251</v>
      </c>
      <c r="F278" t="inlineStr">
        <is>
          <t>VÄSTERBOTTENS LÄN</t>
        </is>
      </c>
      <c r="G278" t="inlineStr">
        <is>
          <t>DOROTEA</t>
        </is>
      </c>
      <c r="I278" t="n">
        <v>15.8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32821-2024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45516</v>
      </c>
      <c r="E279" s="1" t="n">
        <v>46251</v>
      </c>
      <c r="F279" t="inlineStr">
        <is>
          <t>VÄSTERBOTTENS LÄN</t>
        </is>
      </c>
      <c r="G279" t="inlineStr">
        <is>
          <t>DOROTEA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57376-2022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44889</v>
      </c>
      <c r="E280" s="1" t="n">
        <v>46251</v>
      </c>
      <c r="F280" t="inlineStr">
        <is>
          <t>VÄSTERBOTTENS LÄN</t>
        </is>
      </c>
      <c r="G280" t="inlineStr">
        <is>
          <t>DOROTEA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46251</v>
      </c>
      <c r="F281" t="inlineStr">
        <is>
          <t>VÄSTERBOTTENS LÄN</t>
        </is>
      </c>
      <c r="G281" t="inlineStr">
        <is>
          <t>DOROTEA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45244</v>
      </c>
      <c r="E282" s="1" t="n">
        <v>46251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46251</v>
      </c>
      <c r="F283" t="inlineStr">
        <is>
          <t>VÄSTERBOTTENS LÄN</t>
        </is>
      </c>
      <c r="G283" t="inlineStr">
        <is>
          <t>DOROTEA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46251</v>
      </c>
      <c r="F284" t="inlineStr">
        <is>
          <t>VÄSTERBOTTENS LÄN</t>
        </is>
      </c>
      <c r="G284" t="inlineStr">
        <is>
          <t>DOROTEA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46251</v>
      </c>
      <c r="F285" t="inlineStr">
        <is>
          <t>VÄSTERBOTTENS LÄN</t>
        </is>
      </c>
      <c r="G285" t="inlineStr">
        <is>
          <t>DOROTEA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45125</v>
      </c>
      <c r="E286" s="1" t="n">
        <v>46251</v>
      </c>
      <c r="F286" t="inlineStr">
        <is>
          <t>VÄSTERBOTTENS LÄN</t>
        </is>
      </c>
      <c r="G286" t="inlineStr">
        <is>
          <t>DOROTEA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46251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45142</v>
      </c>
      <c r="E288" s="1" t="n">
        <v>46251</v>
      </c>
      <c r="F288" t="inlineStr">
        <is>
          <t>VÄSTERBOTTENS LÄN</t>
        </is>
      </c>
      <c r="G288" t="inlineStr">
        <is>
          <t>DOROTEA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30570-2023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45111</v>
      </c>
      <c r="E289" s="1" t="n">
        <v>46251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43211-2021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44431</v>
      </c>
      <c r="E290" s="1" t="n">
        <v>46251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45714</v>
      </c>
      <c r="E291" s="1" t="n">
        <v>46251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46251</v>
      </c>
      <c r="F292" t="inlineStr">
        <is>
          <t>VÄSTERBOTTENS LÄN</t>
        </is>
      </c>
      <c r="G292" t="inlineStr">
        <is>
          <t>DOROTEA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45705</v>
      </c>
      <c r="E293" s="1" t="n">
        <v>46251</v>
      </c>
      <c r="F293" t="inlineStr">
        <is>
          <t>VÄSTERBOTTENS LÄN</t>
        </is>
      </c>
      <c r="G293" t="inlineStr">
        <is>
          <t>DOROTEA</t>
        </is>
      </c>
      <c r="I293" t="n">
        <v>13.3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45876</v>
      </c>
      <c r="E294" s="1" t="n">
        <v>46251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52276-2023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45217</v>
      </c>
      <c r="E295" s="1" t="n">
        <v>46251</v>
      </c>
      <c r="F295" t="inlineStr">
        <is>
          <t>VÄSTERBOTTENS LÄN</t>
        </is>
      </c>
      <c r="G295" t="inlineStr">
        <is>
          <t>DOROTEA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8247-2024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45351</v>
      </c>
      <c r="E296" s="1" t="n">
        <v>46251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46251</v>
      </c>
      <c r="F297" t="inlineStr">
        <is>
          <t>VÄSTERBOTTENS LÄN</t>
        </is>
      </c>
      <c r="G297" t="inlineStr">
        <is>
          <t>DOROTEA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46251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46251</v>
      </c>
      <c r="F299" t="inlineStr">
        <is>
          <t>VÄSTERBOTTENS LÄN</t>
        </is>
      </c>
      <c r="G299" t="inlineStr">
        <is>
          <t>DOROTEA</t>
        </is>
      </c>
      <c r="I299" t="n">
        <v>20.1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46251</v>
      </c>
      <c r="F300" t="inlineStr">
        <is>
          <t>VÄSTERBOTTENS LÄN</t>
        </is>
      </c>
      <c r="G300" t="inlineStr">
        <is>
          <t>DOROTEA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44876</v>
      </c>
      <c r="E301" s="1" t="n">
        <v>46251</v>
      </c>
      <c r="F301" t="inlineStr">
        <is>
          <t>VÄSTERBOTTENS LÄN</t>
        </is>
      </c>
      <c r="G301" t="inlineStr">
        <is>
          <t>DOROTEA</t>
        </is>
      </c>
      <c r="I301" t="n">
        <v>12.3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46251</v>
      </c>
      <c r="F302" t="inlineStr">
        <is>
          <t>VÄSTERBOTTENS LÄN</t>
        </is>
      </c>
      <c r="G302" t="inlineStr">
        <is>
          <t>DOROTEA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46251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46251</v>
      </c>
      <c r="F304" t="inlineStr">
        <is>
          <t>VÄSTERBOTTENS LÄN</t>
        </is>
      </c>
      <c r="G304" t="inlineStr">
        <is>
          <t>DOROTEA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46251</v>
      </c>
      <c r="F305" t="inlineStr">
        <is>
          <t>VÄSTERBOTTENS LÄN</t>
        </is>
      </c>
      <c r="G305" t="inlineStr">
        <is>
          <t>DOROTEA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46251</v>
      </c>
      <c r="F306" t="inlineStr">
        <is>
          <t>VÄSTERBOTTENS LÄN</t>
        </is>
      </c>
      <c r="G306" t="inlineStr">
        <is>
          <t>DOROTEA</t>
        </is>
      </c>
      <c r="I306" t="n">
        <v>21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46251</v>
      </c>
      <c r="F307" t="inlineStr">
        <is>
          <t>VÄSTERBOTTENS LÄN</t>
        </is>
      </c>
      <c r="G307" t="inlineStr">
        <is>
          <t>DOROTEA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46251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46251</v>
      </c>
      <c r="F309" t="inlineStr">
        <is>
          <t>VÄSTERBOTTENS LÄN</t>
        </is>
      </c>
      <c r="G309" t="inlineStr">
        <is>
          <t>DOROTEA</t>
        </is>
      </c>
      <c r="I309" t="n">
        <v>17.8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46251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46251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46251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46147</v>
      </c>
      <c r="E313" s="1" t="n">
        <v>46251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17591-2025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45757</v>
      </c>
      <c r="E314" s="1" t="n">
        <v>46251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45036</v>
      </c>
      <c r="E315" s="1" t="n">
        <v>46251</v>
      </c>
      <c r="F315" t="inlineStr">
        <is>
          <t>VÄSTERBOTTENS LÄN</t>
        </is>
      </c>
      <c r="G315" t="inlineStr">
        <is>
          <t>DOROTEA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46147</v>
      </c>
      <c r="E316" s="1" t="n">
        <v>46251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21749-2026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46149</v>
      </c>
      <c r="E317" s="1" t="n">
        <v>46251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46251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22450-2024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45446</v>
      </c>
      <c r="E319" s="1" t="n">
        <v>46251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46150</v>
      </c>
      <c r="E320" s="1" t="n">
        <v>46251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45642</v>
      </c>
      <c r="E321" s="1" t="n">
        <v>46251</v>
      </c>
      <c r="F321" t="inlineStr">
        <is>
          <t>VÄSTERBOTTENS LÄN</t>
        </is>
      </c>
      <c r="G321" t="inlineStr">
        <is>
          <t>DOROTEA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41771-2024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45561</v>
      </c>
      <c r="E322" s="1" t="n">
        <v>46251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55919-2023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45239</v>
      </c>
      <c r="E323" s="1" t="n">
        <v>46251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46189</v>
      </c>
      <c r="E324" s="1" t="n">
        <v>46251</v>
      </c>
      <c r="F324" t="inlineStr">
        <is>
          <t>VÄSTERBOTTENS LÄN</t>
        </is>
      </c>
      <c r="G324" t="inlineStr">
        <is>
          <t>DOROTEA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27777-2026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46189</v>
      </c>
      <c r="E325" s="1" t="n">
        <v>46251</v>
      </c>
      <c r="F325" t="inlineStr">
        <is>
          <t>VÄSTERBOTTENS LÄN</t>
        </is>
      </c>
      <c r="G325" t="inlineStr">
        <is>
          <t>DOROTEA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46189</v>
      </c>
      <c r="E326" s="1" t="n">
        <v>46251</v>
      </c>
      <c r="F326" t="inlineStr">
        <is>
          <t>VÄSTERBOTTENS LÄN</t>
        </is>
      </c>
      <c r="G326" t="inlineStr">
        <is>
          <t>DOROTEA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46251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60015-2023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45257</v>
      </c>
      <c r="E328" s="1" t="n">
        <v>46251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46251</v>
      </c>
      <c r="F329" t="inlineStr">
        <is>
          <t>VÄSTERBOTTENS LÄN</t>
        </is>
      </c>
      <c r="G329" t="inlineStr">
        <is>
          <t>DOROTEA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46251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55888-2022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44888</v>
      </c>
      <c r="E331" s="1" t="n">
        <v>46251</v>
      </c>
      <c r="F331" t="inlineStr">
        <is>
          <t>VÄSTERBOTTENS LÄN</t>
        </is>
      </c>
      <c r="G331" t="inlineStr">
        <is>
          <t>DOROTEA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22214-2026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46251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44960</v>
      </c>
      <c r="E333" s="1" t="n">
        <v>46251</v>
      </c>
      <c r="F333" t="inlineStr">
        <is>
          <t>VÄSTERBOTTENS LÄN</t>
        </is>
      </c>
      <c r="G333" t="inlineStr">
        <is>
          <t>DOROTEA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45747</v>
      </c>
      <c r="E334" s="1" t="n">
        <v>46251</v>
      </c>
      <c r="F334" t="inlineStr">
        <is>
          <t>VÄSTERBOTTENS LÄN</t>
        </is>
      </c>
      <c r="G334" t="inlineStr">
        <is>
          <t>DOROTEA</t>
        </is>
      </c>
      <c r="I334" t="n">
        <v>10.3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45315</v>
      </c>
      <c r="E335" s="1" t="n">
        <v>46251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46155</v>
      </c>
      <c r="E336" s="1" t="n">
        <v>46251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46251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15735-2026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46251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46251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46251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46251</v>
      </c>
      <c r="F341" t="inlineStr">
        <is>
          <t>VÄSTERBOTTENS LÄN</t>
        </is>
      </c>
      <c r="G341" t="inlineStr">
        <is>
          <t>DOROTEA</t>
        </is>
      </c>
      <c r="I341" t="n">
        <v>28.8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45882</v>
      </c>
      <c r="E342" s="1" t="n">
        <v>46251</v>
      </c>
      <c r="F342" t="inlineStr">
        <is>
          <t>VÄSTERBOTTENS LÄN</t>
        </is>
      </c>
      <c r="G342" t="inlineStr">
        <is>
          <t>DOROTEA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31497-2024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45505</v>
      </c>
      <c r="E343" s="1" t="n">
        <v>46251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46251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46251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27305-2024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45471</v>
      </c>
      <c r="E346" s="1" t="n">
        <v>46251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44979</v>
      </c>
      <c r="E347" s="1" t="n">
        <v>46251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46251</v>
      </c>
      <c r="F348" t="inlineStr">
        <is>
          <t>VÄSTERBOTTENS LÄN</t>
        </is>
      </c>
      <c r="G348" t="inlineStr">
        <is>
          <t>DOROTEA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30461-2024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45491</v>
      </c>
      <c r="E349" s="1" t="n">
        <v>46251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45962</v>
      </c>
      <c r="E350" s="1" t="n">
        <v>46251</v>
      </c>
      <c r="F350" t="inlineStr">
        <is>
          <t>VÄSTERBOTTENS LÄN</t>
        </is>
      </c>
      <c r="G350" t="inlineStr">
        <is>
          <t>DOROTEA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43944-2024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45572</v>
      </c>
      <c r="E351" s="1" t="n">
        <v>46251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45478</v>
      </c>
      <c r="E352" s="1" t="n">
        <v>46251</v>
      </c>
      <c r="F352" t="inlineStr">
        <is>
          <t>VÄSTERBOTTENS LÄN</t>
        </is>
      </c>
      <c r="G352" t="inlineStr">
        <is>
          <t>DOROTEA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23214-2026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46162</v>
      </c>
      <c r="E353" s="1" t="n">
        <v>46251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53382-2024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46251</v>
      </c>
      <c r="F354" t="inlineStr">
        <is>
          <t>VÄSTERBOTTENS LÄN</t>
        </is>
      </c>
      <c r="G354" t="inlineStr">
        <is>
          <t>DOROTEA</t>
        </is>
      </c>
      <c r="I354" t="n">
        <v>11.2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46251</v>
      </c>
      <c r="F355" t="inlineStr">
        <is>
          <t>VÄSTERBOTTENS LÄN</t>
        </is>
      </c>
      <c r="G355" t="inlineStr">
        <is>
          <t>DOROTEA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45036</v>
      </c>
      <c r="E356" s="1" t="n">
        <v>46251</v>
      </c>
      <c r="F356" t="inlineStr">
        <is>
          <t>VÄSTERBOTTENS LÄN</t>
        </is>
      </c>
      <c r="G356" t="inlineStr">
        <is>
          <t>DOROTEA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46251</v>
      </c>
      <c r="F357" t="inlineStr">
        <is>
          <t>VÄSTERBOTTENS LÄN</t>
        </is>
      </c>
      <c r="G357" t="inlineStr">
        <is>
          <t>DOROTEA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50582-2024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45600</v>
      </c>
      <c r="E358" s="1" t="n">
        <v>46251</v>
      </c>
      <c r="F358" t="inlineStr">
        <is>
          <t>VÄSTERBOTTENS LÄN</t>
        </is>
      </c>
      <c r="G358" t="inlineStr">
        <is>
          <t>DOROTEA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42104-2024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45562</v>
      </c>
      <c r="E359" s="1" t="n">
        <v>46251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46211</v>
      </c>
      <c r="E360" s="1" t="n">
        <v>46251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45556</v>
      </c>
      <c r="E361" s="1" t="n">
        <v>46251</v>
      </c>
      <c r="F361" t="inlineStr">
        <is>
          <t>VÄSTERBOTTENS LÄN</t>
        </is>
      </c>
      <c r="G361" t="inlineStr">
        <is>
          <t>DOROTEA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46211</v>
      </c>
      <c r="E362" s="1" t="n">
        <v>46251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30821-2026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46212</v>
      </c>
      <c r="E363" s="1" t="n">
        <v>46251</v>
      </c>
      <c r="F363" t="inlineStr">
        <is>
          <t>VÄSTERBOTTENS LÄN</t>
        </is>
      </c>
      <c r="G363" t="inlineStr">
        <is>
          <t>DOROTEA</t>
        </is>
      </c>
      <c r="I363" t="n">
        <v>8.4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46212</v>
      </c>
      <c r="E364" s="1" t="n">
        <v>46251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46251</v>
      </c>
      <c r="F365" t="inlineStr">
        <is>
          <t>VÄSTERBOTTENS LÄN</t>
        </is>
      </c>
      <c r="G365" t="inlineStr">
        <is>
          <t>DOROTEA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46209</v>
      </c>
      <c r="E366" s="1" t="n">
        <v>46251</v>
      </c>
      <c r="F366" t="inlineStr">
        <is>
          <t>VÄSTERBOTTENS LÄN</t>
        </is>
      </c>
      <c r="G366" t="inlineStr">
        <is>
          <t>DOROTEA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45789</v>
      </c>
      <c r="E367" s="1" t="n">
        <v>46251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45771</v>
      </c>
      <c r="E368" s="1" t="n">
        <v>46251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45792</v>
      </c>
      <c r="E369" s="1" t="n">
        <v>46251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29737-2024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45485</v>
      </c>
      <c r="E370" s="1" t="n">
        <v>46251</v>
      </c>
      <c r="F370" t="inlineStr">
        <is>
          <t>VÄSTERBOTTENS LÄN</t>
        </is>
      </c>
      <c r="G370" t="inlineStr">
        <is>
          <t>DOROTEA</t>
        </is>
      </c>
      <c r="I370" t="n">
        <v>10.2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46213</v>
      </c>
      <c r="E371" s="1" t="n">
        <v>46251</v>
      </c>
      <c r="F371" t="inlineStr">
        <is>
          <t>VÄSTERBOTTENS LÄN</t>
        </is>
      </c>
      <c r="G371" t="inlineStr">
        <is>
          <t>DOROTEA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44645</v>
      </c>
      <c r="E372" s="1" t="n">
        <v>46251</v>
      </c>
      <c r="F372" t="inlineStr">
        <is>
          <t>VÄSTERBOTTENS LÄN</t>
        </is>
      </c>
      <c r="G372" t="inlineStr">
        <is>
          <t>DOROTEA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46966-2024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45586</v>
      </c>
      <c r="E373" s="1" t="n">
        <v>46251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Sveaskog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34820-2023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45140</v>
      </c>
      <c r="E374" s="1" t="n">
        <v>46251</v>
      </c>
      <c r="F374" t="inlineStr">
        <is>
          <t>VÄSTERBOTTENS LÄN</t>
        </is>
      </c>
      <c r="G374" t="inlineStr">
        <is>
          <t>DOROTEA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46213</v>
      </c>
      <c r="E375" s="1" t="n">
        <v>46251</v>
      </c>
      <c r="F375" t="inlineStr">
        <is>
          <t>VÄSTERBOTTENS LÄN</t>
        </is>
      </c>
      <c r="G375" t="inlineStr">
        <is>
          <t>DOROTEA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45551</v>
      </c>
      <c r="E376" s="1" t="n">
        <v>46251</v>
      </c>
      <c r="F376" t="inlineStr">
        <is>
          <t>VÄSTERBOTTENS LÄN</t>
        </is>
      </c>
      <c r="G376" t="inlineStr">
        <is>
          <t>DOROTEA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45517</v>
      </c>
      <c r="E377" s="1" t="n">
        <v>46251</v>
      </c>
      <c r="F377" t="inlineStr">
        <is>
          <t>VÄSTERBOTTENS LÄN</t>
        </is>
      </c>
      <c r="G377" t="inlineStr">
        <is>
          <t>DOROTEA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46251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53380-2024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46251</v>
      </c>
      <c r="F379" t="inlineStr">
        <is>
          <t>VÄSTERBOTTENS LÄN</t>
        </is>
      </c>
      <c r="G379" t="inlineStr">
        <is>
          <t>DOROTEA</t>
        </is>
      </c>
      <c r="I379" t="n">
        <v>12.8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31179-2026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46217</v>
      </c>
      <c r="E380" s="1" t="n">
        <v>46251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9103-2023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44979</v>
      </c>
      <c r="E381" s="1" t="n">
        <v>46251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10649-2025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45721</v>
      </c>
      <c r="E382" s="1" t="n">
        <v>46251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12.2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46251</v>
      </c>
      <c r="F383" t="inlineStr">
        <is>
          <t>VÄSTERBOTTENS LÄN</t>
        </is>
      </c>
      <c r="G383" t="inlineStr">
        <is>
          <t>DOROTEA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46217</v>
      </c>
      <c r="E384" s="1" t="n">
        <v>46251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46251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46218</v>
      </c>
      <c r="E386" s="1" t="n">
        <v>46251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46251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46251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45331</v>
      </c>
      <c r="E389" s="1" t="n">
        <v>46251</v>
      </c>
      <c r="F389" t="inlineStr">
        <is>
          <t>VÄSTERBOTTENS LÄN</t>
        </is>
      </c>
      <c r="G389" t="inlineStr">
        <is>
          <t>DOROTEA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46218</v>
      </c>
      <c r="E390" s="1" t="n">
        <v>46251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46251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31439-2026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46220</v>
      </c>
      <c r="E392" s="1" t="n">
        <v>46251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10.1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45075</v>
      </c>
      <c r="E393" s="1" t="n">
        <v>46251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17658-2023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46251</v>
      </c>
      <c r="F394" t="inlineStr">
        <is>
          <t>VÄSTERBOTTENS LÄN</t>
        </is>
      </c>
      <c r="G394" t="inlineStr">
        <is>
          <t>DOROTEA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46251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35990-2023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46251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46251</v>
      </c>
      <c r="F397" t="inlineStr">
        <is>
          <t>VÄSTERBOTTENS LÄN</t>
        </is>
      </c>
      <c r="G397" t="inlineStr">
        <is>
          <t>DOROTEA</t>
        </is>
      </c>
      <c r="I397" t="n">
        <v>26.2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53357-2024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45614</v>
      </c>
      <c r="E398" s="1" t="n">
        <v>46251</v>
      </c>
      <c r="F398" t="inlineStr">
        <is>
          <t>VÄSTERBOTTENS LÄN</t>
        </is>
      </c>
      <c r="G398" t="inlineStr">
        <is>
          <t>DOROTEA</t>
        </is>
      </c>
      <c r="I398" t="n">
        <v>26.5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45805</v>
      </c>
      <c r="E399" s="1" t="n">
        <v>46251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46224</v>
      </c>
      <c r="E400" s="1" t="n">
        <v>46251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46224</v>
      </c>
      <c r="E401" s="1" t="n">
        <v>46251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26124-2026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46251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45807</v>
      </c>
      <c r="E403" s="1" t="n">
        <v>46251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45807</v>
      </c>
      <c r="E404" s="1" t="n">
        <v>46251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45664</v>
      </c>
      <c r="E405" s="1" t="n">
        <v>46251</v>
      </c>
      <c r="F405" t="inlineStr">
        <is>
          <t>VÄSTERBOTTENS LÄN</t>
        </is>
      </c>
      <c r="G405" t="inlineStr">
        <is>
          <t>DOROTEA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46251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31575-2026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46224</v>
      </c>
      <c r="E407" s="1" t="n">
        <v>46251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14759-2025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45742</v>
      </c>
      <c r="E408" s="1" t="n">
        <v>46251</v>
      </c>
      <c r="F408" t="inlineStr">
        <is>
          <t>VÄSTERBOTTENS LÄN</t>
        </is>
      </c>
      <c r="G408" t="inlineStr">
        <is>
          <t>DOROTEA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46251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45672</v>
      </c>
      <c r="E410" s="1" t="n">
        <v>46251</v>
      </c>
      <c r="F410" t="inlineStr">
        <is>
          <t>VÄSTERBOTTENS LÄN</t>
        </is>
      </c>
      <c r="G410" t="inlineStr">
        <is>
          <t>DOROTEA</t>
        </is>
      </c>
      <c r="H410" t="inlineStr">
        <is>
          <t>Kommuner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46251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45817</v>
      </c>
      <c r="E412" s="1" t="n">
        <v>46251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46251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12118-2025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45729</v>
      </c>
      <c r="E414" s="1" t="n">
        <v>46251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45824</v>
      </c>
      <c r="E415" s="1" t="n">
        <v>46251</v>
      </c>
      <c r="F415" t="inlineStr">
        <is>
          <t>VÄSTERBOTTENS LÄN</t>
        </is>
      </c>
      <c r="G415" t="inlineStr">
        <is>
          <t>DOROTEA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26926-2026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46185</v>
      </c>
      <c r="E416" s="1" t="n">
        <v>46251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7.4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45833</v>
      </c>
      <c r="E417" s="1" t="n">
        <v>46251</v>
      </c>
      <c r="F417" t="inlineStr">
        <is>
          <t>VÄSTERBOTTENS LÄN</t>
        </is>
      </c>
      <c r="G417" t="inlineStr">
        <is>
          <t>DOROTEA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45833</v>
      </c>
      <c r="E418" s="1" t="n">
        <v>46251</v>
      </c>
      <c r="F418" t="inlineStr">
        <is>
          <t>VÄSTERBOTTENS LÄN</t>
        </is>
      </c>
      <c r="G418" t="inlineStr">
        <is>
          <t>DOROTEA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27738-2026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46191</v>
      </c>
      <c r="E419" s="1" t="n">
        <v>46251</v>
      </c>
      <c r="F419" t="inlineStr">
        <is>
          <t>VÄSTERBOTTENS LÄN</t>
        </is>
      </c>
      <c r="G419" t="inlineStr">
        <is>
          <t>DOROTEA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45840</v>
      </c>
      <c r="E420" s="1" t="n">
        <v>46251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46251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27558-2022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44742</v>
      </c>
      <c r="E422" s="1" t="n">
        <v>46251</v>
      </c>
      <c r="F422" t="inlineStr">
        <is>
          <t>VÄSTERBOTTENS LÄN</t>
        </is>
      </c>
      <c r="G422" t="inlineStr">
        <is>
          <t>DOROTEA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45846</v>
      </c>
      <c r="E423" s="1" t="n">
        <v>46251</v>
      </c>
      <c r="F423" t="inlineStr">
        <is>
          <t>VÄSTERBOTTENS LÄN</t>
        </is>
      </c>
      <c r="G423" t="inlineStr">
        <is>
          <t>DOROTEA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46251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45223</v>
      </c>
      <c r="E425" s="1" t="n">
        <v>46251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34681-2025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45848</v>
      </c>
      <c r="E426" s="1" t="n">
        <v>46251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45847</v>
      </c>
      <c r="E427" s="1" t="n">
        <v>46251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45849</v>
      </c>
      <c r="E428" s="1" t="n">
        <v>46251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45852</v>
      </c>
      <c r="E429" s="1" t="n">
        <v>46251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46251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49.5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35418-2025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45855</v>
      </c>
      <c r="E431" s="1" t="n">
        <v>46251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35456-2025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45855</v>
      </c>
      <c r="E432" s="1" t="n">
        <v>46251</v>
      </c>
      <c r="F432" t="inlineStr">
        <is>
          <t>VÄSTERBOTTENS LÄN</t>
        </is>
      </c>
      <c r="G432" t="inlineStr">
        <is>
          <t>DOROTEA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35438-2025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45855</v>
      </c>
      <c r="E433" s="1" t="n">
        <v>46251</v>
      </c>
      <c r="F433" t="inlineStr">
        <is>
          <t>VÄSTERBOTTENS LÄN</t>
        </is>
      </c>
      <c r="G433" t="inlineStr">
        <is>
          <t>DOROTEA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35458-2025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45855</v>
      </c>
      <c r="E434" s="1" t="n">
        <v>46251</v>
      </c>
      <c r="F434" t="inlineStr">
        <is>
          <t>VÄSTERBOTTENS LÄN</t>
        </is>
      </c>
      <c r="G434" t="inlineStr">
        <is>
          <t>DOROTEA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46251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36125-2025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45866</v>
      </c>
      <c r="E436" s="1" t="n">
        <v>46251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36111-2025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45866</v>
      </c>
      <c r="E437" s="1" t="n">
        <v>46251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46251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28783-2026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46251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36845-2025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45874</v>
      </c>
      <c r="E440" s="1" t="n">
        <v>46251</v>
      </c>
      <c r="F440" t="inlineStr">
        <is>
          <t>VÄSTERBOTTENS LÄN</t>
        </is>
      </c>
      <c r="G440" t="inlineStr">
        <is>
          <t>DOROTEA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36844-2025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45874</v>
      </c>
      <c r="E441" s="1" t="n">
        <v>46251</v>
      </c>
      <c r="F441" t="inlineStr">
        <is>
          <t>VÄSTERBOTTENS LÄN</t>
        </is>
      </c>
      <c r="G441" t="inlineStr">
        <is>
          <t>DOROTEA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46251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45875</v>
      </c>
      <c r="E443" s="1" t="n">
        <v>46251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37276-2025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45876</v>
      </c>
      <c r="E444" s="1" t="n">
        <v>46251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46251</v>
      </c>
      <c r="F445" t="inlineStr">
        <is>
          <t>VÄSTERBOTTENS LÄN</t>
        </is>
      </c>
      <c r="G445" t="inlineStr">
        <is>
          <t>DOROTEA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46251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9.300000000000001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46251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33514-2026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46248</v>
      </c>
      <c r="E448" s="1" t="n">
        <v>46251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46247</v>
      </c>
      <c r="E449" s="1" t="n">
        <v>46251</v>
      </c>
      <c r="F449" t="inlineStr">
        <is>
          <t>VÄSTERBOTTENS LÄN</t>
        </is>
      </c>
      <c r="G449" t="inlineStr">
        <is>
          <t>DOROTEA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46251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2945-2024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45506</v>
      </c>
      <c r="E451" s="1" t="n">
        <v>46251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1058-2025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45749</v>
      </c>
      <c r="E452" s="1" t="n">
        <v>46251</v>
      </c>
      <c r="F452" t="inlineStr">
        <is>
          <t>VÄSTERBOTTENS LÄN</t>
        </is>
      </c>
      <c r="G452" t="inlineStr">
        <is>
          <t>DOROTEA</t>
        </is>
      </c>
      <c r="I452" t="n">
        <v>10.9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844-2025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45733</v>
      </c>
      <c r="E453" s="1" t="n">
        <v>46251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1293.5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2195-2025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45858</v>
      </c>
      <c r="E454" s="1" t="n">
        <v>46251</v>
      </c>
      <c r="F454" t="inlineStr">
        <is>
          <t>VÄSTERBOTTENS LÄN</t>
        </is>
      </c>
      <c r="G454" t="inlineStr">
        <is>
          <t>DOROTEA</t>
        </is>
      </c>
      <c r="I454" t="n">
        <v>27.4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2283-2025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45876</v>
      </c>
      <c r="E455" s="1" t="n">
        <v>46251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2360-2025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45889</v>
      </c>
      <c r="E456" s="1" t="n">
        <v>46251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1763-2026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46189</v>
      </c>
      <c r="E457" s="1" t="n">
        <v>46251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2026-08-17T01:44:32Z</dcterms:created>
  <dcterms:modified xmlns:dcterms="http://purl.org/dc/terms/" xmlns:xsi="http://www.w3.org/2001/XMLSchema-instance" xsi:type="dcterms:W3CDTF">2026-08-17T01:44:33Z</dcterms:modified>
</cp:coreProperties>
</file>