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46315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46315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46315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46315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46315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46315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46315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46315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46315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46315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46315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46315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46315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46315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46315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46315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46315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46315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4828-2023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46315</v>
      </c>
      <c r="F20" t="inlineStr">
        <is>
          <t>VÄSTERBOTTENS LÄN</t>
        </is>
      </c>
      <c r="G20" t="inlineStr">
        <is>
          <t>DOROTEA</t>
        </is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Vitgrynig nållav
Spindelblomster</t>
        </is>
      </c>
      <c r="W20">
        <f>HYPERLINK("https://klasma.github.io/Logging_2425/artfynd/A 4828-2023 artfynd.xlsx", "A 4828-2023")</f>
        <v/>
      </c>
      <c r="X20">
        <f>HYPERLINK("https://klasma.github.io/Logging_2425/kartor/A 4828-2023 karta.png", "A 4828-2023")</f>
        <v/>
      </c>
      <c r="Y20">
        <f>HYPERLINK("https://klasma.github.io/Logging_2425/kartor_geotiff/A 4828-2023 georefererad karta.tif", "A 4828-2023")</f>
        <v/>
      </c>
      <c r="AA20">
        <f>HYPERLINK("https://klasma.github.io/Logging_2425/klagomål/A 4828-2023 FSC-klagomål.docx", "A 4828-2023")</f>
        <v/>
      </c>
      <c r="AB20">
        <f>HYPERLINK("https://klasma.github.io/Logging_2425/klagomålsmail/A 4828-2023 FSC-klagomål mail.docx", "A 4828-2023")</f>
        <v/>
      </c>
      <c r="AC20">
        <f>HYPERLINK("https://klasma.github.io/Logging_2425/tillsyn/A 4828-2023 tillsynsbegäran.docx", "A 4828-2023")</f>
        <v/>
      </c>
      <c r="AD20">
        <f>HYPERLINK("https://klasma.github.io/Logging_2425/tillsynsmail/A 4828-2023 tillsynsbegäran mail.docx", "A 4828-2023")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46315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46315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46315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46315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40013-2024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45553</v>
      </c>
      <c r="E25" s="1" t="n">
        <v>46315</v>
      </c>
      <c r="F25" t="inlineStr">
        <is>
          <t>VÄSTERBOTTENS LÄN</t>
        </is>
      </c>
      <c r="G25" t="inlineStr">
        <is>
          <t>DOROTEA</t>
        </is>
      </c>
      <c r="H25" t="inlineStr">
        <is>
          <t>Övriga statliga verk och myndigheter</t>
        </is>
      </c>
      <c r="I25" t="n">
        <v>1.5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Tretåig hackspett
Tjäder</t>
        </is>
      </c>
      <c r="W25">
        <f>HYPERLINK("https://klasma.github.io/Logging_2425/artfynd/A 40013-2024 artfynd.xlsx", "A 40013-2024")</f>
        <v/>
      </c>
      <c r="X25">
        <f>HYPERLINK("https://klasma.github.io/Logging_2425/kartor/A 40013-2024 karta.png", "A 40013-2024")</f>
        <v/>
      </c>
      <c r="Y25">
        <f>HYPERLINK("https://klasma.github.io/Logging_2425/kartor_geotiff/A 40013-2024 georefererad karta.tif", "A 40013-2024")</f>
        <v/>
      </c>
      <c r="AA25">
        <f>HYPERLINK("https://klasma.github.io/Logging_2425/klagomål/A 40013-2024 FSC-klagomål.docx", "A 40013-2024")</f>
        <v/>
      </c>
      <c r="AB25">
        <f>HYPERLINK("https://klasma.github.io/Logging_2425/klagomålsmail/A 40013-2024 FSC-klagomål mail.docx", "A 40013-2024")</f>
        <v/>
      </c>
      <c r="AC25">
        <f>HYPERLINK("https://klasma.github.io/Logging_2425/tillsyn/A 40013-2024 tillsynsbegäran.docx", "A 40013-2024")</f>
        <v/>
      </c>
      <c r="AD25">
        <f>HYPERLINK("https://klasma.github.io/Logging_2425/tillsynsmail/A 40013-2024 tillsynsbegäran mail.docx", "A 40013-2024")</f>
        <v/>
      </c>
      <c r="AE25">
        <f>HYPERLINK("https://klasma.github.io/Logging_2425/fåglar/A 40013-2024 prioriterade fågelarter.docx", "A 40013-2024")</f>
        <v/>
      </c>
    </row>
    <row r="26" ht="15" customHeight="1">
      <c r="A26" t="inlineStr">
        <is>
          <t>A 49045-2025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46315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4.5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Tretåig hackspett</t>
        </is>
      </c>
      <c r="W26">
        <f>HYPERLINK("https://klasma.github.io/Logging_2425/artfynd/A 49045-2025 artfynd.xlsx", "A 49045-2025")</f>
        <v/>
      </c>
      <c r="X26">
        <f>HYPERLINK("https://klasma.github.io/Logging_2425/kartor/A 49045-2025 karta.png", "A 49045-2025")</f>
        <v/>
      </c>
      <c r="Y26">
        <f>HYPERLINK("https://klasma.github.io/Logging_2425/kartor_geotiff/A 49045-2025 georefererad karta.tif", "A 49045-2025")</f>
        <v/>
      </c>
      <c r="AA26">
        <f>HYPERLINK("https://klasma.github.io/Logging_2425/klagomål/A 49045-2025 FSC-klagomål.docx", "A 49045-2025")</f>
        <v/>
      </c>
      <c r="AB26">
        <f>HYPERLINK("https://klasma.github.io/Logging_2425/klagomålsmail/A 49045-2025 FSC-klagomål mail.docx", "A 49045-2025")</f>
        <v/>
      </c>
      <c r="AC26">
        <f>HYPERLINK("https://klasma.github.io/Logging_2425/tillsyn/A 49045-2025 tillsynsbegäran.docx", "A 49045-2025")</f>
        <v/>
      </c>
      <c r="AD26">
        <f>HYPERLINK("https://klasma.github.io/Logging_2425/tillsynsmail/A 49045-2025 tillsynsbegäran mail.docx", "A 49045-2025")</f>
        <v/>
      </c>
      <c r="AE26">
        <f>HYPERLINK("https://klasma.github.io/Logging_2425/fåglar/A 49045-2025 prioriterade fågelarter.docx", "A 49045-2025")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46315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4554-2026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46047</v>
      </c>
      <c r="E28" s="1" t="n">
        <v>46315</v>
      </c>
      <c r="F28" t="inlineStr">
        <is>
          <t>VÄSTERBOTTENS LÄN</t>
        </is>
      </c>
      <c r="G28" t="inlineStr">
        <is>
          <t>DOROTEA</t>
        </is>
      </c>
      <c r="I28" t="n">
        <v>6.1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Violettkantad guldvinge
Kricka</t>
        </is>
      </c>
      <c r="W28">
        <f>HYPERLINK("https://klasma.github.io/Logging_2425/artfynd/A 4554-2026 artfynd.xlsx", "A 4554-2026")</f>
        <v/>
      </c>
      <c r="X28">
        <f>HYPERLINK("https://klasma.github.io/Logging_2425/kartor/A 4554-2026 karta.png", "A 4554-2026")</f>
        <v/>
      </c>
      <c r="Y28">
        <f>HYPERLINK("https://klasma.github.io/Logging_2425/kartor_geotiff/A 4554-2026 georefererad karta.tif", "A 4554-2026")</f>
        <v/>
      </c>
      <c r="AA28">
        <f>HYPERLINK("https://klasma.github.io/Logging_2425/klagomål/A 4554-2026 FSC-klagomål.docx", "A 4554-2026")</f>
        <v/>
      </c>
      <c r="AB28">
        <f>HYPERLINK("https://klasma.github.io/Logging_2425/klagomålsmail/A 4554-2026 FSC-klagomål mail.docx", "A 4554-2026")</f>
        <v/>
      </c>
      <c r="AC28">
        <f>HYPERLINK("https://klasma.github.io/Logging_2425/tillsyn/A 4554-2026 tillsynsbegäran.docx", "A 4554-2026")</f>
        <v/>
      </c>
      <c r="AD28">
        <f>HYPERLINK("https://klasma.github.io/Logging_2425/tillsynsmail/A 4554-2026 tillsynsbegäran mail.docx", "A 4554-2026")</f>
        <v/>
      </c>
      <c r="AE28">
        <f>HYPERLINK("https://klasma.github.io/Logging_2425/fåglar/A 4554-2026 prioriterade fågelarter.docx", "A 4554-2026")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46315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46315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46315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46315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46315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46315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46315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46315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46315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46315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46315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30286-2023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46315</v>
      </c>
      <c r="F40" t="inlineStr">
        <is>
          <t>VÄSTERBOTTENS LÄN</t>
        </is>
      </c>
      <c r="G40" t="inlineStr">
        <is>
          <t>DOROTEA</t>
        </is>
      </c>
      <c r="I40" t="n">
        <v>21.2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Skogsrör</t>
        </is>
      </c>
      <c r="W40">
        <f>HYPERLINK("https://klasma.github.io/Logging_2425/artfynd/A 30286-2023 artfynd.xlsx", "A 30286-2023")</f>
        <v/>
      </c>
      <c r="X40">
        <f>HYPERLINK("https://klasma.github.io/Logging_2425/kartor/A 30286-2023 karta.png", "A 30286-2023")</f>
        <v/>
      </c>
      <c r="Y40">
        <f>HYPERLINK("https://klasma.github.io/Logging_2425/kartor_geotiff/A 30286-2023 georefererad karta.tif", "A 30286-2023")</f>
        <v/>
      </c>
      <c r="AA40">
        <f>HYPERLINK("https://klasma.github.io/Logging_2425/klagomål/A 30286-2023 FSC-klagomål.docx", "A 30286-2023")</f>
        <v/>
      </c>
      <c r="AB40">
        <f>HYPERLINK("https://klasma.github.io/Logging_2425/klagomålsmail/A 30286-2023 FSC-klagomål mail.docx", "A 30286-2023")</f>
        <v/>
      </c>
      <c r="AC40">
        <f>HYPERLINK("https://klasma.github.io/Logging_2425/tillsyn/A 30286-2023 tillsynsbegäran.docx", "A 30286-2023")</f>
        <v/>
      </c>
      <c r="AD40">
        <f>HYPERLINK("https://klasma.github.io/Logging_2425/tillsynsmail/A 30286-2023 tillsynsbegäran mail.docx", "A 30286-2023")</f>
        <v/>
      </c>
    </row>
    <row r="41" ht="15" customHeight="1">
      <c r="A41" t="inlineStr">
        <is>
          <t>A 36318-2024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46315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8</v>
      </c>
      <c r="U41" t="n">
        <v>8</v>
      </c>
      <c r="V41" s="2" t="inlineStr">
        <is>
          <t>Garnlav</t>
        </is>
      </c>
      <c r="W41">
        <f>HYPERLINK("https://klasma.github.io/Logging_2425/artfynd/A 36318-2024 artfynd.xlsx", "A 36318-2024")</f>
        <v/>
      </c>
      <c r="X41">
        <f>HYPERLINK("https://klasma.github.io/Logging_2425/kartor/A 36318-2024 karta.png", "A 36318-2024")</f>
        <v/>
      </c>
      <c r="Y41">
        <f>HYPERLINK("https://klasma.github.io/Logging_2425/kartor_geotiff/A 36318-2024 georefererad karta.tif", "A 36318-2024")</f>
        <v/>
      </c>
      <c r="AA41">
        <f>HYPERLINK("https://klasma.github.io/Logging_2425/klagomål/A 36318-2024 FSC-klagomål.docx", "A 36318-2024")</f>
        <v/>
      </c>
      <c r="AB41">
        <f>HYPERLINK("https://klasma.github.io/Logging_2425/klagomålsmail/A 36318-2024 FSC-klagomål mail.docx", "A 36318-2024")</f>
        <v/>
      </c>
      <c r="AC41">
        <f>HYPERLINK("https://klasma.github.io/Logging_2425/tillsyn/A 36318-2024 tillsynsbegäran.docx", "A 36318-2024")</f>
        <v/>
      </c>
      <c r="AD41">
        <f>HYPERLINK("https://klasma.github.io/Logging_2425/tillsynsmail/A 36318-2024 tillsynsbegäran mail.docx", "A 36318-2024")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46315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46315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12005-2023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44994</v>
      </c>
      <c r="E44" s="1" t="n">
        <v>46315</v>
      </c>
      <c r="F44" t="inlineStr">
        <is>
          <t>VÄSTERBOTTENS LÄN</t>
        </is>
      </c>
      <c r="G44" t="inlineStr">
        <is>
          <t>DOROTEA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HYPERLINK("https://klasma.github.io/Logging_2425/artfynd/A 12005-2023 artfynd.xlsx", "A 12005-2023")</f>
        <v/>
      </c>
      <c r="X44">
        <f>HYPERLINK("https://klasma.github.io/Logging_2425/kartor/A 12005-2023 karta.png", "A 12005-2023")</f>
        <v/>
      </c>
      <c r="Y44">
        <f>HYPERLINK("https://klasma.github.io/Logging_2425/kartor_geotiff/A 12005-2023 georefererad karta.tif", "A 12005-2023")</f>
        <v/>
      </c>
      <c r="AA44">
        <f>HYPERLINK("https://klasma.github.io/Logging_2425/klagomål/A 12005-2023 FSC-klagomål.docx", "A 12005-2023")</f>
        <v/>
      </c>
      <c r="AB44">
        <f>HYPERLINK("https://klasma.github.io/Logging_2425/klagomålsmail/A 12005-2023 FSC-klagomål mail.docx", "A 12005-2023")</f>
        <v/>
      </c>
      <c r="AC44">
        <f>HYPERLINK("https://klasma.github.io/Logging_2425/tillsyn/A 12005-2023 tillsynsbegäran.docx", "A 12005-2023")</f>
        <v/>
      </c>
      <c r="AD44">
        <f>HYPERLINK("https://klasma.github.io/Logging_2425/tillsynsmail/A 12005-2023 tillsynsbegäran mail.docx", "A 12005-2023")</f>
        <v/>
      </c>
    </row>
    <row r="45" ht="15" customHeight="1">
      <c r="A45" t="inlineStr">
        <is>
          <t>A 57058-2024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46315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HYPERLINK("https://klasma.github.io/Logging_2425/artfynd/A 57058-2024 artfynd.xlsx", "A 57058-2024")</f>
        <v/>
      </c>
      <c r="X45">
        <f>HYPERLINK("https://klasma.github.io/Logging_2425/kartor/A 57058-2024 karta.png", "A 57058-2024")</f>
        <v/>
      </c>
      <c r="Y45">
        <f>HYPERLINK("https://klasma.github.io/Logging_2425/kartor_geotiff/A 57058-2024 georefererad karta.tif", "A 57058-2024")</f>
        <v/>
      </c>
      <c r="AA45">
        <f>HYPERLINK("https://klasma.github.io/Logging_2425/klagomål/A 57058-2024 FSC-klagomål.docx", "A 57058-2024")</f>
        <v/>
      </c>
      <c r="AB45">
        <f>HYPERLINK("https://klasma.github.io/Logging_2425/klagomålsmail/A 57058-2024 FSC-klagomål mail.docx", "A 57058-2024")</f>
        <v/>
      </c>
      <c r="AC45">
        <f>HYPERLINK("https://klasma.github.io/Logging_2425/tillsyn/A 57058-2024 tillsynsbegäran.docx", "A 57058-2024")</f>
        <v/>
      </c>
      <c r="AD45">
        <f>HYPERLINK("https://klasma.github.io/Logging_2425/tillsynsmail/A 57058-2024 tillsynsbegäran mail.docx", "A 57058-2024")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46315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46315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46815-2023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45198</v>
      </c>
      <c r="E48" s="1" t="n">
        <v>46315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46815-2023 artfynd.xlsx", "A 46815-2023")</f>
        <v/>
      </c>
      <c r="X48">
        <f>HYPERLINK("https://klasma.github.io/Logging_2425/kartor/A 46815-2023 karta.png", "A 46815-2023")</f>
        <v/>
      </c>
      <c r="Y48">
        <f>HYPERLINK("https://klasma.github.io/Logging_2425/kartor_geotiff/A 46815-2023 georefererad karta.tif", "A 46815-2023")</f>
        <v/>
      </c>
      <c r="AA48">
        <f>HYPERLINK("https://klasma.github.io/Logging_2425/klagomål/A 46815-2023 FSC-klagomål.docx", "A 46815-2023")</f>
        <v/>
      </c>
      <c r="AB48">
        <f>HYPERLINK("https://klasma.github.io/Logging_2425/klagomålsmail/A 46815-2023 FSC-klagomål mail.docx", "A 46815-2023")</f>
        <v/>
      </c>
      <c r="AC48">
        <f>HYPERLINK("https://klasma.github.io/Logging_2425/tillsyn/A 46815-2023 tillsynsbegäran.docx", "A 46815-2023")</f>
        <v/>
      </c>
      <c r="AD48">
        <f>HYPERLINK("https://klasma.github.io/Logging_2425/tillsynsmail/A 46815-2023 tillsynsbegäran mail.docx", "A 46815-2023")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46315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30357-2026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46315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Tajgahumla</t>
        </is>
      </c>
      <c r="W50">
        <f>HYPERLINK("https://klasma.github.io/Logging_2425/artfynd/A 30357-2026 artfynd.xlsx", "A 30357-2026")</f>
        <v/>
      </c>
      <c r="X50">
        <f>HYPERLINK("https://klasma.github.io/Logging_2425/kartor/A 30357-2026 karta.png", "A 30357-2026")</f>
        <v/>
      </c>
      <c r="Y50">
        <f>HYPERLINK("https://klasma.github.io/Logging_2425/kartor_geotiff/A 30357-2026 georefererad karta.tif", "A 30357-2026")</f>
        <v/>
      </c>
      <c r="AA50">
        <f>HYPERLINK("https://klasma.github.io/Logging_2425/klagomål/A 30357-2026 FSC-klagomål.docx", "A 30357-2026")</f>
        <v/>
      </c>
      <c r="AB50">
        <f>HYPERLINK("https://klasma.github.io/Logging_2425/klagomålsmail/A 30357-2026 FSC-klagomål mail.docx", "A 30357-2026")</f>
        <v/>
      </c>
      <c r="AC50">
        <f>HYPERLINK("https://klasma.github.io/Logging_2425/tillsyn/A 30357-2026 tillsynsbegäran.docx", "A 30357-2026")</f>
        <v/>
      </c>
      <c r="AD50">
        <f>HYPERLINK("https://klasma.github.io/Logging_2425/tillsynsmail/A 30357-2026 tillsynsbegäran mail.docx", "A 30357-2026")</f>
        <v/>
      </c>
    </row>
    <row r="51" ht="15" customHeight="1">
      <c r="A51" t="inlineStr">
        <is>
          <t>A 57060-2024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46315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57060-2024 artfynd.xlsx", "A 57060-2024")</f>
        <v/>
      </c>
      <c r="X51">
        <f>HYPERLINK("https://klasma.github.io/Logging_2425/kartor/A 57060-2024 karta.png", "A 57060-2024")</f>
        <v/>
      </c>
      <c r="Y51">
        <f>HYPERLINK("https://klasma.github.io/Logging_2425/kartor_geotiff/A 57060-2024 georefererad karta.tif", "A 57060-2024")</f>
        <v/>
      </c>
      <c r="AA51">
        <f>HYPERLINK("https://klasma.github.io/Logging_2425/klagomål/A 57060-2024 FSC-klagomål.docx", "A 57060-2024")</f>
        <v/>
      </c>
      <c r="AB51">
        <f>HYPERLINK("https://klasma.github.io/Logging_2425/klagomålsmail/A 57060-2024 FSC-klagomål mail.docx", "A 57060-2024")</f>
        <v/>
      </c>
      <c r="AC51">
        <f>HYPERLINK("https://klasma.github.io/Logging_2425/tillsyn/A 57060-2024 tillsynsbegäran.docx", "A 57060-2024")</f>
        <v/>
      </c>
      <c r="AD51">
        <f>HYPERLINK("https://klasma.github.io/Logging_2425/tillsynsmail/A 57060-2024 tillsynsbegäran mail.docx", "A 57060-2024")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46315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46315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46315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A 42536-2026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46308</v>
      </c>
      <c r="E55" s="1" t="n">
        <v>46315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8.6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Lappranunkel</t>
        </is>
      </c>
      <c r="W55">
        <f>HYPERLINK("https://klasma.github.io/Logging_2425/artfynd/A 42536-2026 artfynd.xlsx", "A 42536-2026")</f>
        <v/>
      </c>
      <c r="X55">
        <f>HYPERLINK("https://klasma.github.io/Logging_2425/kartor/A 42536-2026 karta.png", "A 42536-2026")</f>
        <v/>
      </c>
      <c r="Y55">
        <f>HYPERLINK("https://klasma.github.io/Logging_2425/kartor_geotiff/A 42536-2026 georefererad karta.tif", "A 42536-2026")</f>
        <v/>
      </c>
      <c r="AA55">
        <f>HYPERLINK("https://klasma.github.io/Logging_2425/klagomål/A 42536-2026 FSC-klagomål.docx", "A 42536-2026")</f>
        <v/>
      </c>
      <c r="AB55">
        <f>HYPERLINK("https://klasma.github.io/Logging_2425/klagomålsmail/A 42536-2026 FSC-klagomål mail.docx", "A 42536-2026")</f>
        <v/>
      </c>
      <c r="AC55">
        <f>HYPERLINK("https://klasma.github.io/Logging_2425/tillsyn/A 42536-2026 tillsynsbegäran.docx", "A 42536-2026")</f>
        <v/>
      </c>
      <c r="AD55">
        <f>HYPERLINK("https://klasma.github.io/Logging_2425/tillsynsmail/A 42536-2026 tillsynsbegäran mail.docx", "A 42536-2026")</f>
        <v/>
      </c>
    </row>
    <row r="56" ht="15" customHeight="1">
      <c r="A56" t="inlineStr">
        <is>
          <t>A 20600-2023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46315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Korallrot</t>
        </is>
      </c>
      <c r="W56">
        <f>HYPERLINK("https://klasma.github.io/Logging_2425/artfynd/A 20600-2023 artfynd.xlsx", "A 20600-2023")</f>
        <v/>
      </c>
      <c r="X56">
        <f>HYPERLINK("https://klasma.github.io/Logging_2425/kartor/A 20600-2023 karta.png", "A 20600-2023")</f>
        <v/>
      </c>
      <c r="Y56">
        <f>HYPERLINK("https://klasma.github.io/Logging_2425/kartor_geotiff/A 20600-2023 georefererad karta.tif", "A 20600-2023")</f>
        <v/>
      </c>
      <c r="AA56">
        <f>HYPERLINK("https://klasma.github.io/Logging_2425/klagomål/A 20600-2023 FSC-klagomål.docx", "A 20600-2023")</f>
        <v/>
      </c>
      <c r="AB56">
        <f>HYPERLINK("https://klasma.github.io/Logging_2425/klagomålsmail/A 20600-2023 FSC-klagomål mail.docx", "A 20600-2023")</f>
        <v/>
      </c>
      <c r="AC56">
        <f>HYPERLINK("https://klasma.github.io/Logging_2425/tillsyn/A 20600-2023 tillsynsbegäran.docx", "A 20600-2023")</f>
        <v/>
      </c>
      <c r="AD56">
        <f>HYPERLINK("https://klasma.github.io/Logging_2425/tillsynsmail/A 20600-2023 tillsynsbegäran mail.docx", "A 20600-2023")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46315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46315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46315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46315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46315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46315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46315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46315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46315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46315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46315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46315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46315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27199-2024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45471</v>
      </c>
      <c r="E70" s="1" t="n">
        <v>46315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45734</v>
      </c>
      <c r="E71" s="1" t="n">
        <v>46315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46315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46315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46315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46315</v>
      </c>
      <c r="F75" t="inlineStr">
        <is>
          <t>VÄSTERBOTTENS LÄN</t>
        </is>
      </c>
      <c r="G75" t="inlineStr">
        <is>
          <t>DOROTEA</t>
        </is>
      </c>
      <c r="I75" t="n">
        <v>10.2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44761</v>
      </c>
      <c r="E76" s="1" t="n">
        <v>46315</v>
      </c>
      <c r="F76" t="inlineStr">
        <is>
          <t>VÄSTERBOTTENS LÄN</t>
        </is>
      </c>
      <c r="G76" t="inlineStr">
        <is>
          <t>DOROTEA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46315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46315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46315</v>
      </c>
      <c r="F79" t="inlineStr">
        <is>
          <t>VÄSTERBOTTENS LÄN</t>
        </is>
      </c>
      <c r="G79" t="inlineStr">
        <is>
          <t>DOROTEA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45224</v>
      </c>
      <c r="E80" s="1" t="n">
        <v>46315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46315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46315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46315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46315</v>
      </c>
      <c r="F84" t="inlineStr">
        <is>
          <t>VÄSTERBOTTENS LÄN</t>
        </is>
      </c>
      <c r="G84" t="inlineStr">
        <is>
          <t>DOROTEA</t>
        </is>
      </c>
      <c r="I84" t="n">
        <v>14.8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44956</v>
      </c>
      <c r="E85" s="1" t="n">
        <v>46315</v>
      </c>
      <c r="F85" t="inlineStr">
        <is>
          <t>VÄSTERBOTTENS LÄN</t>
        </is>
      </c>
      <c r="G85" t="inlineStr">
        <is>
          <t>DOROTEA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46315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44582</v>
      </c>
      <c r="E87" s="1" t="n">
        <v>46315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57070-2023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45244</v>
      </c>
      <c r="E88" s="1" t="n">
        <v>46315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46315</v>
      </c>
      <c r="F89" t="inlineStr">
        <is>
          <t>VÄSTERBOTTENS LÄN</t>
        </is>
      </c>
      <c r="G89" t="inlineStr">
        <is>
          <t>DOROTEA</t>
        </is>
      </c>
      <c r="H89" t="inlineStr">
        <is>
          <t>Sveaskog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46315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46315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59418-2023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45253</v>
      </c>
      <c r="E92" s="1" t="n">
        <v>46315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46315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46315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40435-2023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45169</v>
      </c>
      <c r="E95" s="1" t="n">
        <v>46315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46315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44889</v>
      </c>
      <c r="E97" s="1" t="n">
        <v>46315</v>
      </c>
      <c r="F97" t="inlineStr">
        <is>
          <t>VÄSTERBOTTENS LÄN</t>
        </is>
      </c>
      <c r="G97" t="inlineStr">
        <is>
          <t>DOROTEA</t>
        </is>
      </c>
      <c r="I97" t="n">
        <v>15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45491</v>
      </c>
      <c r="E98" s="1" t="n">
        <v>46315</v>
      </c>
      <c r="F98" t="inlineStr">
        <is>
          <t>VÄSTERBOTTENS LÄN</t>
        </is>
      </c>
      <c r="G98" t="inlineStr">
        <is>
          <t>DOROTEA</t>
        </is>
      </c>
      <c r="H98" t="inlineStr">
        <is>
          <t>Sveaskog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74013-2021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46315</v>
      </c>
      <c r="F99" t="inlineStr">
        <is>
          <t>VÄSTERBOTTENS LÄN</t>
        </is>
      </c>
      <c r="G99" t="inlineStr">
        <is>
          <t>DOROTEA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46315</v>
      </c>
      <c r="F100" t="inlineStr">
        <is>
          <t>VÄSTERBOTTENS LÄN</t>
        </is>
      </c>
      <c r="G100" t="inlineStr">
        <is>
          <t>DOROTEA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44925</v>
      </c>
      <c r="E101" s="1" t="n">
        <v>46315</v>
      </c>
      <c r="F101" t="inlineStr">
        <is>
          <t>VÄSTERBOTTENS LÄN</t>
        </is>
      </c>
      <c r="G101" t="inlineStr">
        <is>
          <t>DOROTEA</t>
        </is>
      </c>
      <c r="I101" t="n">
        <v>22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45565</v>
      </c>
      <c r="E102" s="1" t="n">
        <v>46315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45552</v>
      </c>
      <c r="E103" s="1" t="n">
        <v>46315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44971</v>
      </c>
      <c r="E104" s="1" t="n">
        <v>46315</v>
      </c>
      <c r="F104" t="inlineStr">
        <is>
          <t>VÄSTERBOTTENS LÄN</t>
        </is>
      </c>
      <c r="G104" t="inlineStr">
        <is>
          <t>DOROTEA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46315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46315</v>
      </c>
      <c r="F106" t="inlineStr">
        <is>
          <t>VÄSTERBOTTENS LÄN</t>
        </is>
      </c>
      <c r="G106" t="inlineStr">
        <is>
          <t>DOROTEA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23213-2022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46315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46315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46315</v>
      </c>
      <c r="F109" t="inlineStr">
        <is>
          <t>VÄSTERBOTTENS LÄN</t>
        </is>
      </c>
      <c r="G109" t="inlineStr">
        <is>
          <t>DOROTEA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25028-2024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45461</v>
      </c>
      <c r="E110" s="1" t="n">
        <v>46315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4617-2023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44956</v>
      </c>
      <c r="E111" s="1" t="n">
        <v>46315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45519</v>
      </c>
      <c r="E112" s="1" t="n">
        <v>46315</v>
      </c>
      <c r="F112" t="inlineStr">
        <is>
          <t>VÄSTERBOTTENS LÄN</t>
        </is>
      </c>
      <c r="G112" t="inlineStr">
        <is>
          <t>DOROTEA</t>
        </is>
      </c>
      <c r="I112" t="n">
        <v>8.9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46315</v>
      </c>
      <c r="F113" t="inlineStr">
        <is>
          <t>VÄSTERBOTTENS LÄN</t>
        </is>
      </c>
      <c r="G113" t="inlineStr">
        <is>
          <t>DOROTEA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46315</v>
      </c>
      <c r="F114" t="inlineStr">
        <is>
          <t>VÄSTERBOTTENS LÄN</t>
        </is>
      </c>
      <c r="G114" t="inlineStr">
        <is>
          <t>DOROTEA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46315</v>
      </c>
      <c r="F115" t="inlineStr">
        <is>
          <t>VÄSTERBOTTENS LÄN</t>
        </is>
      </c>
      <c r="G115" t="inlineStr">
        <is>
          <t>DOROTEA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46315</v>
      </c>
      <c r="F116" t="inlineStr">
        <is>
          <t>VÄSTERBOTTENS LÄN</t>
        </is>
      </c>
      <c r="G116" t="inlineStr">
        <is>
          <t>DOROTEA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46315</v>
      </c>
      <c r="F117" t="inlineStr">
        <is>
          <t>VÄSTERBOTTENS LÄN</t>
        </is>
      </c>
      <c r="G117" t="inlineStr">
        <is>
          <t>DOROTEA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46315</v>
      </c>
      <c r="F118" t="inlineStr">
        <is>
          <t>VÄSTERBOTTENS LÄN</t>
        </is>
      </c>
      <c r="G118" t="inlineStr">
        <is>
          <t>DOROTEA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46315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46315</v>
      </c>
      <c r="F120" t="inlineStr">
        <is>
          <t>VÄSTERBOTTENS LÄN</t>
        </is>
      </c>
      <c r="G120" t="inlineStr">
        <is>
          <t>DOROTEA</t>
        </is>
      </c>
      <c r="I120" t="n">
        <v>31.7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60163-2024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45642</v>
      </c>
      <c r="E121" s="1" t="n">
        <v>46315</v>
      </c>
      <c r="F121" t="inlineStr">
        <is>
          <t>VÄSTERBOTTENS LÄN</t>
        </is>
      </c>
      <c r="G121" t="inlineStr">
        <is>
          <t>DOROTEA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46315</v>
      </c>
      <c r="F122" t="inlineStr">
        <is>
          <t>VÄSTERBOTTENS LÄN</t>
        </is>
      </c>
      <c r="G122" t="inlineStr">
        <is>
          <t>DOROTEA</t>
        </is>
      </c>
      <c r="I122" t="n">
        <v>15.8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45125</v>
      </c>
      <c r="E123" s="1" t="n">
        <v>46315</v>
      </c>
      <c r="F123" t="inlineStr">
        <is>
          <t>VÄSTERBOTTENS LÄN</t>
        </is>
      </c>
      <c r="G123" t="inlineStr">
        <is>
          <t>DOROTEA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46315</v>
      </c>
      <c r="F124" t="inlineStr">
        <is>
          <t>VÄSTERBOTTENS LÄN</t>
        </is>
      </c>
      <c r="G124" t="inlineStr">
        <is>
          <t>DOROTEA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45182</v>
      </c>
      <c r="E125" s="1" t="n">
        <v>46315</v>
      </c>
      <c r="F125" t="inlineStr">
        <is>
          <t>VÄSTERBOTTENS LÄN</t>
        </is>
      </c>
      <c r="G125" t="inlineStr">
        <is>
          <t>DOROTEA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46315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45893</v>
      </c>
      <c r="E127" s="1" t="n">
        <v>46315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46315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45149</v>
      </c>
      <c r="E129" s="1" t="n">
        <v>46315</v>
      </c>
      <c r="F129" t="inlineStr">
        <is>
          <t>VÄSTERBOTTENS LÄN</t>
        </is>
      </c>
      <c r="G129" t="inlineStr">
        <is>
          <t>DOROTEA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53092-2024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45611</v>
      </c>
      <c r="E130" s="1" t="n">
        <v>46315</v>
      </c>
      <c r="F130" t="inlineStr">
        <is>
          <t>VÄSTERBOTTENS LÄN</t>
        </is>
      </c>
      <c r="G130" t="inlineStr">
        <is>
          <t>DOROTEA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40434-2023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45169</v>
      </c>
      <c r="E131" s="1" t="n">
        <v>46315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46315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46315</v>
      </c>
      <c r="F133" t="inlineStr">
        <is>
          <t>VÄSTERBOTTENS LÄN</t>
        </is>
      </c>
      <c r="G133" t="inlineStr">
        <is>
          <t>DOROTEA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60145-2021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46315</v>
      </c>
      <c r="F134" t="inlineStr">
        <is>
          <t>VÄSTERBOTTENS LÄN</t>
        </is>
      </c>
      <c r="G134" t="inlineStr">
        <is>
          <t>DOROTEA</t>
        </is>
      </c>
      <c r="I134" t="n">
        <v>13.3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46315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59329-2025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45988</v>
      </c>
      <c r="E136" s="1" t="n">
        <v>46315</v>
      </c>
      <c r="F136" t="inlineStr">
        <is>
          <t>VÄSTERBOTTENS LÄN</t>
        </is>
      </c>
      <c r="G136" t="inlineStr">
        <is>
          <t>DOROTEA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46315</v>
      </c>
      <c r="F137" t="inlineStr">
        <is>
          <t>VÄSTERBOTTENS LÄN</t>
        </is>
      </c>
      <c r="G137" t="inlineStr">
        <is>
          <t>DOROTEA</t>
        </is>
      </c>
      <c r="H137" t="inlineStr">
        <is>
          <t>Övriga Aktiebolag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46315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46315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46315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46315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45475</v>
      </c>
      <c r="E142" s="1" t="n">
        <v>46315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46315</v>
      </c>
      <c r="F143" t="inlineStr">
        <is>
          <t>VÄSTERBOTTENS LÄN</t>
        </is>
      </c>
      <c r="G143" t="inlineStr">
        <is>
          <t>DOROTEA</t>
        </is>
      </c>
      <c r="I143" t="n">
        <v>13.3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46315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45351</v>
      </c>
      <c r="E145" s="1" t="n">
        <v>46315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46315</v>
      </c>
      <c r="F146" t="inlineStr">
        <is>
          <t>VÄSTERBOTTENS LÄN</t>
        </is>
      </c>
      <c r="G146" t="inlineStr">
        <is>
          <t>DOROTEA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46315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46315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46315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46315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44282-2025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45916</v>
      </c>
      <c r="E151" s="1" t="n">
        <v>46315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45915</v>
      </c>
      <c r="E152" s="1" t="n">
        <v>46315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46315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46315</v>
      </c>
      <c r="F154" t="inlineStr">
        <is>
          <t>VÄSTERBOTTENS LÄN</t>
        </is>
      </c>
      <c r="G154" t="inlineStr">
        <is>
          <t>DOROTEA</t>
        </is>
      </c>
      <c r="H154" t="inlineStr">
        <is>
          <t>Övriga statliga verk och myndigheter</t>
        </is>
      </c>
      <c r="I154" t="n">
        <v>15.2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46315</v>
      </c>
      <c r="F155" t="inlineStr">
        <is>
          <t>VÄSTERBOTTENS LÄN</t>
        </is>
      </c>
      <c r="G155" t="inlineStr">
        <is>
          <t>DOROTEA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46315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46315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46315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45013</v>
      </c>
      <c r="E159" s="1" t="n">
        <v>46315</v>
      </c>
      <c r="F159" t="inlineStr">
        <is>
          <t>VÄSTERBOTTENS LÄN</t>
        </is>
      </c>
      <c r="G159" t="inlineStr">
        <is>
          <t>DOROTEA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46315</v>
      </c>
      <c r="F160" t="inlineStr">
        <is>
          <t>VÄSTERBOTTENS LÄN</t>
        </is>
      </c>
      <c r="G160" t="inlineStr">
        <is>
          <t>DOROTEA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46315</v>
      </c>
      <c r="F161" t="inlineStr">
        <is>
          <t>VÄSTERBOTTENS LÄN</t>
        </is>
      </c>
      <c r="G161" t="inlineStr">
        <is>
          <t>DOROTEA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45845</v>
      </c>
      <c r="E162" s="1" t="n">
        <v>46315</v>
      </c>
      <c r="F162" t="inlineStr">
        <is>
          <t>VÄSTERBOTTENS LÄN</t>
        </is>
      </c>
      <c r="G162" t="inlineStr">
        <is>
          <t>DOROTEA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46315</v>
      </c>
      <c r="F163" t="inlineStr">
        <is>
          <t>VÄSTERBOTTENS LÄN</t>
        </is>
      </c>
      <c r="G163" t="inlineStr">
        <is>
          <t>DOROTEA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46315</v>
      </c>
      <c r="F164" t="inlineStr">
        <is>
          <t>VÄSTERBOTTENS LÄN</t>
        </is>
      </c>
      <c r="G164" t="inlineStr">
        <is>
          <t>DOROTEA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46315</v>
      </c>
      <c r="F165" t="inlineStr">
        <is>
          <t>VÄSTERBOTTENS LÄN</t>
        </is>
      </c>
      <c r="G165" t="inlineStr">
        <is>
          <t>DOROTEA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45244</v>
      </c>
      <c r="E166" s="1" t="n">
        <v>46315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46315</v>
      </c>
      <c r="F167" t="inlineStr">
        <is>
          <t>VÄSTERBOTTENS LÄN</t>
        </is>
      </c>
      <c r="G167" t="inlineStr">
        <is>
          <t>DOROTEA</t>
        </is>
      </c>
      <c r="I167" t="n">
        <v>21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46315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46315</v>
      </c>
      <c r="F169" t="inlineStr">
        <is>
          <t>VÄSTERBOTTENS LÄN</t>
        </is>
      </c>
      <c r="G169" t="inlineStr">
        <is>
          <t>DOROTEA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46315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46315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46315</v>
      </c>
      <c r="F172" t="inlineStr">
        <is>
          <t>VÄSTERBOTTENS LÄN</t>
        </is>
      </c>
      <c r="G172" t="inlineStr">
        <is>
          <t>DOROTEA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46315</v>
      </c>
      <c r="F173" t="inlineStr">
        <is>
          <t>VÄSTERBOTTENS LÄN</t>
        </is>
      </c>
      <c r="G173" t="inlineStr">
        <is>
          <t>DOROTEA</t>
        </is>
      </c>
      <c r="I173" t="n">
        <v>17.8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46315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46146</v>
      </c>
      <c r="E175" s="1" t="n">
        <v>46315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46315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46146</v>
      </c>
      <c r="E177" s="1" t="n">
        <v>46315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46315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45463</v>
      </c>
      <c r="E179" s="1" t="n">
        <v>46315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46315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46147</v>
      </c>
      <c r="E181" s="1" t="n">
        <v>46315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44568</v>
      </c>
      <c r="E182" s="1" t="n">
        <v>46315</v>
      </c>
      <c r="F182" t="inlineStr">
        <is>
          <t>VÄSTERBOTTENS LÄN</t>
        </is>
      </c>
      <c r="G182" t="inlineStr">
        <is>
          <t>DOROTEA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46147</v>
      </c>
      <c r="E183" s="1" t="n">
        <v>46315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46315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46315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45036</v>
      </c>
      <c r="E186" s="1" t="n">
        <v>46315</v>
      </c>
      <c r="F186" t="inlineStr">
        <is>
          <t>VÄSTERBOTTENS LÄN</t>
        </is>
      </c>
      <c r="G186" t="inlineStr">
        <is>
          <t>DOROTEA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46315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46315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46315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46315</v>
      </c>
      <c r="F190" t="inlineStr">
        <is>
          <t>VÄSTERBOTTENS LÄN</t>
        </is>
      </c>
      <c r="G190" t="inlineStr">
        <is>
          <t>DOROTEA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46189</v>
      </c>
      <c r="E191" s="1" t="n">
        <v>46315</v>
      </c>
      <c r="F191" t="inlineStr">
        <is>
          <t>VÄSTERBOTTENS LÄN</t>
        </is>
      </c>
      <c r="G191" t="inlineStr">
        <is>
          <t>DOROTEA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46315</v>
      </c>
      <c r="F192" t="inlineStr">
        <is>
          <t>VÄSTERBOTTENS LÄN</t>
        </is>
      </c>
      <c r="G192" t="inlineStr">
        <is>
          <t>DOROTEA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46315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22128-2026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46315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55919-2023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45239</v>
      </c>
      <c r="E195" s="1" t="n">
        <v>46315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44888</v>
      </c>
      <c r="E196" s="1" t="n">
        <v>46315</v>
      </c>
      <c r="F196" t="inlineStr">
        <is>
          <t>VÄSTERBOTTENS LÄN</t>
        </is>
      </c>
      <c r="G196" t="inlineStr">
        <is>
          <t>DOROTEA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46315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46315</v>
      </c>
      <c r="F198" t="inlineStr">
        <is>
          <t>VÄSTERBOTTENS LÄN</t>
        </is>
      </c>
      <c r="G198" t="inlineStr">
        <is>
          <t>DOROTEA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46315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44960</v>
      </c>
      <c r="E200" s="1" t="n">
        <v>46315</v>
      </c>
      <c r="F200" t="inlineStr">
        <is>
          <t>VÄSTERBOTTENS LÄN</t>
        </is>
      </c>
      <c r="G200" t="inlineStr">
        <is>
          <t>DOROTEA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46315</v>
      </c>
      <c r="F201" t="inlineStr">
        <is>
          <t>VÄSTERBOTTENS LÄN</t>
        </is>
      </c>
      <c r="G201" t="inlineStr">
        <is>
          <t>DOROTEA</t>
        </is>
      </c>
      <c r="I201" t="n">
        <v>10.3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46315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46315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46315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46315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46315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46315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46315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46315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46315</v>
      </c>
      <c r="F210" t="inlineStr">
        <is>
          <t>VÄSTERBOTTENS LÄN</t>
        </is>
      </c>
      <c r="G210" t="inlineStr">
        <is>
          <t>DOROTEA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45975</v>
      </c>
      <c r="E211" s="1" t="n">
        <v>46315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46315</v>
      </c>
      <c r="F212" t="inlineStr">
        <is>
          <t>VÄSTERBOTTENS LÄN</t>
        </is>
      </c>
      <c r="G212" t="inlineStr">
        <is>
          <t>DOROTEA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46315</v>
      </c>
      <c r="F213" t="inlineStr">
        <is>
          <t>VÄSTERBOTTENS LÄN</t>
        </is>
      </c>
      <c r="G213" t="inlineStr">
        <is>
          <t>DOROTEA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45977</v>
      </c>
      <c r="E214" s="1" t="n">
        <v>46315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45505</v>
      </c>
      <c r="E215" s="1" t="n">
        <v>46315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46315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46315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46315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46315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46315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46315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18.2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46315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46315</v>
      </c>
      <c r="F223" t="inlineStr">
        <is>
          <t>VÄSTERBOTTENS LÄN</t>
        </is>
      </c>
      <c r="G223" t="inlineStr">
        <is>
          <t>DOROTEA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46315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30461-2024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45491</v>
      </c>
      <c r="E225" s="1" t="n">
        <v>46315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46315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46315</v>
      </c>
      <c r="F227" t="inlineStr">
        <is>
          <t>VÄSTERBOTTENS LÄN</t>
        </is>
      </c>
      <c r="G227" t="inlineStr">
        <is>
          <t>DOROTEA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46315</v>
      </c>
      <c r="F228" t="inlineStr">
        <is>
          <t>VÄSTERBOTTENS LÄN</t>
        </is>
      </c>
      <c r="G228" t="inlineStr">
        <is>
          <t>DOROTEA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46315</v>
      </c>
      <c r="F229" t="inlineStr">
        <is>
          <t>VÄSTERBOTTENS LÄN</t>
        </is>
      </c>
      <c r="G229" t="inlineStr">
        <is>
          <t>DOROTEA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45962</v>
      </c>
      <c r="E230" s="1" t="n">
        <v>46315</v>
      </c>
      <c r="F230" t="inlineStr">
        <is>
          <t>VÄSTERBOTTENS LÄN</t>
        </is>
      </c>
      <c r="G230" t="inlineStr">
        <is>
          <t>DOROTEA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46315</v>
      </c>
      <c r="F231" t="inlineStr">
        <is>
          <t>VÄSTERBOTTENS LÄN</t>
        </is>
      </c>
      <c r="G231" t="inlineStr">
        <is>
          <t>DOROTEA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46315</v>
      </c>
      <c r="F232" t="inlineStr">
        <is>
          <t>VÄSTERBOTTENS LÄN</t>
        </is>
      </c>
      <c r="G232" t="inlineStr">
        <is>
          <t>DOROTEA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35937-2025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45862</v>
      </c>
      <c r="E233" s="1" t="n">
        <v>46315</v>
      </c>
      <c r="F233" t="inlineStr">
        <is>
          <t>VÄSTERBOTTENS LÄN</t>
        </is>
      </c>
      <c r="G233" t="inlineStr">
        <is>
          <t>DOROTEA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45556</v>
      </c>
      <c r="E234" s="1" t="n">
        <v>46315</v>
      </c>
      <c r="F234" t="inlineStr">
        <is>
          <t>VÄSTERBOTTENS LÄN</t>
        </is>
      </c>
      <c r="G234" t="inlineStr">
        <is>
          <t>DOROTEA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46315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45996</v>
      </c>
      <c r="E236" s="1" t="n">
        <v>46315</v>
      </c>
      <c r="F236" t="inlineStr">
        <is>
          <t>VÄSTERBOTTENS LÄN</t>
        </is>
      </c>
      <c r="G236" t="inlineStr">
        <is>
          <t>DOROTEA</t>
        </is>
      </c>
      <c r="I236" t="n">
        <v>23.9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46315</v>
      </c>
      <c r="F237" t="inlineStr">
        <is>
          <t>VÄSTERBOTTENS LÄN</t>
        </is>
      </c>
      <c r="G237" t="inlineStr">
        <is>
          <t>DOROTEA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46966-2024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45586</v>
      </c>
      <c r="E238" s="1" t="n">
        <v>46315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62193-2025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46003</v>
      </c>
      <c r="E239" s="1" t="n">
        <v>46315</v>
      </c>
      <c r="F239" t="inlineStr">
        <is>
          <t>VÄSTERBOTTENS LÄN</t>
        </is>
      </c>
      <c r="G239" t="inlineStr">
        <is>
          <t>DOROTEA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46315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46315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50582-2024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45600</v>
      </c>
      <c r="E242" s="1" t="n">
        <v>46315</v>
      </c>
      <c r="F242" t="inlineStr">
        <is>
          <t>VÄSTERBOTTENS LÄN</t>
        </is>
      </c>
      <c r="G242" t="inlineStr">
        <is>
          <t>DOROTEA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45539</v>
      </c>
      <c r="E243" s="1" t="n">
        <v>46315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46315</v>
      </c>
      <c r="F244" t="inlineStr">
        <is>
          <t>VÄSTERBOTTENS LÄN</t>
        </is>
      </c>
      <c r="G244" t="inlineStr">
        <is>
          <t>DOROTEA</t>
        </is>
      </c>
      <c r="I244" t="n">
        <v>16.7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46315</v>
      </c>
      <c r="F245" t="inlineStr">
        <is>
          <t>VÄSTERBOTTENS LÄN</t>
        </is>
      </c>
      <c r="G245" t="inlineStr">
        <is>
          <t>DOROTEA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46315</v>
      </c>
      <c r="F246" t="inlineStr">
        <is>
          <t>VÄSTERBOTTENS LÄN</t>
        </is>
      </c>
      <c r="G246" t="inlineStr">
        <is>
          <t>DOROTEA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45755</v>
      </c>
      <c r="E247" s="1" t="n">
        <v>46315</v>
      </c>
      <c r="F247" t="inlineStr">
        <is>
          <t>VÄSTERBOTTENS LÄN</t>
        </is>
      </c>
      <c r="G247" t="inlineStr">
        <is>
          <t>DOROTEA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46315</v>
      </c>
      <c r="F248" t="inlineStr">
        <is>
          <t>VÄSTERBOTTENS LÄN</t>
        </is>
      </c>
      <c r="G248" t="inlineStr">
        <is>
          <t>DOROTEA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46315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9.4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46315</v>
      </c>
      <c r="F250" t="inlineStr">
        <is>
          <t>VÄSTERBOTTENS LÄN</t>
        </is>
      </c>
      <c r="G250" t="inlineStr">
        <is>
          <t>DOROTEA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46315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45331</v>
      </c>
      <c r="E252" s="1" t="n">
        <v>46315</v>
      </c>
      <c r="F252" t="inlineStr">
        <is>
          <t>VÄSTERBOTTENS LÄN</t>
        </is>
      </c>
      <c r="G252" t="inlineStr">
        <is>
          <t>DOROTEA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46017</v>
      </c>
      <c r="E253" s="1" t="n">
        <v>46315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46315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17658-2023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46315</v>
      </c>
      <c r="F255" t="inlineStr">
        <is>
          <t>VÄSTERBOTTENS LÄN</t>
        </is>
      </c>
      <c r="G255" t="inlineStr">
        <is>
          <t>DOROTEA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46315</v>
      </c>
      <c r="F256" t="inlineStr">
        <is>
          <t>VÄSTERBOTTENS LÄN</t>
        </is>
      </c>
      <c r="G256" t="inlineStr">
        <is>
          <t>DOROTEA</t>
        </is>
      </c>
      <c r="I256" t="n">
        <v>18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45148</v>
      </c>
      <c r="E257" s="1" t="n">
        <v>46315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44979</v>
      </c>
      <c r="E258" s="1" t="n">
        <v>46315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46315</v>
      </c>
      <c r="F259" t="inlineStr">
        <is>
          <t>VÄSTERBOTTENS LÄN</t>
        </is>
      </c>
      <c r="G259" t="inlineStr">
        <is>
          <t>DOROTEA</t>
        </is>
      </c>
      <c r="I259" t="n">
        <v>26.5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46315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46315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46315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46315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46315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46315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46315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45672</v>
      </c>
      <c r="E267" s="1" t="n">
        <v>46315</v>
      </c>
      <c r="F267" t="inlineStr">
        <is>
          <t>VÄSTERBOTTENS LÄN</t>
        </is>
      </c>
      <c r="G267" t="inlineStr">
        <is>
          <t>DOROTEA</t>
        </is>
      </c>
      <c r="H267" t="inlineStr">
        <is>
          <t>Kommuner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46315</v>
      </c>
      <c r="F268" t="inlineStr">
        <is>
          <t>VÄSTERBOTTENS LÄN</t>
        </is>
      </c>
      <c r="G268" t="inlineStr">
        <is>
          <t>DOROTEA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46315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14255-2026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46315</v>
      </c>
      <c r="F270" t="inlineStr">
        <is>
          <t>VÄSTERBOTTENS LÄN</t>
        </is>
      </c>
      <c r="G270" t="inlineStr">
        <is>
          <t>DOROTEA</t>
        </is>
      </c>
      <c r="I270" t="n">
        <v>26.2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46315</v>
      </c>
      <c r="F271" t="inlineStr">
        <is>
          <t>VÄSTERBOTTENS LÄN</t>
        </is>
      </c>
      <c r="G271" t="inlineStr">
        <is>
          <t>DOROTEA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46315</v>
      </c>
      <c r="F272" t="inlineStr">
        <is>
          <t>VÄSTERBOTTENS LÄN</t>
        </is>
      </c>
      <c r="G272" t="inlineStr">
        <is>
          <t>DOROTEA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26124-2026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46315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46315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46315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46315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46315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46315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46054</v>
      </c>
      <c r="E279" s="1" t="n">
        <v>46315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46315</v>
      </c>
      <c r="F280" t="inlineStr">
        <is>
          <t>VÄSTERBOTTENS LÄN</t>
        </is>
      </c>
      <c r="G280" t="inlineStr">
        <is>
          <t>DOROTEA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46315</v>
      </c>
      <c r="F281" t="inlineStr">
        <is>
          <t>VÄSTERBOTTENS LÄN</t>
        </is>
      </c>
      <c r="G281" t="inlineStr">
        <is>
          <t>DOROTEA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46315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46315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46182</v>
      </c>
      <c r="E284" s="1" t="n">
        <v>46315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27558-2022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44742</v>
      </c>
      <c r="E285" s="1" t="n">
        <v>46315</v>
      </c>
      <c r="F285" t="inlineStr">
        <is>
          <t>VÄSTERBOTTENS LÄN</t>
        </is>
      </c>
      <c r="G285" t="inlineStr">
        <is>
          <t>DOROTEA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9796-2026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46315</v>
      </c>
      <c r="F286" t="inlineStr">
        <is>
          <t>VÄSTERBOTTENS LÄN</t>
        </is>
      </c>
      <c r="G286" t="inlineStr">
        <is>
          <t>DOROTEA</t>
        </is>
      </c>
      <c r="I286" t="n">
        <v>20.1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46315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46315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46315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46315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46315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45796</v>
      </c>
      <c r="E292" s="1" t="n">
        <v>46315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45755</v>
      </c>
      <c r="E293" s="1" t="n">
        <v>46315</v>
      </c>
      <c r="F293" t="inlineStr">
        <is>
          <t>VÄSTERBOTTENS LÄN</t>
        </is>
      </c>
      <c r="G293" t="inlineStr">
        <is>
          <t>DOROTEA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35202-2025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45852</v>
      </c>
      <c r="E294" s="1" t="n">
        <v>46315</v>
      </c>
      <c r="F294" t="inlineStr">
        <is>
          <t>VÄSTERBOTTENS LÄN</t>
        </is>
      </c>
      <c r="G294" t="inlineStr">
        <is>
          <t>DOROTEA</t>
        </is>
      </c>
      <c r="H294" t="inlineStr">
        <is>
          <t>Allmännings- och besparingsskogar</t>
        </is>
      </c>
      <c r="I294" t="n">
        <v>22.1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35203-2025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45852</v>
      </c>
      <c r="E295" s="1" t="n">
        <v>46315</v>
      </c>
      <c r="F295" t="inlineStr">
        <is>
          <t>VÄSTERBOTTENS LÄN</t>
        </is>
      </c>
      <c r="G295" t="inlineStr">
        <is>
          <t>DOROTEA</t>
        </is>
      </c>
      <c r="H295" t="inlineStr">
        <is>
          <t>Allmännings- och besparingsskogar</t>
        </is>
      </c>
      <c r="I295" t="n">
        <v>20.3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45735</v>
      </c>
      <c r="E296" s="1" t="n">
        <v>46315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27738-2026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46191</v>
      </c>
      <c r="E297" s="1" t="n">
        <v>46315</v>
      </c>
      <c r="F297" t="inlineStr">
        <is>
          <t>VÄSTERBOTTENS LÄN</t>
        </is>
      </c>
      <c r="G297" t="inlineStr">
        <is>
          <t>DOROTEA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46315</v>
      </c>
      <c r="F298" t="inlineStr">
        <is>
          <t>VÄSTERBOTTENS LÄN</t>
        </is>
      </c>
      <c r="G298" t="inlineStr">
        <is>
          <t>DOROTEA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46195</v>
      </c>
      <c r="E299" s="1" t="n">
        <v>46315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46315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46315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46315</v>
      </c>
      <c r="F302" t="inlineStr">
        <is>
          <t>VÄSTERBOTTENS LÄN</t>
        </is>
      </c>
      <c r="G302" t="inlineStr">
        <is>
          <t>DOROTEA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28717-2022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44748</v>
      </c>
      <c r="E303" s="1" t="n">
        <v>46315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47494-2023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45202</v>
      </c>
      <c r="E304" s="1" t="n">
        <v>46315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46107</v>
      </c>
      <c r="E305" s="1" t="n">
        <v>46315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46315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49.5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46315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44974</v>
      </c>
      <c r="E308" s="1" t="n">
        <v>46315</v>
      </c>
      <c r="F308" t="inlineStr">
        <is>
          <t>VÄSTERBOTTENS LÄN</t>
        </is>
      </c>
      <c r="G308" t="inlineStr">
        <is>
          <t>DOROTEA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46315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46315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46315</v>
      </c>
      <c r="F311" t="inlineStr">
        <is>
          <t>VÄSTERBOTTENS LÄN</t>
        </is>
      </c>
      <c r="G311" t="inlineStr">
        <is>
          <t>DOROTEA</t>
        </is>
      </c>
      <c r="H311" t="inlineStr">
        <is>
          <t>Kommuner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46315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16985-2026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46114</v>
      </c>
      <c r="E313" s="1" t="n">
        <v>46315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46315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46315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46315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8.6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46125</v>
      </c>
      <c r="E317" s="1" t="n">
        <v>46315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46315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46123</v>
      </c>
      <c r="E319" s="1" t="n">
        <v>46315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46315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18.3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46315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46315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45246</v>
      </c>
      <c r="E323" s="1" t="n">
        <v>46315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19445-2026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46315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46315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19446-2026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46315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46315</v>
      </c>
      <c r="F327" t="inlineStr">
        <is>
          <t>VÄSTERBOTTENS LÄN</t>
        </is>
      </c>
      <c r="G327" t="inlineStr">
        <is>
          <t>DOROTEA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46204</v>
      </c>
      <c r="E328" s="1" t="n">
        <v>46315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45642</v>
      </c>
      <c r="E329" s="1" t="n">
        <v>46315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14163-2024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45392</v>
      </c>
      <c r="E330" s="1" t="n">
        <v>46315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46315</v>
      </c>
      <c r="F331" t="inlineStr">
        <is>
          <t>VÄSTERBOTTENS LÄN</t>
        </is>
      </c>
      <c r="G331" t="inlineStr">
        <is>
          <t>DOROTEA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46315</v>
      </c>
      <c r="F332" t="inlineStr">
        <is>
          <t>VÄSTERBOTTENS LÄN</t>
        </is>
      </c>
      <c r="G332" t="inlineStr">
        <is>
          <t>DOROTEA</t>
        </is>
      </c>
      <c r="I332" t="n">
        <v>14.7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44848</v>
      </c>
      <c r="E333" s="1" t="n">
        <v>46315</v>
      </c>
      <c r="F333" t="inlineStr">
        <is>
          <t>VÄSTERBOTTENS LÄN</t>
        </is>
      </c>
      <c r="G333" t="inlineStr">
        <is>
          <t>DOROTEA</t>
        </is>
      </c>
      <c r="I333" t="n">
        <v>29.8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46315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46315</v>
      </c>
      <c r="F335" t="inlineStr">
        <is>
          <t>VÄSTERBOTTENS LÄN</t>
        </is>
      </c>
      <c r="G335" t="inlineStr">
        <is>
          <t>DOROTEA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46315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46315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45565</v>
      </c>
      <c r="E338" s="1" t="n">
        <v>46315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45295</v>
      </c>
      <c r="E339" s="1" t="n">
        <v>46315</v>
      </c>
      <c r="F339" t="inlineStr">
        <is>
          <t>VÄSTERBOTTENS LÄN</t>
        </is>
      </c>
      <c r="G339" t="inlineStr">
        <is>
          <t>DOROTEA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46315</v>
      </c>
      <c r="F340" t="inlineStr">
        <is>
          <t>VÄSTERBOTTENS LÄN</t>
        </is>
      </c>
      <c r="G340" t="inlineStr">
        <is>
          <t>DOROTEA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46315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46965-2024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45586</v>
      </c>
      <c r="E342" s="1" t="n">
        <v>46315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30740-2026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46211</v>
      </c>
      <c r="E343" s="1" t="n">
        <v>46315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44980</v>
      </c>
      <c r="E344" s="1" t="n">
        <v>46315</v>
      </c>
      <c r="F344" t="inlineStr">
        <is>
          <t>VÄSTERBOTTENS LÄN</t>
        </is>
      </c>
      <c r="G344" t="inlineStr">
        <is>
          <t>DOROTEA</t>
        </is>
      </c>
      <c r="I344" t="n">
        <v>18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30645-2026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46211</v>
      </c>
      <c r="E345" s="1" t="n">
        <v>46315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46212</v>
      </c>
      <c r="E346" s="1" t="n">
        <v>46315</v>
      </c>
      <c r="F346" t="inlineStr">
        <is>
          <t>VÄSTERBOTTENS LÄN</t>
        </is>
      </c>
      <c r="G346" t="inlineStr">
        <is>
          <t>DOROTEA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46315</v>
      </c>
      <c r="F347" t="inlineStr">
        <is>
          <t>VÄSTERBOTTENS LÄN</t>
        </is>
      </c>
      <c r="G347" t="inlineStr">
        <is>
          <t>DOROTEA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46212</v>
      </c>
      <c r="E348" s="1" t="n">
        <v>46315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46213</v>
      </c>
      <c r="E349" s="1" t="n">
        <v>46315</v>
      </c>
      <c r="F349" t="inlineStr">
        <is>
          <t>VÄSTERBOTTENS LÄN</t>
        </is>
      </c>
      <c r="G349" t="inlineStr">
        <is>
          <t>DOROTEA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31006-2026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46213</v>
      </c>
      <c r="E350" s="1" t="n">
        <v>46315</v>
      </c>
      <c r="F350" t="inlineStr">
        <is>
          <t>VÄSTERBOTTENS LÄN</t>
        </is>
      </c>
      <c r="G350" t="inlineStr">
        <is>
          <t>DOROTEA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46315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46315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46217</v>
      </c>
      <c r="E353" s="1" t="n">
        <v>46315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31259-2026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46218</v>
      </c>
      <c r="E354" s="1" t="n">
        <v>46315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46218</v>
      </c>
      <c r="E355" s="1" t="n">
        <v>46315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46218</v>
      </c>
      <c r="E356" s="1" t="n">
        <v>46315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31439-2026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46220</v>
      </c>
      <c r="E357" s="1" t="n">
        <v>46315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27477-2023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45097</v>
      </c>
      <c r="E358" s="1" t="n">
        <v>46315</v>
      </c>
      <c r="F358" t="inlineStr">
        <is>
          <t>VÄSTERBOTTENS LÄN</t>
        </is>
      </c>
      <c r="G358" t="inlineStr">
        <is>
          <t>DOROTEA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44942</v>
      </c>
      <c r="E359" s="1" t="n">
        <v>46315</v>
      </c>
      <c r="F359" t="inlineStr">
        <is>
          <t>VÄSTERBOTTENS LÄN</t>
        </is>
      </c>
      <c r="G359" t="inlineStr">
        <is>
          <t>DOROTEA</t>
        </is>
      </c>
      <c r="I359" t="n">
        <v>22.7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46224</v>
      </c>
      <c r="E360" s="1" t="n">
        <v>46315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46224</v>
      </c>
      <c r="E361" s="1" t="n">
        <v>46315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46224</v>
      </c>
      <c r="E362" s="1" t="n">
        <v>46315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42889-2024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45566</v>
      </c>
      <c r="E363" s="1" t="n">
        <v>46315</v>
      </c>
      <c r="F363" t="inlineStr">
        <is>
          <t>VÄSTERBOTTENS LÄN</t>
        </is>
      </c>
      <c r="G363" t="inlineStr">
        <is>
          <t>DOROTEA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59653-2024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46315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45036</v>
      </c>
      <c r="E365" s="1" t="n">
        <v>46315</v>
      </c>
      <c r="F365" t="inlineStr">
        <is>
          <t>VÄSTERBOTTENS LÄN</t>
        </is>
      </c>
      <c r="G365" t="inlineStr">
        <is>
          <t>DOROTEA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22944-2024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46315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45356</v>
      </c>
      <c r="E367" s="1" t="n">
        <v>46315</v>
      </c>
      <c r="F367" t="inlineStr">
        <is>
          <t>VÄSTERBOTTENS LÄN</t>
        </is>
      </c>
      <c r="G367" t="inlineStr">
        <is>
          <t>DOROTEA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45770</v>
      </c>
      <c r="E368" s="1" t="n">
        <v>46315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45351</v>
      </c>
      <c r="E369" s="1" t="n">
        <v>46315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46279</v>
      </c>
      <c r="E370" s="1" t="n">
        <v>46315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45253</v>
      </c>
      <c r="E371" s="1" t="n">
        <v>46315</v>
      </c>
      <c r="F371" t="inlineStr">
        <is>
          <t>VÄSTERBOTTENS LÄN</t>
        </is>
      </c>
      <c r="G371" t="inlineStr">
        <is>
          <t>DOROTEA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59397-2023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45253</v>
      </c>
      <c r="E372" s="1" t="n">
        <v>46315</v>
      </c>
      <c r="F372" t="inlineStr">
        <is>
          <t>VÄSTERBOTTENS LÄN</t>
        </is>
      </c>
      <c r="G372" t="inlineStr">
        <is>
          <t>DOROTEA</t>
        </is>
      </c>
      <c r="I372" t="n">
        <v>8.5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45055</v>
      </c>
      <c r="E373" s="1" t="n">
        <v>46315</v>
      </c>
      <c r="F373" t="inlineStr">
        <is>
          <t>VÄSTERBOTTENS LÄN</t>
        </is>
      </c>
      <c r="G373" t="inlineStr">
        <is>
          <t>DOROTEA</t>
        </is>
      </c>
      <c r="H373" t="inlineStr">
        <is>
          <t>Övriga statliga verk och myndigheter</t>
        </is>
      </c>
      <c r="I373" t="n">
        <v>13.9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46281</v>
      </c>
      <c r="E374" s="1" t="n">
        <v>46315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67686-2021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44524</v>
      </c>
      <c r="E375" s="1" t="n">
        <v>46315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32821-2024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45516</v>
      </c>
      <c r="E376" s="1" t="n">
        <v>46315</v>
      </c>
      <c r="F376" t="inlineStr">
        <is>
          <t>VÄSTERBOTTENS LÄN</t>
        </is>
      </c>
      <c r="G376" t="inlineStr">
        <is>
          <t>DOROTEA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44889</v>
      </c>
      <c r="E377" s="1" t="n">
        <v>46315</v>
      </c>
      <c r="F377" t="inlineStr">
        <is>
          <t>VÄSTERBOTTENS LÄN</t>
        </is>
      </c>
      <c r="G377" t="inlineStr">
        <is>
          <t>DOROTEA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46315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34107-2023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45125</v>
      </c>
      <c r="E379" s="1" t="n">
        <v>46315</v>
      </c>
      <c r="F379" t="inlineStr">
        <is>
          <t>VÄSTERBOTTENS LÄN</t>
        </is>
      </c>
      <c r="G379" t="inlineStr">
        <is>
          <t>DOROTEA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46315</v>
      </c>
      <c r="F380" t="inlineStr">
        <is>
          <t>VÄSTERBOTTENS LÄN</t>
        </is>
      </c>
      <c r="G380" t="inlineStr">
        <is>
          <t>DOROTEA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52276-2023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46315</v>
      </c>
      <c r="F381" t="inlineStr">
        <is>
          <t>VÄSTERBOTTENS LÄN</t>
        </is>
      </c>
      <c r="G381" t="inlineStr">
        <is>
          <t>DOROTEA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46315</v>
      </c>
      <c r="F382" t="inlineStr">
        <is>
          <t>VÄSTERBOTTENS LÄN</t>
        </is>
      </c>
      <c r="G382" t="inlineStr">
        <is>
          <t>DOROTEA</t>
        </is>
      </c>
      <c r="I382" t="n">
        <v>12.3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46315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39088-2026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46287</v>
      </c>
      <c r="E384" s="1" t="n">
        <v>46315</v>
      </c>
      <c r="F384" t="inlineStr">
        <is>
          <t>VÄSTERBOTTENS LÄN</t>
        </is>
      </c>
      <c r="G384" t="inlineStr">
        <is>
          <t>DOROTEA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46247</v>
      </c>
      <c r="E385" s="1" t="n">
        <v>46315</v>
      </c>
      <c r="F385" t="inlineStr">
        <is>
          <t>VÄSTERBOTTENS LÄN</t>
        </is>
      </c>
      <c r="G385" t="inlineStr">
        <is>
          <t>DOROTEA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46315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22450-2024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45446</v>
      </c>
      <c r="E387" s="1" t="n">
        <v>46315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46293</v>
      </c>
      <c r="E388" s="1" t="n">
        <v>46315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45642</v>
      </c>
      <c r="E389" s="1" t="n">
        <v>46315</v>
      </c>
      <c r="F389" t="inlineStr">
        <is>
          <t>VÄSTERBOTTENS LÄN</t>
        </is>
      </c>
      <c r="G389" t="inlineStr">
        <is>
          <t>DOROTEA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46265</v>
      </c>
      <c r="E390" s="1" t="n">
        <v>46315</v>
      </c>
      <c r="F390" t="inlineStr">
        <is>
          <t>VÄSTERBOTTENS LÄN</t>
        </is>
      </c>
      <c r="G390" t="inlineStr">
        <is>
          <t>DOROTEA</t>
        </is>
      </c>
      <c r="H390" t="inlineStr">
        <is>
          <t>Allmännings- och besparingsskogar</t>
        </is>
      </c>
      <c r="I390" t="n">
        <v>12.6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9030-2025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45713</v>
      </c>
      <c r="E391" s="1" t="n">
        <v>46315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60015-2023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45257</v>
      </c>
      <c r="E392" s="1" t="n">
        <v>46315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33738-2024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45520</v>
      </c>
      <c r="E393" s="1" t="n">
        <v>46315</v>
      </c>
      <c r="F393" t="inlineStr">
        <is>
          <t>VÄSTERBOTTENS LÄN</t>
        </is>
      </c>
      <c r="G393" t="inlineStr">
        <is>
          <t>DOROTEA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46248</v>
      </c>
      <c r="E394" s="1" t="n">
        <v>46315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46265</v>
      </c>
      <c r="E395" s="1" t="n">
        <v>46315</v>
      </c>
      <c r="F395" t="inlineStr">
        <is>
          <t>VÄSTERBOTTENS LÄN</t>
        </is>
      </c>
      <c r="G395" t="inlineStr">
        <is>
          <t>DOROTEA</t>
        </is>
      </c>
      <c r="H395" t="inlineStr">
        <is>
          <t>Allmännings- och besparingsskogar</t>
        </is>
      </c>
      <c r="I395" t="n">
        <v>16.4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45315</v>
      </c>
      <c r="E396" s="1" t="n">
        <v>46315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46315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46315</v>
      </c>
      <c r="F398" t="inlineStr">
        <is>
          <t>VÄSTERBOTTENS LÄN</t>
        </is>
      </c>
      <c r="G398" t="inlineStr">
        <is>
          <t>DOROTEA</t>
        </is>
      </c>
      <c r="I398" t="n">
        <v>13.6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46315</v>
      </c>
      <c r="F399" t="inlineStr">
        <is>
          <t>VÄSTERBOTTENS LÄN</t>
        </is>
      </c>
      <c r="G399" t="inlineStr">
        <is>
          <t>DOROTEA</t>
        </is>
      </c>
      <c r="I399" t="n">
        <v>11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46315</v>
      </c>
      <c r="F400" t="inlineStr">
        <is>
          <t>VÄSTERBOTTENS LÄN</t>
        </is>
      </c>
      <c r="G400" t="inlineStr">
        <is>
          <t>DOROTEA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45253</v>
      </c>
      <c r="E401" s="1" t="n">
        <v>46315</v>
      </c>
      <c r="F401" t="inlineStr">
        <is>
          <t>VÄSTERBOTTENS LÄN</t>
        </is>
      </c>
      <c r="G401" t="inlineStr">
        <is>
          <t>DOROTEA</t>
        </is>
      </c>
      <c r="I401" t="n">
        <v>28.8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40614-2026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46295</v>
      </c>
      <c r="E402" s="1" t="n">
        <v>46315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46315</v>
      </c>
      <c r="F403" t="inlineStr">
        <is>
          <t>VÄSTERBOTTENS LÄN</t>
        </is>
      </c>
      <c r="G403" t="inlineStr">
        <is>
          <t>DOROTEA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27305-2024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45471</v>
      </c>
      <c r="E404" s="1" t="n">
        <v>46315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28549-2023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46315</v>
      </c>
      <c r="F405" t="inlineStr">
        <is>
          <t>VÄSTERBOTTENS LÄN</t>
        </is>
      </c>
      <c r="G405" t="inlineStr">
        <is>
          <t>DOROTEA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45572</v>
      </c>
      <c r="E406" s="1" t="n">
        <v>46315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46315</v>
      </c>
      <c r="F407" t="inlineStr">
        <is>
          <t>VÄSTERBOTTENS LÄN</t>
        </is>
      </c>
      <c r="G407" t="inlineStr">
        <is>
          <t>DOROTEA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53382-2024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46315</v>
      </c>
      <c r="F408" t="inlineStr">
        <is>
          <t>VÄSTERBOTTENS LÄN</t>
        </is>
      </c>
      <c r="G408" t="inlineStr">
        <is>
          <t>DOROTEA</t>
        </is>
      </c>
      <c r="I408" t="n">
        <v>11.2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41157-2026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46300</v>
      </c>
      <c r="E409" s="1" t="n">
        <v>46315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46254</v>
      </c>
      <c r="E410" s="1" t="n">
        <v>46315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42104-2024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45562</v>
      </c>
      <c r="E411" s="1" t="n">
        <v>46315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45789</v>
      </c>
      <c r="E412" s="1" t="n">
        <v>46315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45771</v>
      </c>
      <c r="E413" s="1" t="n">
        <v>46315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46315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45485</v>
      </c>
      <c r="E415" s="1" t="n">
        <v>46315</v>
      </c>
      <c r="F415" t="inlineStr">
        <is>
          <t>VÄSTERBOTTENS LÄN</t>
        </is>
      </c>
      <c r="G415" t="inlineStr">
        <is>
          <t>DOROTEA</t>
        </is>
      </c>
      <c r="I415" t="n">
        <v>10.2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44645</v>
      </c>
      <c r="E416" s="1" t="n">
        <v>46315</v>
      </c>
      <c r="F416" t="inlineStr">
        <is>
          <t>VÄSTERBOTTENS LÄN</t>
        </is>
      </c>
      <c r="G416" t="inlineStr">
        <is>
          <t>DOROTEA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34820-2023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45140</v>
      </c>
      <c r="E417" s="1" t="n">
        <v>46315</v>
      </c>
      <c r="F417" t="inlineStr">
        <is>
          <t>VÄSTERBOTTENS LÄN</t>
        </is>
      </c>
      <c r="G417" t="inlineStr">
        <is>
          <t>DOROTEA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46300</v>
      </c>
      <c r="E418" s="1" t="n">
        <v>46315</v>
      </c>
      <c r="F418" t="inlineStr">
        <is>
          <t>VÄSTERBOTTENS LÄN</t>
        </is>
      </c>
      <c r="G418" t="inlineStr">
        <is>
          <t>DOROTEA</t>
        </is>
      </c>
      <c r="I418" t="n">
        <v>13.1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46315</v>
      </c>
      <c r="F419" t="inlineStr">
        <is>
          <t>VÄSTERBOTTENS LÄN</t>
        </is>
      </c>
      <c r="G419" t="inlineStr">
        <is>
          <t>DOROTEA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45517</v>
      </c>
      <c r="E420" s="1" t="n">
        <v>46315</v>
      </c>
      <c r="F420" t="inlineStr">
        <is>
          <t>VÄSTERBOTTENS LÄN</t>
        </is>
      </c>
      <c r="G420" t="inlineStr">
        <is>
          <t>DOROTEA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53380-2024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46315</v>
      </c>
      <c r="F421" t="inlineStr">
        <is>
          <t>VÄSTERBOTTENS LÄN</t>
        </is>
      </c>
      <c r="G421" t="inlineStr">
        <is>
          <t>DOROTEA</t>
        </is>
      </c>
      <c r="I421" t="n">
        <v>12.8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46261</v>
      </c>
      <c r="E422" s="1" t="n">
        <v>46315</v>
      </c>
      <c r="F422" t="inlineStr">
        <is>
          <t>VÄSTERBOTTENS LÄN</t>
        </is>
      </c>
      <c r="G422" t="inlineStr">
        <is>
          <t>DOROTEA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46261</v>
      </c>
      <c r="E423" s="1" t="n">
        <v>46315</v>
      </c>
      <c r="F423" t="inlineStr">
        <is>
          <t>VÄSTERBOTTENS LÄN</t>
        </is>
      </c>
      <c r="G423" t="inlineStr">
        <is>
          <t>DOROTEA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25356-2025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45800</v>
      </c>
      <c r="E424" s="1" t="n">
        <v>46315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42037-2026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46304</v>
      </c>
      <c r="E425" s="1" t="n">
        <v>46315</v>
      </c>
      <c r="F425" t="inlineStr">
        <is>
          <t>VÄSTERBOTTENS LÄN</t>
        </is>
      </c>
      <c r="G425" t="inlineStr">
        <is>
          <t>DOROTEA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46261</v>
      </c>
      <c r="E426" s="1" t="n">
        <v>46315</v>
      </c>
      <c r="F426" t="inlineStr">
        <is>
          <t>VÄSTERBOTTENS LÄN</t>
        </is>
      </c>
      <c r="G426" t="inlineStr">
        <is>
          <t>DOROTEA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42036-2026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46304</v>
      </c>
      <c r="E427" s="1" t="n">
        <v>46315</v>
      </c>
      <c r="F427" t="inlineStr">
        <is>
          <t>VÄSTERBOTTENS LÄN</t>
        </is>
      </c>
      <c r="G427" t="inlineStr">
        <is>
          <t>DOROTEA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46261</v>
      </c>
      <c r="E428" s="1" t="n">
        <v>46315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25606-2025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46315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46261</v>
      </c>
      <c r="E430" s="1" t="n">
        <v>46315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46315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46304</v>
      </c>
      <c r="E432" s="1" t="n">
        <v>46315</v>
      </c>
      <c r="F432" t="inlineStr">
        <is>
          <t>VÄSTERBOTTENS LÄN</t>
        </is>
      </c>
      <c r="G432" t="inlineStr">
        <is>
          <t>DOROTEA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45807</v>
      </c>
      <c r="E433" s="1" t="n">
        <v>46315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45807</v>
      </c>
      <c r="E434" s="1" t="n">
        <v>46315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46315</v>
      </c>
      <c r="F435" t="inlineStr">
        <is>
          <t>VÄSTERBOTTENS LÄN</t>
        </is>
      </c>
      <c r="G435" t="inlineStr">
        <is>
          <t>DOROTEA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45742</v>
      </c>
      <c r="E436" s="1" t="n">
        <v>46315</v>
      </c>
      <c r="F436" t="inlineStr">
        <is>
          <t>VÄSTERBOTTENS LÄN</t>
        </is>
      </c>
      <c r="G436" t="inlineStr">
        <is>
          <t>DOROTEA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45811</v>
      </c>
      <c r="E437" s="1" t="n">
        <v>46315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46315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35500-2026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46262</v>
      </c>
      <c r="E439" s="1" t="n">
        <v>46315</v>
      </c>
      <c r="F439" t="inlineStr">
        <is>
          <t>VÄSTERBOTTENS LÄN</t>
        </is>
      </c>
      <c r="G439" t="inlineStr">
        <is>
          <t>DOROTEA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46315</v>
      </c>
      <c r="F440" t="inlineStr">
        <is>
          <t>VÄSTERBOTTENS LÄN</t>
        </is>
      </c>
      <c r="G440" t="inlineStr">
        <is>
          <t>DOROTEA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42811-2026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46309</v>
      </c>
      <c r="E441" s="1" t="n">
        <v>46315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46301</v>
      </c>
      <c r="E442" s="1" t="n">
        <v>46315</v>
      </c>
      <c r="F442" t="inlineStr">
        <is>
          <t>VÄSTERBOTTENS LÄN</t>
        </is>
      </c>
      <c r="G442" t="inlineStr">
        <is>
          <t>DOROTEA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46309</v>
      </c>
      <c r="E443" s="1" t="n">
        <v>46315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46309</v>
      </c>
      <c r="E444" s="1" t="n">
        <v>46315</v>
      </c>
      <c r="F444" t="inlineStr">
        <is>
          <t>VÄSTERBOTTENS LÄN</t>
        </is>
      </c>
      <c r="G444" t="inlineStr">
        <is>
          <t>DOROTEA</t>
        </is>
      </c>
      <c r="I444" t="n">
        <v>9.199999999999999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46315</v>
      </c>
      <c r="F445" t="inlineStr">
        <is>
          <t>VÄSTERBOTTENS LÄN</t>
        </is>
      </c>
      <c r="G445" t="inlineStr">
        <is>
          <t>DOROTEA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45833</v>
      </c>
      <c r="E446" s="1" t="n">
        <v>46315</v>
      </c>
      <c r="F446" t="inlineStr">
        <is>
          <t>VÄSTERBOTTENS LÄN</t>
        </is>
      </c>
      <c r="G446" t="inlineStr">
        <is>
          <t>DOROTEA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46268</v>
      </c>
      <c r="E447" s="1" t="n">
        <v>46315</v>
      </c>
      <c r="F447" t="inlineStr">
        <is>
          <t>VÄSTERBOTTENS LÄN</t>
        </is>
      </c>
      <c r="G447" t="inlineStr">
        <is>
          <t>DOROTEA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46315</v>
      </c>
      <c r="F448" t="inlineStr">
        <is>
          <t>VÄSTERBOTTENS LÄN</t>
        </is>
      </c>
      <c r="G448" t="inlineStr">
        <is>
          <t>DOROTEA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45848</v>
      </c>
      <c r="E449" s="1" t="n">
        <v>46315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45847</v>
      </c>
      <c r="E450" s="1" t="n">
        <v>46315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45849</v>
      </c>
      <c r="E451" s="1" t="n">
        <v>46315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45852</v>
      </c>
      <c r="E452" s="1" t="n">
        <v>46315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35418-2025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45855</v>
      </c>
      <c r="E453" s="1" t="n">
        <v>46315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45855</v>
      </c>
      <c r="E454" s="1" t="n">
        <v>46315</v>
      </c>
      <c r="F454" t="inlineStr">
        <is>
          <t>VÄSTERBOTTENS LÄN</t>
        </is>
      </c>
      <c r="G454" t="inlineStr">
        <is>
          <t>DOROTEA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46315</v>
      </c>
      <c r="F455" t="inlineStr">
        <is>
          <t>VÄSTERBOTTENS LÄN</t>
        </is>
      </c>
      <c r="G455" t="inlineStr">
        <is>
          <t>DOROTEA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45855</v>
      </c>
      <c r="E456" s="1" t="n">
        <v>46315</v>
      </c>
      <c r="F456" t="inlineStr">
        <is>
          <t>VÄSTERBOTTENS LÄN</t>
        </is>
      </c>
      <c r="G456" t="inlineStr">
        <is>
          <t>DOROTEA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36125-2025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45866</v>
      </c>
      <c r="E457" s="1" t="n">
        <v>46315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36111-2025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45866</v>
      </c>
      <c r="E458" s="1" t="n">
        <v>46315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45874</v>
      </c>
      <c r="E459" s="1" t="n">
        <v>46315</v>
      </c>
      <c r="F459" t="inlineStr">
        <is>
          <t>VÄSTERBOTTENS LÄN</t>
        </is>
      </c>
      <c r="G459" t="inlineStr">
        <is>
          <t>DOROTEA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36844-2025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45874</v>
      </c>
      <c r="E460" s="1" t="n">
        <v>46315</v>
      </c>
      <c r="F460" t="inlineStr">
        <is>
          <t>VÄSTERBOTTENS LÄN</t>
        </is>
      </c>
      <c r="G460" t="inlineStr">
        <is>
          <t>DOROTEA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45876</v>
      </c>
      <c r="E461" s="1" t="n">
        <v>46315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45875</v>
      </c>
      <c r="E462" s="1" t="n">
        <v>46315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37276-2025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45876</v>
      </c>
      <c r="E463" s="1" t="n">
        <v>46315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45877</v>
      </c>
      <c r="E464" s="1" t="n">
        <v>46315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46315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38100-2025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46315</v>
      </c>
      <c r="F466" t="inlineStr">
        <is>
          <t>VÄSTERBOTTENS LÄN</t>
        </is>
      </c>
      <c r="G466" t="inlineStr">
        <is>
          <t>DOROTEA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45882</v>
      </c>
      <c r="E467" s="1" t="n">
        <v>46315</v>
      </c>
      <c r="F467" t="inlineStr">
        <is>
          <t>VÄSTERBOTTENS LÄN</t>
        </is>
      </c>
      <c r="G467" t="inlineStr">
        <is>
          <t>DOROTEA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46315</v>
      </c>
      <c r="F468" t="inlineStr">
        <is>
          <t>VÄSTERBOTTENS LÄN</t>
        </is>
      </c>
      <c r="G468" t="inlineStr">
        <is>
          <t>DOROTEA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38097-2025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46315</v>
      </c>
      <c r="F469" t="inlineStr">
        <is>
          <t>VÄSTERBOTTENS LÄN</t>
        </is>
      </c>
      <c r="G469" t="inlineStr">
        <is>
          <t>DOROTEA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38098-2025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46315</v>
      </c>
      <c r="F470" t="inlineStr">
        <is>
          <t>VÄSTERBOTTENS LÄN</t>
        </is>
      </c>
      <c r="G470" t="inlineStr">
        <is>
          <t>DOROTEA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2945-2024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45506</v>
      </c>
      <c r="E471" s="1" t="n">
        <v>46315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1058-2025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45749</v>
      </c>
      <c r="E472" s="1" t="n">
        <v>46315</v>
      </c>
      <c r="F472" t="inlineStr">
        <is>
          <t>VÄSTERBOTTENS LÄN</t>
        </is>
      </c>
      <c r="G472" t="inlineStr">
        <is>
          <t>DOROTEA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844-2025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45733</v>
      </c>
      <c r="E473" s="1" t="n">
        <v>46315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1293.5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2195-2025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45858</v>
      </c>
      <c r="E474" s="1" t="n">
        <v>46315</v>
      </c>
      <c r="F474" t="inlineStr">
        <is>
          <t>VÄSTERBOTTENS LÄN</t>
        </is>
      </c>
      <c r="G474" t="inlineStr">
        <is>
          <t>DOROTEA</t>
        </is>
      </c>
      <c r="I474" t="n">
        <v>27.4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2283-2025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45876</v>
      </c>
      <c r="E475" s="1" t="n">
        <v>46315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2360-2025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45889</v>
      </c>
      <c r="E476" s="1" t="n">
        <v>46315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2407-2026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46279</v>
      </c>
      <c r="E477" s="1" t="n">
        <v>46315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1763-2026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46189</v>
      </c>
      <c r="E478" s="1" t="n">
        <v>46315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2026-10-20T01:53:28Z</dcterms:created>
  <dcterms:modified xmlns:dcterms="http://purl.org/dc/terms/" xmlns:xsi="http://www.w3.org/2001/XMLSchema-instance" xsi:type="dcterms:W3CDTF">2026-10-20T01:53:28Z</dcterms:modified>
</cp:coreProperties>
</file>