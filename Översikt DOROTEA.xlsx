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46307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46307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46307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46307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46307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57059-2024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46307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7.5</v>
      </c>
      <c r="J7" t="n">
        <v>0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Harticka
Lunglav
Skrovellav
Vitgrynig nållav
Barkticka
Luddlav</t>
        </is>
      </c>
      <c r="W7">
        <f>HYPERLINK("https://klasma.github.io/Logging_2425/artfynd/A 57059-2024 artfynd.xlsx", "A 57059-2024")</f>
        <v/>
      </c>
      <c r="X7">
        <f>HYPERLINK("https://klasma.github.io/Logging_2425/kartor/A 57059-2024 karta.png", "A 57059-2024")</f>
        <v/>
      </c>
      <c r="Y7">
        <f>HYPERLINK("https://klasma.github.io/Logging_2425/kartor_geotiff/A 57059-2024 georefererad karta.tif", "A 57059-2024")</f>
        <v/>
      </c>
      <c r="AA7">
        <f>HYPERLINK("https://klasma.github.io/Logging_2425/klagomål/A 57059-2024 FSC-klagomål.docx", "A 57059-2024")</f>
        <v/>
      </c>
      <c r="AB7">
        <f>HYPERLINK("https://klasma.github.io/Logging_2425/klagomålsmail/A 57059-2024 FSC-klagomål mail.docx", "A 57059-2024")</f>
        <v/>
      </c>
      <c r="AC7">
        <f>HYPERLINK("https://klasma.github.io/Logging_2425/tillsyn/A 57059-2024 tillsynsbegäran.docx", "A 57059-2024")</f>
        <v/>
      </c>
      <c r="AD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46307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46307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46307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21.1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36</v>
      </c>
      <c r="U10" t="n">
        <v>36</v>
      </c>
      <c r="V10" s="2" t="inlineStr">
        <is>
          <t>Garnlav
Harticka
Lavskrika
Stjärntagging
Tretåig hackspett
Trådticka</t>
        </is>
      </c>
      <c r="W10">
        <f>HYPERLINK("https://klasma.github.io/Logging_2425/artfynd/A 33659-2023 artfynd.xlsx", "A 33659-2023")</f>
        <v/>
      </c>
      <c r="X10">
        <f>HYPERLINK("https://klasma.github.io/Logging_2425/kartor/A 33659-2023 karta.png", "A 33659-2023")</f>
        <v/>
      </c>
      <c r="Y10">
        <f>HYPERLINK("https://klasma.github.io/Logging_2425/kartor_geotiff/A 33659-2023 georefererad karta.tif", "A 33659-2023")</f>
        <v/>
      </c>
      <c r="AA10">
        <f>HYPERLINK("https://klasma.github.io/Logging_2425/klagomål/A 33659-2023 FSC-klagomål.docx", "A 33659-2023")</f>
        <v/>
      </c>
      <c r="AB10">
        <f>HYPERLINK("https://klasma.github.io/Logging_2425/klagomålsmail/A 33659-2023 FSC-klagomål mail.docx", "A 33659-2023")</f>
        <v/>
      </c>
      <c r="AC10">
        <f>HYPERLINK("https://klasma.github.io/Logging_2425/tillsyn/A 33659-2023 tillsynsbegäran.docx", "A 33659-2023")</f>
        <v/>
      </c>
      <c r="AD10">
        <f>HYPERLINK("https://klasma.github.io/Logging_2425/tillsynsmail/A 33659-2023 tillsynsbegäran mail.docx", "A 33659-2023")</f>
        <v/>
      </c>
      <c r="AE10">
        <f>HYPERLINK("https://klasma.github.io/Logging_2425/fåglar/A 33659-2023 prioriterade fågelarter.docx", "A 33659-2023")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46307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46307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46307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46307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46307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46307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46307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46307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21672-2023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45063</v>
      </c>
      <c r="E19" s="1" t="n">
        <v>46307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7.4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Doftskinn
Skrovellav
Ullticka</t>
        </is>
      </c>
      <c r="W19">
        <f>HYPERLINK("https://klasma.github.io/Logging_2425/artfynd/A 21672-2023 artfynd.xlsx", "A 21672-2023")</f>
        <v/>
      </c>
      <c r="X19">
        <f>HYPERLINK("https://klasma.github.io/Logging_2425/kartor/A 21672-2023 karta.png", "A 21672-2023")</f>
        <v/>
      </c>
      <c r="Y19">
        <f>HYPERLINK("https://klasma.github.io/Logging_2425/kartor_geotiff/A 21672-2023 georefererad karta.tif", "A 21672-2023")</f>
        <v/>
      </c>
      <c r="AA19">
        <f>HYPERLINK("https://klasma.github.io/Logging_2425/klagomål/A 21672-2023 FSC-klagomål.docx", "A 21672-2023")</f>
        <v/>
      </c>
      <c r="AB19">
        <f>HYPERLINK("https://klasma.github.io/Logging_2425/klagomålsmail/A 21672-2023 FSC-klagomål mail.docx", "A 21672-2023")</f>
        <v/>
      </c>
      <c r="AC19">
        <f>HYPERLINK("https://klasma.github.io/Logging_2425/tillsyn/A 21672-2023 tillsynsbegäran.docx", "A 21672-2023")</f>
        <v/>
      </c>
      <c r="AD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46307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46307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46307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46307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46307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46307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46307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46307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46307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46307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46307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46307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46307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46307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46307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46307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46307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46307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46307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46307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12005-2023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44994</v>
      </c>
      <c r="E40" s="1" t="n">
        <v>46307</v>
      </c>
      <c r="F40" t="inlineStr">
        <is>
          <t>VÄSTERBOTTENS LÄN</t>
        </is>
      </c>
      <c r="G40" t="inlineStr">
        <is>
          <t>DOROTEA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12005-2023 artfynd.xlsx", "A 12005-2023")</f>
        <v/>
      </c>
      <c r="X40">
        <f>HYPERLINK("https://klasma.github.io/Logging_2425/kartor/A 12005-2023 karta.png", "A 12005-2023")</f>
        <v/>
      </c>
      <c r="Y40">
        <f>HYPERLINK("https://klasma.github.io/Logging_2425/kartor_geotiff/A 12005-2023 georefererad karta.tif", "A 12005-2023")</f>
        <v/>
      </c>
      <c r="AA40">
        <f>HYPERLINK("https://klasma.github.io/Logging_2425/klagomål/A 12005-2023 FSC-klagomål.docx", "A 12005-2023")</f>
        <v/>
      </c>
      <c r="AB40">
        <f>HYPERLINK("https://klasma.github.io/Logging_2425/klagomålsmail/A 12005-2023 FSC-klagomål mail.docx", "A 12005-2023")</f>
        <v/>
      </c>
      <c r="AC40">
        <f>HYPERLINK("https://klasma.github.io/Logging_2425/tillsyn/A 12005-2023 tillsynsbegäran.docx", "A 12005-2023")</f>
        <v/>
      </c>
      <c r="AD40">
        <f>HYPERLINK("https://klasma.github.io/Logging_2425/tillsynsmail/A 12005-2023 tillsynsbegäran mail.docx", "A 12005-2023")</f>
        <v/>
      </c>
    </row>
    <row r="41" ht="15" customHeight="1">
      <c r="A41" t="inlineStr">
        <is>
          <t>A 57058-2024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46307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57058-2024 artfynd.xlsx", "A 57058-2024")</f>
        <v/>
      </c>
      <c r="X41">
        <f>HYPERLINK("https://klasma.github.io/Logging_2425/kartor/A 57058-2024 karta.png", "A 57058-2024")</f>
        <v/>
      </c>
      <c r="Y41">
        <f>HYPERLINK("https://klasma.github.io/Logging_2425/kartor_geotiff/A 57058-2024 georefererad karta.tif", "A 57058-2024")</f>
        <v/>
      </c>
      <c r="AA41">
        <f>HYPERLINK("https://klasma.github.io/Logging_2425/klagomål/A 57058-2024 FSC-klagomål.docx", "A 57058-2024")</f>
        <v/>
      </c>
      <c r="AB41">
        <f>HYPERLINK("https://klasma.github.io/Logging_2425/klagomålsmail/A 57058-2024 FSC-klagomål mail.docx", "A 57058-2024")</f>
        <v/>
      </c>
      <c r="AC41">
        <f>HYPERLINK("https://klasma.github.io/Logging_2425/tillsyn/A 57058-2024 tillsynsbegäran.docx", "A 57058-2024")</f>
        <v/>
      </c>
      <c r="AD41">
        <f>HYPERLINK("https://klasma.github.io/Logging_2425/tillsynsmail/A 57058-2024 tillsynsbegäran mail.docx", "A 57058-2024")</f>
        <v/>
      </c>
    </row>
    <row r="42" ht="15" customHeight="1">
      <c r="A42" t="inlineStr">
        <is>
          <t>A 26440-2025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46307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HYPERLINK("https://klasma.github.io/Logging_2425/artfynd/A 26440-2025 artfynd.xlsx", "A 26440-2025")</f>
        <v/>
      </c>
      <c r="X42">
        <f>HYPERLINK("https://klasma.github.io/Logging_2425/kartor/A 26440-2025 karta.png", "A 26440-2025")</f>
        <v/>
      </c>
      <c r="Y42">
        <f>HYPERLINK("https://klasma.github.io/Logging_2425/kartor_geotiff/A 26440-2025 georefererad karta.tif", "A 26440-2025")</f>
        <v/>
      </c>
      <c r="AA42">
        <f>HYPERLINK("https://klasma.github.io/Logging_2425/klagomål/A 26440-2025 FSC-klagomål.docx", "A 26440-2025")</f>
        <v/>
      </c>
      <c r="AB42">
        <f>HYPERLINK("https://klasma.github.io/Logging_2425/klagomålsmail/A 26440-2025 FSC-klagomål mail.docx", "A 26440-2025")</f>
        <v/>
      </c>
      <c r="AC42">
        <f>HYPERLINK("https://klasma.github.io/Logging_2425/tillsyn/A 26440-2025 tillsynsbegäran.docx", "A 26440-2025")</f>
        <v/>
      </c>
      <c r="AD42">
        <f>HYPERLINK("https://klasma.github.io/Logging_2425/tillsynsmail/A 26440-2025 tillsynsbegäran mail.docx", "A 26440-2025")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46307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20600-2023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45057</v>
      </c>
      <c r="E44" s="1" t="n">
        <v>46307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HYPERLINK("https://klasma.github.io/Logging_2425/artfynd/A 20600-2023 artfynd.xlsx", "A 20600-2023")</f>
        <v/>
      </c>
      <c r="X44">
        <f>HYPERLINK("https://klasma.github.io/Logging_2425/kartor/A 20600-2023 karta.png", "A 20600-2023")</f>
        <v/>
      </c>
      <c r="Y44">
        <f>HYPERLINK("https://klasma.github.io/Logging_2425/kartor_geotiff/A 20600-2023 georefererad karta.tif", "A 20600-2023")</f>
        <v/>
      </c>
      <c r="AA44">
        <f>HYPERLINK("https://klasma.github.io/Logging_2425/klagomål/A 20600-2023 FSC-klagomål.docx", "A 20600-2023")</f>
        <v/>
      </c>
      <c r="AB44">
        <f>HYPERLINK("https://klasma.github.io/Logging_2425/klagomålsmail/A 20600-2023 FSC-klagomål mail.docx", "A 20600-2023")</f>
        <v/>
      </c>
      <c r="AC44">
        <f>HYPERLINK("https://klasma.github.io/Logging_2425/tillsyn/A 20600-2023 tillsynsbegäran.docx", "A 20600-2023")</f>
        <v/>
      </c>
      <c r="AD44">
        <f>HYPERLINK("https://klasma.github.io/Logging_2425/tillsynsmail/A 20600-2023 tillsynsbegäran mail.docx", "A 20600-2023")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46307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46815-2023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45198</v>
      </c>
      <c r="E46" s="1" t="n">
        <v>46307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Harticka</t>
        </is>
      </c>
      <c r="W46">
        <f>HYPERLINK("https://klasma.github.io/Logging_2425/artfynd/A 46815-2023 artfynd.xlsx", "A 46815-2023")</f>
        <v/>
      </c>
      <c r="X46">
        <f>HYPERLINK("https://klasma.github.io/Logging_2425/kartor/A 46815-2023 karta.png", "A 46815-2023")</f>
        <v/>
      </c>
      <c r="Y46">
        <f>HYPERLINK("https://klasma.github.io/Logging_2425/kartor_geotiff/A 46815-2023 georefererad karta.tif", "A 46815-2023")</f>
        <v/>
      </c>
      <c r="AA46">
        <f>HYPERLINK("https://klasma.github.io/Logging_2425/klagomål/A 46815-2023 FSC-klagomål.docx", "A 46815-2023")</f>
        <v/>
      </c>
      <c r="AB46">
        <f>HYPERLINK("https://klasma.github.io/Logging_2425/klagomålsmail/A 46815-2023 FSC-klagomål mail.docx", "A 46815-2023")</f>
        <v/>
      </c>
      <c r="AC46">
        <f>HYPERLINK("https://klasma.github.io/Logging_2425/tillsyn/A 46815-2023 tillsynsbegäran.docx", "A 46815-2023")</f>
        <v/>
      </c>
      <c r="AD46">
        <f>HYPERLINK("https://klasma.github.io/Logging_2425/tillsynsmail/A 46815-2023 tillsynsbegäran mail.docx", "A 46815-2023")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46307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30286-2023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46307</v>
      </c>
      <c r="F48" t="inlineStr">
        <is>
          <t>VÄSTERBOTTENS LÄN</t>
        </is>
      </c>
      <c r="G48" t="inlineStr">
        <is>
          <t>DOROTEA</t>
        </is>
      </c>
      <c r="I48" t="n">
        <v>21.2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Skogsrör</t>
        </is>
      </c>
      <c r="W48">
        <f>HYPERLINK("https://klasma.github.io/Logging_2425/artfynd/A 30286-2023 artfynd.xlsx", "A 30286-2023")</f>
        <v/>
      </c>
      <c r="X48">
        <f>HYPERLINK("https://klasma.github.io/Logging_2425/kartor/A 30286-2023 karta.png", "A 30286-2023")</f>
        <v/>
      </c>
      <c r="Y48">
        <f>HYPERLINK("https://klasma.github.io/Logging_2425/kartor_geotiff/A 30286-2023 georefererad karta.tif", "A 30286-2023")</f>
        <v/>
      </c>
      <c r="AA48">
        <f>HYPERLINK("https://klasma.github.io/Logging_2425/klagomål/A 30286-2023 FSC-klagomål.docx", "A 30286-2023")</f>
        <v/>
      </c>
      <c r="AB48">
        <f>HYPERLINK("https://klasma.github.io/Logging_2425/klagomålsmail/A 30286-2023 FSC-klagomål mail.docx", "A 30286-2023")</f>
        <v/>
      </c>
      <c r="AC48">
        <f>HYPERLINK("https://klasma.github.io/Logging_2425/tillsyn/A 30286-2023 tillsynsbegäran.docx", "A 30286-2023")</f>
        <v/>
      </c>
      <c r="AD48">
        <f>HYPERLINK("https://klasma.github.io/Logging_2425/tillsynsmail/A 30286-2023 tillsynsbegäran mail.docx", "A 30286-2023")</f>
        <v/>
      </c>
    </row>
    <row r="49" ht="15" customHeight="1">
      <c r="A49" t="inlineStr">
        <is>
          <t>A 36318-2024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45534</v>
      </c>
      <c r="E49" s="1" t="n">
        <v>46307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8</v>
      </c>
      <c r="V49" s="2" t="inlineStr">
        <is>
          <t>Garnlav</t>
        </is>
      </c>
      <c r="W49">
        <f>HYPERLINK("https://klasma.github.io/Logging_2425/artfynd/A 36318-2024 artfynd.xlsx", "A 36318-2024")</f>
        <v/>
      </c>
      <c r="X49">
        <f>HYPERLINK("https://klasma.github.io/Logging_2425/kartor/A 36318-2024 karta.png", "A 36318-2024")</f>
        <v/>
      </c>
      <c r="Y49">
        <f>HYPERLINK("https://klasma.github.io/Logging_2425/kartor_geotiff/A 36318-2024 georefererad karta.tif", "A 36318-2024")</f>
        <v/>
      </c>
      <c r="AA49">
        <f>HYPERLINK("https://klasma.github.io/Logging_2425/klagomål/A 36318-2024 FSC-klagomål.docx", "A 36318-2024")</f>
        <v/>
      </c>
      <c r="AB49">
        <f>HYPERLINK("https://klasma.github.io/Logging_2425/klagomålsmail/A 36318-2024 FSC-klagomål mail.docx", "A 36318-2024")</f>
        <v/>
      </c>
      <c r="AC49">
        <f>HYPERLINK("https://klasma.github.io/Logging_2425/tillsyn/A 36318-2024 tillsynsbegäran.docx", "A 36318-2024")</f>
        <v/>
      </c>
      <c r="AD49">
        <f>HYPERLINK("https://klasma.github.io/Logging_2425/tillsynsmail/A 36318-2024 tillsynsbegäran mail.docx", "A 36318-2024")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46307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46307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46307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46307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46307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46307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46307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46307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46307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46307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46307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46307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46307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46307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46307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46307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46307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46307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46307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44761</v>
      </c>
      <c r="E69" s="1" t="n">
        <v>46307</v>
      </c>
      <c r="F69" t="inlineStr">
        <is>
          <t>VÄSTERBOTTENS LÄN</t>
        </is>
      </c>
      <c r="G69" t="inlineStr">
        <is>
          <t>DOROTEA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48006-2023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45198</v>
      </c>
      <c r="E70" s="1" t="n">
        <v>46307</v>
      </c>
      <c r="F70" t="inlineStr">
        <is>
          <t>VÄSTERBOTTENS LÄN</t>
        </is>
      </c>
      <c r="G70" t="inlineStr">
        <is>
          <t>DOROTEA</t>
        </is>
      </c>
      <c r="H70" t="inlineStr">
        <is>
          <t>Övriga statliga verk och myndigheter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27199-2024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45471</v>
      </c>
      <c r="E71" s="1" t="n">
        <v>46307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45253</v>
      </c>
      <c r="E72" s="1" t="n">
        <v>46307</v>
      </c>
      <c r="F72" t="inlineStr">
        <is>
          <t>VÄSTERBOTTENS LÄN</t>
        </is>
      </c>
      <c r="G72" t="inlineStr">
        <is>
          <t>DOROTEA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46307</v>
      </c>
      <c r="F73" t="inlineStr">
        <is>
          <t>VÄSTERBOTTENS LÄN</t>
        </is>
      </c>
      <c r="G73" t="inlineStr">
        <is>
          <t>DOROTEA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46307</v>
      </c>
      <c r="F74" t="inlineStr">
        <is>
          <t>VÄSTERBOTTENS LÄN</t>
        </is>
      </c>
      <c r="G74" t="inlineStr">
        <is>
          <t>DOROTEA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45055</v>
      </c>
      <c r="E75" s="1" t="n">
        <v>46307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13.9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44524</v>
      </c>
      <c r="E76" s="1" t="n">
        <v>46307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46307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46307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32821-2024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45516</v>
      </c>
      <c r="E79" s="1" t="n">
        <v>46307</v>
      </c>
      <c r="F79" t="inlineStr">
        <is>
          <t>VÄSTERBOTTENS LÄN</t>
        </is>
      </c>
      <c r="G79" t="inlineStr">
        <is>
          <t>DOROTEA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46307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45734</v>
      </c>
      <c r="E81" s="1" t="n">
        <v>46307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46307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46307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45036</v>
      </c>
      <c r="E84" s="1" t="n">
        <v>46307</v>
      </c>
      <c r="F84" t="inlineStr">
        <is>
          <t>VÄSTERBOTTENS LÄN</t>
        </is>
      </c>
      <c r="G84" t="inlineStr">
        <is>
          <t>DOROTEA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46307</v>
      </c>
      <c r="F85" t="inlineStr">
        <is>
          <t>VÄSTERBOTTENS LÄN</t>
        </is>
      </c>
      <c r="G85" t="inlineStr">
        <is>
          <t>DOROTEA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45142</v>
      </c>
      <c r="E86" s="1" t="n">
        <v>46307</v>
      </c>
      <c r="F86" t="inlineStr">
        <is>
          <t>VÄSTERBOTTENS LÄN</t>
        </is>
      </c>
      <c r="G86" t="inlineStr">
        <is>
          <t>DOROTEA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45228</v>
      </c>
      <c r="E87" s="1" t="n">
        <v>46307</v>
      </c>
      <c r="F87" t="inlineStr">
        <is>
          <t>VÄSTERBOTTENS LÄN</t>
        </is>
      </c>
      <c r="G87" t="inlineStr">
        <is>
          <t>DOROTEA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45228</v>
      </c>
      <c r="E88" s="1" t="n">
        <v>46307</v>
      </c>
      <c r="F88" t="inlineStr">
        <is>
          <t>VÄSTERBOTTENS LÄN</t>
        </is>
      </c>
      <c r="G88" t="inlineStr">
        <is>
          <t>DOROTEA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46307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55919-2023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45239</v>
      </c>
      <c r="E90" s="1" t="n">
        <v>46307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46307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46307</v>
      </c>
      <c r="F92" t="inlineStr">
        <is>
          <t>VÄSTERBOTTENS LÄN</t>
        </is>
      </c>
      <c r="G92" t="inlineStr">
        <is>
          <t>DOROTEA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46307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52276-2023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46307</v>
      </c>
      <c r="F94" t="inlineStr">
        <is>
          <t>VÄSTERBOTTENS LÄN</t>
        </is>
      </c>
      <c r="G94" t="inlineStr">
        <is>
          <t>DOROTEA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44824</v>
      </c>
      <c r="E95" s="1" t="n">
        <v>46307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46307</v>
      </c>
      <c r="F96" t="inlineStr">
        <is>
          <t>VÄSTERBOTTENS LÄN</t>
        </is>
      </c>
      <c r="G96" t="inlineStr">
        <is>
          <t>DOROTEA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46307</v>
      </c>
      <c r="F97" t="inlineStr">
        <is>
          <t>VÄSTERBOTTENS LÄN</t>
        </is>
      </c>
      <c r="G97" t="inlineStr">
        <is>
          <t>DOROTEA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46307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46307</v>
      </c>
      <c r="F99" t="inlineStr">
        <is>
          <t>VÄSTERBOTTENS LÄN</t>
        </is>
      </c>
      <c r="G99" t="inlineStr">
        <is>
          <t>DOROTEA</t>
        </is>
      </c>
      <c r="I99" t="n">
        <v>14.8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45551</v>
      </c>
      <c r="E100" s="1" t="n">
        <v>46307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52144-2023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46307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44956</v>
      </c>
      <c r="E102" s="1" t="n">
        <v>46307</v>
      </c>
      <c r="F102" t="inlineStr">
        <is>
          <t>VÄSTERBOTTENS LÄN</t>
        </is>
      </c>
      <c r="G102" t="inlineStr">
        <is>
          <t>DOROTEA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46307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46307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46307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46307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46307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46307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22450-2024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46307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45244</v>
      </c>
      <c r="E110" s="1" t="n">
        <v>46307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46307</v>
      </c>
      <c r="F111" t="inlineStr">
        <is>
          <t>VÄSTERBOTTENS LÄN</t>
        </is>
      </c>
      <c r="G111" t="inlineStr">
        <is>
          <t>DOROTEA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46307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59418-2023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45253</v>
      </c>
      <c r="E113" s="1" t="n">
        <v>46307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46307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45257</v>
      </c>
      <c r="E115" s="1" t="n">
        <v>46307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45488</v>
      </c>
      <c r="E116" s="1" t="n">
        <v>46307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46307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46307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45893</v>
      </c>
      <c r="E119" s="1" t="n">
        <v>46307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46307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46307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46307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40435-2023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45169</v>
      </c>
      <c r="E123" s="1" t="n">
        <v>46307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46307</v>
      </c>
      <c r="F124" t="inlineStr">
        <is>
          <t>VÄSTERBOTTENS LÄN</t>
        </is>
      </c>
      <c r="G124" t="inlineStr">
        <is>
          <t>DOROTEA</t>
        </is>
      </c>
      <c r="I124" t="n">
        <v>28.8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46307</v>
      </c>
      <c r="F125" t="inlineStr">
        <is>
          <t>VÄSTERBOTTENS LÄN</t>
        </is>
      </c>
      <c r="G125" t="inlineStr">
        <is>
          <t>DOROTEA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46307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46307</v>
      </c>
      <c r="F127" t="inlineStr">
        <is>
          <t>VÄSTERBOTTENS LÄN</t>
        </is>
      </c>
      <c r="G127" t="inlineStr">
        <is>
          <t>DOROTEA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46307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27305-2024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45471</v>
      </c>
      <c r="E129" s="1" t="n">
        <v>46307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46307</v>
      </c>
      <c r="F130" t="inlineStr">
        <is>
          <t>VÄSTERBOTTENS LÄN</t>
        </is>
      </c>
      <c r="G130" t="inlineStr">
        <is>
          <t>DOROTEA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46307</v>
      </c>
      <c r="F131" t="inlineStr">
        <is>
          <t>VÄSTERBOTTENS LÄN</t>
        </is>
      </c>
      <c r="G131" t="inlineStr">
        <is>
          <t>DOROTEA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29645-2023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46307</v>
      </c>
      <c r="F132" t="inlineStr">
        <is>
          <t>VÄSTERBOTTENS LÄN</t>
        </is>
      </c>
      <c r="G132" t="inlineStr">
        <is>
          <t>DOROTEA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46307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46307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46307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46307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46307</v>
      </c>
      <c r="F137" t="inlineStr">
        <is>
          <t>VÄSTERBOTTENS LÄN</t>
        </is>
      </c>
      <c r="G137" t="inlineStr">
        <is>
          <t>DOROTEA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46307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44282-2025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45916</v>
      </c>
      <c r="E139" s="1" t="n">
        <v>46307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46307</v>
      </c>
      <c r="F140" t="inlineStr">
        <is>
          <t>VÄSTERBOTTENS LÄN</t>
        </is>
      </c>
      <c r="G140" t="inlineStr">
        <is>
          <t>DOROTEA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46307</v>
      </c>
      <c r="F141" t="inlineStr">
        <is>
          <t>VÄSTERBOTTENS LÄN</t>
        </is>
      </c>
      <c r="G141" t="inlineStr">
        <is>
          <t>DOROTEA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46307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46307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46307</v>
      </c>
      <c r="F144" t="inlineStr">
        <is>
          <t>VÄSTERBOTTENS LÄN</t>
        </is>
      </c>
      <c r="G144" t="inlineStr">
        <is>
          <t>DOROTEA</t>
        </is>
      </c>
      <c r="H144" t="inlineStr">
        <is>
          <t>Övriga statliga verk och myndigheter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57431-2022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46307</v>
      </c>
      <c r="F145" t="inlineStr">
        <is>
          <t>VÄSTERBOTTENS LÄN</t>
        </is>
      </c>
      <c r="G145" t="inlineStr">
        <is>
          <t>DOROTEA</t>
        </is>
      </c>
      <c r="I145" t="n">
        <v>15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46307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45586</v>
      </c>
      <c r="E147" s="1" t="n">
        <v>46307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46307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46307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74013-2021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46307</v>
      </c>
      <c r="F150" t="inlineStr">
        <is>
          <t>VÄSTERBOTTENS LÄN</t>
        </is>
      </c>
      <c r="G150" t="inlineStr">
        <is>
          <t>DOROTEA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44925</v>
      </c>
      <c r="E151" s="1" t="n">
        <v>46307</v>
      </c>
      <c r="F151" t="inlineStr">
        <is>
          <t>VÄSTERBOTTENS LÄN</t>
        </is>
      </c>
      <c r="G151" t="inlineStr">
        <is>
          <t>DOROTEA</t>
        </is>
      </c>
      <c r="I151" t="n">
        <v>22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46307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42104-2024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45562</v>
      </c>
      <c r="E153" s="1" t="n">
        <v>46307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46307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Sveaskog</t>
        </is>
      </c>
      <c r="I154" t="n">
        <v>13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46307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46307</v>
      </c>
      <c r="F156" t="inlineStr">
        <is>
          <t>VÄSTERBOTTENS LÄN</t>
        </is>
      </c>
      <c r="G156" t="inlineStr">
        <is>
          <t>DOROTEA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46307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46307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46307</v>
      </c>
      <c r="F159" t="inlineStr">
        <is>
          <t>VÄSTERBOTTENS LÄN</t>
        </is>
      </c>
      <c r="G159" t="inlineStr">
        <is>
          <t>DOROTEA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46307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46307</v>
      </c>
      <c r="F161" t="inlineStr">
        <is>
          <t>VÄSTERBOTTENS LÄN</t>
        </is>
      </c>
      <c r="G161" t="inlineStr">
        <is>
          <t>DOROTEA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46307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46307</v>
      </c>
      <c r="F163" t="inlineStr">
        <is>
          <t>VÄSTERBOTTENS LÄN</t>
        </is>
      </c>
      <c r="G163" t="inlineStr">
        <is>
          <t>DOROTEA</t>
        </is>
      </c>
      <c r="I163" t="n">
        <v>10.2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13451-2022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44645</v>
      </c>
      <c r="E164" s="1" t="n">
        <v>46307</v>
      </c>
      <c r="F164" t="inlineStr">
        <is>
          <t>VÄSTERBOTTENS LÄN</t>
        </is>
      </c>
      <c r="G164" t="inlineStr">
        <is>
          <t>DOROTEA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46307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46307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46307</v>
      </c>
      <c r="F167" t="inlineStr">
        <is>
          <t>VÄSTERBOTTENS LÄN</t>
        </is>
      </c>
      <c r="G167" t="inlineStr">
        <is>
          <t>DOROTEA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45036</v>
      </c>
      <c r="E168" s="1" t="n">
        <v>46307</v>
      </c>
      <c r="F168" t="inlineStr">
        <is>
          <t>VÄSTERBOTTENS LÄN</t>
        </is>
      </c>
      <c r="G168" t="inlineStr">
        <is>
          <t>DOROTEA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46307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7429-2023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44971</v>
      </c>
      <c r="E170" s="1" t="n">
        <v>46307</v>
      </c>
      <c r="F170" t="inlineStr">
        <is>
          <t>VÄSTERBOTTENS LÄN</t>
        </is>
      </c>
      <c r="G170" t="inlineStr">
        <is>
          <t>DOROTEA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35990-2023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46307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45551</v>
      </c>
      <c r="E172" s="1" t="n">
        <v>46307</v>
      </c>
      <c r="F172" t="inlineStr">
        <is>
          <t>VÄSTERBOTTENS LÄN</t>
        </is>
      </c>
      <c r="G172" t="inlineStr">
        <is>
          <t>DOROTEA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45517</v>
      </c>
      <c r="E173" s="1" t="n">
        <v>46307</v>
      </c>
      <c r="F173" t="inlineStr">
        <is>
          <t>VÄSTERBOTTENS LÄN</t>
        </is>
      </c>
      <c r="G173" t="inlineStr">
        <is>
          <t>DOROTEA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46307</v>
      </c>
      <c r="F174" t="inlineStr">
        <is>
          <t>VÄSTERBOTTENS LÄN</t>
        </is>
      </c>
      <c r="G174" t="inlineStr">
        <is>
          <t>DOROTEA</t>
        </is>
      </c>
      <c r="I174" t="n">
        <v>26.5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46307</v>
      </c>
      <c r="F175" t="inlineStr">
        <is>
          <t>VÄSTERBOTTENS LÄN</t>
        </is>
      </c>
      <c r="G175" t="inlineStr">
        <is>
          <t>DOROTEA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44956</v>
      </c>
      <c r="E176" s="1" t="n">
        <v>46307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46307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46307</v>
      </c>
      <c r="F178" t="inlineStr">
        <is>
          <t>VÄSTERBOTTENS LÄN</t>
        </is>
      </c>
      <c r="G178" t="inlineStr">
        <is>
          <t>DOROTEA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46307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46307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46307</v>
      </c>
      <c r="F181" t="inlineStr">
        <is>
          <t>VÄSTERBOTTENS LÄN</t>
        </is>
      </c>
      <c r="G181" t="inlineStr">
        <is>
          <t>DOROTEA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46307</v>
      </c>
      <c r="F182" t="inlineStr">
        <is>
          <t>VÄSTERBOTTENS LÄN</t>
        </is>
      </c>
      <c r="G182" t="inlineStr">
        <is>
          <t>DOROTEA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46307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46307</v>
      </c>
      <c r="F184" t="inlineStr">
        <is>
          <t>VÄSTERBOTTENS LÄN</t>
        </is>
      </c>
      <c r="G184" t="inlineStr">
        <is>
          <t>DOROTEA</t>
        </is>
      </c>
      <c r="H184" t="inlineStr">
        <is>
          <t>Kommuner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46307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46307</v>
      </c>
      <c r="F186" t="inlineStr">
        <is>
          <t>VÄSTERBOTTENS LÄN</t>
        </is>
      </c>
      <c r="G186" t="inlineStr">
        <is>
          <t>DOROTEA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46307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46307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46307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46307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46307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46307</v>
      </c>
      <c r="F192" t="inlineStr">
        <is>
          <t>VÄSTERBOTTENS LÄN</t>
        </is>
      </c>
      <c r="G192" t="inlineStr">
        <is>
          <t>DOROTEA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46307</v>
      </c>
      <c r="F193" t="inlineStr">
        <is>
          <t>VÄSTERBOTTENS LÄN</t>
        </is>
      </c>
      <c r="G193" t="inlineStr">
        <is>
          <t>DOROTEA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46307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25028-2024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45461</v>
      </c>
      <c r="E195" s="1" t="n">
        <v>46307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46307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46307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46307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46307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44956</v>
      </c>
      <c r="E200" s="1" t="n">
        <v>46307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46307</v>
      </c>
      <c r="F201" t="inlineStr">
        <is>
          <t>VÄSTERBOTTENS LÄN</t>
        </is>
      </c>
      <c r="G201" t="inlineStr">
        <is>
          <t>DOROTEA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46307</v>
      </c>
      <c r="F202" t="inlineStr">
        <is>
          <t>VÄSTERBOTTENS LÄN</t>
        </is>
      </c>
      <c r="G202" t="inlineStr">
        <is>
          <t>DOROTEA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46307</v>
      </c>
      <c r="F203" t="inlineStr">
        <is>
          <t>VÄSTERBOTTENS LÄN</t>
        </is>
      </c>
      <c r="G203" t="inlineStr">
        <is>
          <t>DOROTEA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46307</v>
      </c>
      <c r="F204" t="inlineStr">
        <is>
          <t>VÄSTERBOTTENS LÄN</t>
        </is>
      </c>
      <c r="G204" t="inlineStr">
        <is>
          <t>DOROTEA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46307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46307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45223</v>
      </c>
      <c r="E207" s="1" t="n">
        <v>46307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46307</v>
      </c>
      <c r="F208" t="inlineStr">
        <is>
          <t>VÄSTERBOTTENS LÄN</t>
        </is>
      </c>
      <c r="G208" t="inlineStr">
        <is>
          <t>DOROTEA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46307</v>
      </c>
      <c r="F209" t="inlineStr">
        <is>
          <t>VÄSTERBOTTENS LÄN</t>
        </is>
      </c>
      <c r="G209" t="inlineStr">
        <is>
          <t>DOROTEA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46307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46307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46307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46307</v>
      </c>
      <c r="F213" t="inlineStr">
        <is>
          <t>VÄSTERBOTTENS LÄN</t>
        </is>
      </c>
      <c r="G213" t="inlineStr">
        <is>
          <t>DOROTEA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46307</v>
      </c>
      <c r="F214" t="inlineStr">
        <is>
          <t>VÄSTERBOTTENS LÄN</t>
        </is>
      </c>
      <c r="G214" t="inlineStr">
        <is>
          <t>DOROTEA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46307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46307</v>
      </c>
      <c r="F216" t="inlineStr">
        <is>
          <t>VÄSTERBOTTENS LÄN</t>
        </is>
      </c>
      <c r="G216" t="inlineStr">
        <is>
          <t>DOROTEA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46307</v>
      </c>
      <c r="F217" t="inlineStr">
        <is>
          <t>VÄSTERBOTTENS LÄN</t>
        </is>
      </c>
      <c r="G217" t="inlineStr">
        <is>
          <t>DOROTEA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46307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46307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46307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46307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46307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46307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46307</v>
      </c>
      <c r="F224" t="inlineStr">
        <is>
          <t>VÄSTERBOTTENS LÄN</t>
        </is>
      </c>
      <c r="G224" t="inlineStr">
        <is>
          <t>DOROTEA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45855</v>
      </c>
      <c r="E225" s="1" t="n">
        <v>46307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40434-2023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45169</v>
      </c>
      <c r="E226" s="1" t="n">
        <v>46307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46307</v>
      </c>
      <c r="F227" t="inlineStr">
        <is>
          <t>VÄSTERBOTTENS LÄN</t>
        </is>
      </c>
      <c r="G227" t="inlineStr">
        <is>
          <t>DOROTEA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46307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46307</v>
      </c>
      <c r="F229" t="inlineStr">
        <is>
          <t>VÄSTERBOTTENS LÄN</t>
        </is>
      </c>
      <c r="G229" t="inlineStr">
        <is>
          <t>DOROTEA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46307</v>
      </c>
      <c r="F230" t="inlineStr">
        <is>
          <t>VÄSTERBOTTENS LÄN</t>
        </is>
      </c>
      <c r="G230" t="inlineStr">
        <is>
          <t>DOROTEA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46307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46307</v>
      </c>
      <c r="F232" t="inlineStr">
        <is>
          <t>VÄSTERBOTTENS LÄN</t>
        </is>
      </c>
      <c r="G232" t="inlineStr">
        <is>
          <t>DOROTEA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46307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46307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46307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46307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45975</v>
      </c>
      <c r="E237" s="1" t="n">
        <v>46307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46307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45978</v>
      </c>
      <c r="E239" s="1" t="n">
        <v>46307</v>
      </c>
      <c r="F239" t="inlineStr">
        <is>
          <t>VÄSTERBOTTENS LÄN</t>
        </is>
      </c>
      <c r="G239" t="inlineStr">
        <is>
          <t>DOROTEA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46307</v>
      </c>
      <c r="F240" t="inlineStr">
        <is>
          <t>VÄSTERBOTTENS LÄN</t>
        </is>
      </c>
      <c r="G240" t="inlineStr">
        <is>
          <t>DOROTEA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46307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47494-2023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45202</v>
      </c>
      <c r="E242" s="1" t="n">
        <v>46307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45977</v>
      </c>
      <c r="E243" s="1" t="n">
        <v>46307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46307</v>
      </c>
      <c r="F244" t="inlineStr">
        <is>
          <t>VÄSTERBOTTENS LÄN</t>
        </is>
      </c>
      <c r="G244" t="inlineStr">
        <is>
          <t>DOROTEA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46307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45475</v>
      </c>
      <c r="E246" s="1" t="n">
        <v>46307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46307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46307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46307</v>
      </c>
      <c r="F249" t="inlineStr">
        <is>
          <t>VÄSTERBOTTENS LÄN</t>
        </is>
      </c>
      <c r="G249" t="inlineStr">
        <is>
          <t>DOROTEA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46307</v>
      </c>
      <c r="F250" t="inlineStr">
        <is>
          <t>VÄSTERBOTTENS LÄN</t>
        </is>
      </c>
      <c r="G250" t="inlineStr">
        <is>
          <t>DOROTEA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46307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46307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46307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46307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46307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46307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46307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45013</v>
      </c>
      <c r="E258" s="1" t="n">
        <v>46307</v>
      </c>
      <c r="F258" t="inlineStr">
        <is>
          <t>VÄSTERBOTTENS LÄN</t>
        </is>
      </c>
      <c r="G258" t="inlineStr">
        <is>
          <t>DOROTEA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45877</v>
      </c>
      <c r="E259" s="1" t="n">
        <v>46307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46307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46307</v>
      </c>
      <c r="F261" t="inlineStr">
        <is>
          <t>VÄSTERBOTTENS LÄN</t>
        </is>
      </c>
      <c r="G261" t="inlineStr">
        <is>
          <t>DOROTEA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45882</v>
      </c>
      <c r="E262" s="1" t="n">
        <v>46307</v>
      </c>
      <c r="F262" t="inlineStr">
        <is>
          <t>VÄSTERBOTTENS LÄN</t>
        </is>
      </c>
      <c r="G262" t="inlineStr">
        <is>
          <t>DOROTEA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46307</v>
      </c>
      <c r="F263" t="inlineStr">
        <is>
          <t>VÄSTERBOTTENS LÄN</t>
        </is>
      </c>
      <c r="G263" t="inlineStr">
        <is>
          <t>DOROTEA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46307</v>
      </c>
      <c r="F264" t="inlineStr">
        <is>
          <t>VÄSTERBOTTENS LÄN</t>
        </is>
      </c>
      <c r="G264" t="inlineStr">
        <is>
          <t>DOROTEA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46307</v>
      </c>
      <c r="F265" t="inlineStr">
        <is>
          <t>VÄSTERBOTTENS LÄN</t>
        </is>
      </c>
      <c r="G265" t="inlineStr">
        <is>
          <t>DOROTEA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46307</v>
      </c>
      <c r="F266" t="inlineStr">
        <is>
          <t>VÄSTERBOTTENS LÄN</t>
        </is>
      </c>
      <c r="G266" t="inlineStr">
        <is>
          <t>DOROTEA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46307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46307</v>
      </c>
      <c r="F268" t="inlineStr">
        <is>
          <t>VÄSTERBOTTENS LÄN</t>
        </is>
      </c>
      <c r="G268" t="inlineStr">
        <is>
          <t>DOROTEA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46307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46307</v>
      </c>
      <c r="F270" t="inlineStr">
        <is>
          <t>VÄSTERBOTTENS LÄN</t>
        </is>
      </c>
      <c r="G270" t="inlineStr">
        <is>
          <t>DOROTEA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46307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46307</v>
      </c>
      <c r="F272" t="inlineStr">
        <is>
          <t>VÄSTERBOTTENS LÄN</t>
        </is>
      </c>
      <c r="G272" t="inlineStr">
        <is>
          <t>DOROTEA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44481</v>
      </c>
      <c r="E273" s="1" t="n">
        <v>46307</v>
      </c>
      <c r="F273" t="inlineStr">
        <is>
          <t>VÄSTERBOTTENS LÄN</t>
        </is>
      </c>
      <c r="G273" t="inlineStr">
        <is>
          <t>DOROTEA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46307</v>
      </c>
      <c r="F274" t="inlineStr">
        <is>
          <t>VÄSTERBOTTENS LÄN</t>
        </is>
      </c>
      <c r="G274" t="inlineStr">
        <is>
          <t>DOROTEA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46307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46307</v>
      </c>
      <c r="F276" t="inlineStr">
        <is>
          <t>VÄSTERBOTTENS LÄN</t>
        </is>
      </c>
      <c r="G276" t="inlineStr">
        <is>
          <t>DOROTEA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46307</v>
      </c>
      <c r="F277" t="inlineStr">
        <is>
          <t>VÄSTERBOTTENS LÄN</t>
        </is>
      </c>
      <c r="G277" t="inlineStr">
        <is>
          <t>DOROTEA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46307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46307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46307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46307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33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46307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14163-2024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45392</v>
      </c>
      <c r="E283" s="1" t="n">
        <v>46307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46307</v>
      </c>
      <c r="F284" t="inlineStr">
        <is>
          <t>VÄSTERBOTTENS LÄN</t>
        </is>
      </c>
      <c r="G284" t="inlineStr">
        <is>
          <t>DOROTEA</t>
        </is>
      </c>
      <c r="H284" t="inlineStr">
        <is>
          <t>Kommuner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46307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46307</v>
      </c>
      <c r="F286" t="inlineStr">
        <is>
          <t>VÄSTERBOTTENS LÄN</t>
        </is>
      </c>
      <c r="G286" t="inlineStr">
        <is>
          <t>DOROTEA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35937-2025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45862</v>
      </c>
      <c r="E287" s="1" t="n">
        <v>46307</v>
      </c>
      <c r="F287" t="inlineStr">
        <is>
          <t>VÄSTERBOTTENS LÄN</t>
        </is>
      </c>
      <c r="G287" t="inlineStr">
        <is>
          <t>DOROTEA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46307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46307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46307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46123</v>
      </c>
      <c r="E291" s="1" t="n">
        <v>46307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46307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18.3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44848</v>
      </c>
      <c r="E293" s="1" t="n">
        <v>46307</v>
      </c>
      <c r="F293" t="inlineStr">
        <is>
          <t>VÄSTERBOTTENS LÄN</t>
        </is>
      </c>
      <c r="G293" t="inlineStr">
        <is>
          <t>DOROTEA</t>
        </is>
      </c>
      <c r="I293" t="n">
        <v>29.8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46307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46307</v>
      </c>
      <c r="F295" t="inlineStr">
        <is>
          <t>VÄSTERBOTTENS LÄN</t>
        </is>
      </c>
      <c r="G295" t="inlineStr">
        <is>
          <t>DOROTEA</t>
        </is>
      </c>
      <c r="I295" t="n">
        <v>23.9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46307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46307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46307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62193-2025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46003</v>
      </c>
      <c r="E299" s="1" t="n">
        <v>46307</v>
      </c>
      <c r="F299" t="inlineStr">
        <is>
          <t>VÄSTERBOTTENS LÄN</t>
        </is>
      </c>
      <c r="G299" t="inlineStr">
        <is>
          <t>DOROTEA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46307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19446-2026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46307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46307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46965-2024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45586</v>
      </c>
      <c r="E303" s="1" t="n">
        <v>46307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Sveaskog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45539</v>
      </c>
      <c r="E304" s="1" t="n">
        <v>46307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46307</v>
      </c>
      <c r="F305" t="inlineStr">
        <is>
          <t>VÄSTERBOTTENS LÄN</t>
        </is>
      </c>
      <c r="G305" t="inlineStr">
        <is>
          <t>DOROTEA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46307</v>
      </c>
      <c r="F306" t="inlineStr">
        <is>
          <t>VÄSTERBOTTENS LÄN</t>
        </is>
      </c>
      <c r="G306" t="inlineStr">
        <is>
          <t>DOROTEA</t>
        </is>
      </c>
      <c r="I306" t="n">
        <v>16.7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46307</v>
      </c>
      <c r="F307" t="inlineStr">
        <is>
          <t>VÄSTERBOTTENS LÄN</t>
        </is>
      </c>
      <c r="G307" t="inlineStr">
        <is>
          <t>DOROTEA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46307</v>
      </c>
      <c r="F308" t="inlineStr">
        <is>
          <t>VÄSTERBOTTENS LÄN</t>
        </is>
      </c>
      <c r="G308" t="inlineStr">
        <is>
          <t>DOROTEA</t>
        </is>
      </c>
      <c r="I308" t="n">
        <v>13.2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45755</v>
      </c>
      <c r="E309" s="1" t="n">
        <v>46307</v>
      </c>
      <c r="F309" t="inlineStr">
        <is>
          <t>VÄSTERBOTTENS LÄN</t>
        </is>
      </c>
      <c r="G309" t="inlineStr">
        <is>
          <t>DOROTEA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46307</v>
      </c>
      <c r="F310" t="inlineStr">
        <is>
          <t>VÄSTERBOTTENS LÄN</t>
        </is>
      </c>
      <c r="G310" t="inlineStr">
        <is>
          <t>DOROTEA</t>
        </is>
      </c>
      <c r="I310" t="n">
        <v>18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46307</v>
      </c>
      <c r="F311" t="inlineStr">
        <is>
          <t>VÄSTERBOTTENS LÄN</t>
        </is>
      </c>
      <c r="G311" t="inlineStr">
        <is>
          <t>DOROTEA</t>
        </is>
      </c>
      <c r="I311" t="n">
        <v>12.3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46307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46307</v>
      </c>
      <c r="F313" t="inlineStr">
        <is>
          <t>VÄSTERBOTTENS LÄN</t>
        </is>
      </c>
      <c r="G313" t="inlineStr">
        <is>
          <t>DOROTEA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46307</v>
      </c>
      <c r="F314" t="inlineStr">
        <is>
          <t>VÄSTERBOTTENS LÄN</t>
        </is>
      </c>
      <c r="G314" t="inlineStr">
        <is>
          <t>DOROTEA</t>
        </is>
      </c>
      <c r="I314" t="n">
        <v>14.7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46307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46017</v>
      </c>
      <c r="E316" s="1" t="n">
        <v>46307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46307</v>
      </c>
      <c r="F317" t="inlineStr">
        <is>
          <t>VÄSTERBOTTENS LÄN</t>
        </is>
      </c>
      <c r="G317" t="inlineStr">
        <is>
          <t>DOROTEA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46307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46307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46307</v>
      </c>
      <c r="F320" t="inlineStr">
        <is>
          <t>VÄSTERBOTTENS LÄN</t>
        </is>
      </c>
      <c r="G320" t="inlineStr">
        <is>
          <t>DOROTEA</t>
        </is>
      </c>
      <c r="I320" t="n">
        <v>18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27477-2023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45097</v>
      </c>
      <c r="E321" s="1" t="n">
        <v>46307</v>
      </c>
      <c r="F321" t="inlineStr">
        <is>
          <t>VÄSTERBOTTENS LÄN</t>
        </is>
      </c>
      <c r="G321" t="inlineStr">
        <is>
          <t>DOROTEA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45295</v>
      </c>
      <c r="E322" s="1" t="n">
        <v>46307</v>
      </c>
      <c r="F322" t="inlineStr">
        <is>
          <t>VÄSTERBOTTENS LÄN</t>
        </is>
      </c>
      <c r="G322" t="inlineStr">
        <is>
          <t>DOROTEA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46307</v>
      </c>
      <c r="F323" t="inlineStr">
        <is>
          <t>VÄSTERBOTTENS LÄN</t>
        </is>
      </c>
      <c r="G323" t="inlineStr">
        <is>
          <t>DOROTEA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46307</v>
      </c>
      <c r="F324" t="inlineStr">
        <is>
          <t>VÄSTERBOTTENS LÄN</t>
        </is>
      </c>
      <c r="G324" t="inlineStr">
        <is>
          <t>DOROTEA</t>
        </is>
      </c>
      <c r="I324" t="n">
        <v>22.7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46307</v>
      </c>
      <c r="F325" t="inlineStr">
        <is>
          <t>VÄSTERBOTTENS LÄN</t>
        </is>
      </c>
      <c r="G325" t="inlineStr">
        <is>
          <t>DOROTEA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46307</v>
      </c>
      <c r="F326" t="inlineStr">
        <is>
          <t>VÄSTERBOTTENS LÄN</t>
        </is>
      </c>
      <c r="G326" t="inlineStr">
        <is>
          <t>DOROTEA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46307</v>
      </c>
      <c r="F327" t="inlineStr">
        <is>
          <t>VÄSTERBOTTENS LÄN</t>
        </is>
      </c>
      <c r="G327" t="inlineStr">
        <is>
          <t>DOROTEA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46307</v>
      </c>
      <c r="F328" t="inlineStr">
        <is>
          <t>VÄSTERBOTTENS LÄN</t>
        </is>
      </c>
      <c r="G328" t="inlineStr">
        <is>
          <t>DOROTEA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46307</v>
      </c>
      <c r="F329" t="inlineStr">
        <is>
          <t>VÄSTERBOTTENS LÄN</t>
        </is>
      </c>
      <c r="G329" t="inlineStr">
        <is>
          <t>DOROTEA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46307</v>
      </c>
      <c r="F330" t="inlineStr">
        <is>
          <t>VÄSTERBOTTENS LÄN</t>
        </is>
      </c>
      <c r="G330" t="inlineStr">
        <is>
          <t>DOROTEA</t>
        </is>
      </c>
      <c r="I330" t="n">
        <v>31.7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46307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44888</v>
      </c>
      <c r="E332" s="1" t="n">
        <v>46307</v>
      </c>
      <c r="F332" t="inlineStr">
        <is>
          <t>VÄSTERBOTTENS LÄN</t>
        </is>
      </c>
      <c r="G332" t="inlineStr">
        <is>
          <t>DOROTEA</t>
        </is>
      </c>
      <c r="I332" t="n">
        <v>15.8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46136</v>
      </c>
      <c r="E333" s="1" t="n">
        <v>46307</v>
      </c>
      <c r="F333" t="inlineStr">
        <is>
          <t>VÄSTERBOTTENS LÄN</t>
        </is>
      </c>
      <c r="G333" t="inlineStr">
        <is>
          <t>DOROTEA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46307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46307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46307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46307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46307</v>
      </c>
      <c r="F338" t="inlineStr">
        <is>
          <t>VÄSTERBOTTENS LÄN</t>
        </is>
      </c>
      <c r="G338" t="inlineStr">
        <is>
          <t>DOROTEA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46307</v>
      </c>
      <c r="F339" t="inlineStr">
        <is>
          <t>VÄSTERBOTTENS LÄN</t>
        </is>
      </c>
      <c r="G339" t="inlineStr">
        <is>
          <t>DOROTEA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46307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46307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46307</v>
      </c>
      <c r="F342" t="inlineStr">
        <is>
          <t>VÄSTERBOTTENS LÄN</t>
        </is>
      </c>
      <c r="G342" t="inlineStr">
        <is>
          <t>DOROTEA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46307</v>
      </c>
      <c r="F343" t="inlineStr">
        <is>
          <t>VÄSTERBOTTENS LÄN</t>
        </is>
      </c>
      <c r="G343" t="inlineStr">
        <is>
          <t>DOROTEA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46307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46307</v>
      </c>
      <c r="F345" t="inlineStr">
        <is>
          <t>VÄSTERBOTTENS LÄN</t>
        </is>
      </c>
      <c r="G345" t="inlineStr">
        <is>
          <t>DOROTEA</t>
        </is>
      </c>
      <c r="I345" t="n">
        <v>13.3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46307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46307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46307</v>
      </c>
      <c r="F348" t="inlineStr">
        <is>
          <t>VÄSTERBOTTENS LÄN</t>
        </is>
      </c>
      <c r="G348" t="inlineStr">
        <is>
          <t>DOROTEA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46307</v>
      </c>
      <c r="F349" t="inlineStr">
        <is>
          <t>VÄSTERBOTTENS LÄN</t>
        </is>
      </c>
      <c r="G349" t="inlineStr">
        <is>
          <t>DOROTEA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46139</v>
      </c>
      <c r="E350" s="1" t="n">
        <v>46307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46307</v>
      </c>
      <c r="F351" t="inlineStr">
        <is>
          <t>VÄSTERBOTTENS LÄN</t>
        </is>
      </c>
      <c r="G351" t="inlineStr">
        <is>
          <t>DOROTEA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46307</v>
      </c>
      <c r="F352" t="inlineStr">
        <is>
          <t>VÄSTERBOTTENS LÄN</t>
        </is>
      </c>
      <c r="G352" t="inlineStr">
        <is>
          <t>DOROTEA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46307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46307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46136</v>
      </c>
      <c r="E355" s="1" t="n">
        <v>46307</v>
      </c>
      <c r="F355" t="inlineStr">
        <is>
          <t>VÄSTERBOTTENS LÄN</t>
        </is>
      </c>
      <c r="G355" t="inlineStr">
        <is>
          <t>DOROTEA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46307</v>
      </c>
      <c r="F356" t="inlineStr">
        <is>
          <t>VÄSTERBOTTENS LÄN</t>
        </is>
      </c>
      <c r="G356" t="inlineStr">
        <is>
          <t>DOROTEA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46307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46307</v>
      </c>
      <c r="F358" t="inlineStr">
        <is>
          <t>VÄSTERBOTTENS LÄN</t>
        </is>
      </c>
      <c r="G358" t="inlineStr">
        <is>
          <t>DOROTEA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46307</v>
      </c>
      <c r="F359" t="inlineStr">
        <is>
          <t>VÄSTERBOTTENS LÄN</t>
        </is>
      </c>
      <c r="G359" t="inlineStr">
        <is>
          <t>DOROTEA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46307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46307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46307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46054</v>
      </c>
      <c r="E363" s="1" t="n">
        <v>46307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46307</v>
      </c>
      <c r="F364" t="inlineStr">
        <is>
          <t>VÄSTERBOTTENS LÄN</t>
        </is>
      </c>
      <c r="G364" t="inlineStr">
        <is>
          <t>DOROTEA</t>
        </is>
      </c>
      <c r="I364" t="n">
        <v>21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46307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46307</v>
      </c>
      <c r="F366" t="inlineStr">
        <is>
          <t>VÄSTERBOTTENS LÄN</t>
        </is>
      </c>
      <c r="G366" t="inlineStr">
        <is>
          <t>DOROTEA</t>
        </is>
      </c>
      <c r="I366" t="n">
        <v>17.8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46307</v>
      </c>
      <c r="F367" t="inlineStr">
        <is>
          <t>VÄSTERBOTTENS LÄN</t>
        </is>
      </c>
      <c r="G367" t="inlineStr">
        <is>
          <t>DOROTEA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46307</v>
      </c>
      <c r="F368" t="inlineStr">
        <is>
          <t>VÄSTERBOTTENS LÄN</t>
        </is>
      </c>
      <c r="G368" t="inlineStr">
        <is>
          <t>DOROTEA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46307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46307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46307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46147</v>
      </c>
      <c r="E372" s="1" t="n">
        <v>46307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46147</v>
      </c>
      <c r="E373" s="1" t="n">
        <v>46307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46307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46307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46307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46307</v>
      </c>
      <c r="F377" t="inlineStr">
        <is>
          <t>VÄSTERBOTTENS LÄN</t>
        </is>
      </c>
      <c r="G377" t="inlineStr">
        <is>
          <t>DOROTEA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46307</v>
      </c>
      <c r="F378" t="inlineStr">
        <is>
          <t>VÄSTERBOTTENS LÄN</t>
        </is>
      </c>
      <c r="G378" t="inlineStr">
        <is>
          <t>DOROTEA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46307</v>
      </c>
      <c r="F379" t="inlineStr">
        <is>
          <t>VÄSTERBOTTENS LÄN</t>
        </is>
      </c>
      <c r="G379" t="inlineStr">
        <is>
          <t>DOROTEA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46307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46307</v>
      </c>
      <c r="F381" t="inlineStr">
        <is>
          <t>VÄSTERBOTTENS LÄN</t>
        </is>
      </c>
      <c r="G381" t="inlineStr">
        <is>
          <t>DOROTEA</t>
        </is>
      </c>
      <c r="I381" t="n">
        <v>20.1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44888</v>
      </c>
      <c r="E382" s="1" t="n">
        <v>46307</v>
      </c>
      <c r="F382" t="inlineStr">
        <is>
          <t>VÄSTERBOTTENS LÄN</t>
        </is>
      </c>
      <c r="G382" t="inlineStr">
        <is>
          <t>DOROTEA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46307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44960</v>
      </c>
      <c r="E384" s="1" t="n">
        <v>46307</v>
      </c>
      <c r="F384" t="inlineStr">
        <is>
          <t>VÄSTERBOTTENS LÄN</t>
        </is>
      </c>
      <c r="G384" t="inlineStr">
        <is>
          <t>DOROTEA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46307</v>
      </c>
      <c r="F385" t="inlineStr">
        <is>
          <t>VÄSTERBOTTENS LÄN</t>
        </is>
      </c>
      <c r="G385" t="inlineStr">
        <is>
          <t>DOROTEA</t>
        </is>
      </c>
      <c r="I385" t="n">
        <v>10.3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46307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46307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46307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46307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46307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46307</v>
      </c>
      <c r="F391" t="inlineStr">
        <is>
          <t>VÄSTERBOTTENS LÄN</t>
        </is>
      </c>
      <c r="G391" t="inlineStr">
        <is>
          <t>DOROTEA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45505</v>
      </c>
      <c r="E392" s="1" t="n">
        <v>46307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46307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46307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17133-2025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45755</v>
      </c>
      <c r="E395" s="1" t="n">
        <v>46307</v>
      </c>
      <c r="F395" t="inlineStr">
        <is>
          <t>VÄSTERBOTTENS LÄN</t>
        </is>
      </c>
      <c r="G395" t="inlineStr">
        <is>
          <t>DOROTEA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35202-2025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46307</v>
      </c>
      <c r="F396" t="inlineStr">
        <is>
          <t>VÄSTERBOTTENS LÄN</t>
        </is>
      </c>
      <c r="G396" t="inlineStr">
        <is>
          <t>DOROTEA</t>
        </is>
      </c>
      <c r="H396" t="inlineStr">
        <is>
          <t>Allmännings- och besparingsskogar</t>
        </is>
      </c>
      <c r="I396" t="n">
        <v>22.1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45852</v>
      </c>
      <c r="E397" s="1" t="n">
        <v>46307</v>
      </c>
      <c r="F397" t="inlineStr">
        <is>
          <t>VÄSTERBOTTENS LÄN</t>
        </is>
      </c>
      <c r="G397" t="inlineStr">
        <is>
          <t>DOROTEA</t>
        </is>
      </c>
      <c r="H397" t="inlineStr">
        <is>
          <t>Allmännings- och besparingsskogar</t>
        </is>
      </c>
      <c r="I397" t="n">
        <v>20.3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46307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30461-2024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45491</v>
      </c>
      <c r="E399" s="1" t="n">
        <v>46307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54031-2025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45962</v>
      </c>
      <c r="E400" s="1" t="n">
        <v>46307</v>
      </c>
      <c r="F400" t="inlineStr">
        <is>
          <t>VÄSTERBOTTENS LÄN</t>
        </is>
      </c>
      <c r="G400" t="inlineStr">
        <is>
          <t>DOROTEA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46307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46307</v>
      </c>
      <c r="F402" t="inlineStr">
        <is>
          <t>VÄSTERBOTTENS LÄN</t>
        </is>
      </c>
      <c r="G402" t="inlineStr">
        <is>
          <t>DOROTEA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50582-2024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45600</v>
      </c>
      <c r="E403" s="1" t="n">
        <v>46307</v>
      </c>
      <c r="F403" t="inlineStr">
        <is>
          <t>VÄSTERBOTTENS LÄN</t>
        </is>
      </c>
      <c r="G403" t="inlineStr">
        <is>
          <t>DOROTEA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44979</v>
      </c>
      <c r="E404" s="1" t="n">
        <v>46307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46307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46307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46307</v>
      </c>
      <c r="F407" t="inlineStr">
        <is>
          <t>VÄSTERBOTTENS LÄN</t>
        </is>
      </c>
      <c r="G407" t="inlineStr">
        <is>
          <t>DOROTEA</t>
        </is>
      </c>
      <c r="I407" t="n">
        <v>26.2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26124-2026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46307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46307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46307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46307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46307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27738-2026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46191</v>
      </c>
      <c r="E413" s="1" t="n">
        <v>46307</v>
      </c>
      <c r="F413" t="inlineStr">
        <is>
          <t>VÄSTERBOTTENS LÄN</t>
        </is>
      </c>
      <c r="G413" t="inlineStr">
        <is>
          <t>DOROTEA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46307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46307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46307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46307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46307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46307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46307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9.300000000000001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46307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46307</v>
      </c>
      <c r="F422" t="inlineStr">
        <is>
          <t>VÄSTERBOTTENS LÄN</t>
        </is>
      </c>
      <c r="G422" t="inlineStr">
        <is>
          <t>DOROTEA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46307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46211</v>
      </c>
      <c r="E424" s="1" t="n">
        <v>46307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46307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46307</v>
      </c>
      <c r="F426" t="inlineStr">
        <is>
          <t>VÄSTERBOTTENS LÄN</t>
        </is>
      </c>
      <c r="G426" t="inlineStr">
        <is>
          <t>DOROTEA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46307</v>
      </c>
      <c r="F427" t="inlineStr">
        <is>
          <t>VÄSTERBOTTENS LÄN</t>
        </is>
      </c>
      <c r="G427" t="inlineStr">
        <is>
          <t>DOROTEA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46307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46213</v>
      </c>
      <c r="E429" s="1" t="n">
        <v>46307</v>
      </c>
      <c r="F429" t="inlineStr">
        <is>
          <t>VÄSTERBOTTENS LÄN</t>
        </is>
      </c>
      <c r="G429" t="inlineStr">
        <is>
          <t>DOROTEA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46213</v>
      </c>
      <c r="E430" s="1" t="n">
        <v>46307</v>
      </c>
      <c r="F430" t="inlineStr">
        <is>
          <t>VÄSTERBOTTENS LÄN</t>
        </is>
      </c>
      <c r="G430" t="inlineStr">
        <is>
          <t>DOROTEA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46217</v>
      </c>
      <c r="E431" s="1" t="n">
        <v>46307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46307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46218</v>
      </c>
      <c r="E433" s="1" t="n">
        <v>46307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46307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46307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46220</v>
      </c>
      <c r="E436" s="1" t="n">
        <v>46307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46224</v>
      </c>
      <c r="E437" s="1" t="n">
        <v>46307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46307</v>
      </c>
      <c r="F438" t="inlineStr">
        <is>
          <t>VÄSTERBOTTENS LÄN</t>
        </is>
      </c>
      <c r="G438" t="inlineStr">
        <is>
          <t>DOROTEA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46224</v>
      </c>
      <c r="E439" s="1" t="n">
        <v>46307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46224</v>
      </c>
      <c r="E440" s="1" t="n">
        <v>46307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46307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46307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46307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46287</v>
      </c>
      <c r="E444" s="1" t="n">
        <v>46307</v>
      </c>
      <c r="F444" t="inlineStr">
        <is>
          <t>VÄSTERBOTTENS LÄN</t>
        </is>
      </c>
      <c r="G444" t="inlineStr">
        <is>
          <t>DOROTEA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46307</v>
      </c>
      <c r="F445" t="inlineStr">
        <is>
          <t>VÄSTERBOTTENS LÄN</t>
        </is>
      </c>
      <c r="G445" t="inlineStr">
        <is>
          <t>DOROTEA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40178-2026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46293</v>
      </c>
      <c r="E446" s="1" t="n">
        <v>46307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46307</v>
      </c>
      <c r="F447" t="inlineStr">
        <is>
          <t>VÄSTERBOTTENS LÄN</t>
        </is>
      </c>
      <c r="G447" t="inlineStr">
        <is>
          <t>DOROTEA</t>
        </is>
      </c>
      <c r="H447" t="inlineStr">
        <is>
          <t>Allmännings- och besparingsskogar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46307</v>
      </c>
      <c r="F448" t="inlineStr">
        <is>
          <t>VÄSTERBOTTENS LÄN</t>
        </is>
      </c>
      <c r="G448" t="inlineStr">
        <is>
          <t>DOROTEA</t>
        </is>
      </c>
      <c r="I448" t="n">
        <v>11.1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46248</v>
      </c>
      <c r="E449" s="1" t="n">
        <v>46307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46307</v>
      </c>
      <c r="F450" t="inlineStr">
        <is>
          <t>VÄSTERBOTTENS LÄN</t>
        </is>
      </c>
      <c r="G450" t="inlineStr">
        <is>
          <t>DOROTEA</t>
        </is>
      </c>
      <c r="H450" t="inlineStr">
        <is>
          <t>Allmännings- och besparingsskogar</t>
        </is>
      </c>
      <c r="I450" t="n">
        <v>16.4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46307</v>
      </c>
      <c r="F451" t="inlineStr">
        <is>
          <t>VÄSTERBOTTENS LÄN</t>
        </is>
      </c>
      <c r="G451" t="inlineStr">
        <is>
          <t>DOROTEA</t>
        </is>
      </c>
      <c r="I451" t="n">
        <v>13.6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46307</v>
      </c>
      <c r="F452" t="inlineStr">
        <is>
          <t>VÄSTERBOTTENS LÄN</t>
        </is>
      </c>
      <c r="G452" t="inlineStr">
        <is>
          <t>DOROTEA</t>
        </is>
      </c>
      <c r="I452" t="n">
        <v>11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46307</v>
      </c>
      <c r="F453" t="inlineStr">
        <is>
          <t>VÄSTERBOTTENS LÄN</t>
        </is>
      </c>
      <c r="G453" t="inlineStr">
        <is>
          <t>DOROTEA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46295</v>
      </c>
      <c r="E454" s="1" t="n">
        <v>46307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46307</v>
      </c>
      <c r="F455" t="inlineStr">
        <is>
          <t>VÄSTERBOTTENS LÄN</t>
        </is>
      </c>
      <c r="G455" t="inlineStr">
        <is>
          <t>DOROTEA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41157-2026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46307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46307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46300</v>
      </c>
      <c r="E458" s="1" t="n">
        <v>46307</v>
      </c>
      <c r="F458" t="inlineStr">
        <is>
          <t>VÄSTERBOTTENS LÄN</t>
        </is>
      </c>
      <c r="G458" t="inlineStr">
        <is>
          <t>DOROTEA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46307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46307</v>
      </c>
      <c r="F460" t="inlineStr">
        <is>
          <t>VÄSTERBOTTENS LÄN</t>
        </is>
      </c>
      <c r="G460" t="inlineStr">
        <is>
          <t>DOROTEA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46307</v>
      </c>
      <c r="F461" t="inlineStr">
        <is>
          <t>VÄSTERBOTTENS LÄN</t>
        </is>
      </c>
      <c r="G461" t="inlineStr">
        <is>
          <t>DOROTEA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46307</v>
      </c>
      <c r="F462" t="inlineStr">
        <is>
          <t>VÄSTERBOTTENS LÄN</t>
        </is>
      </c>
      <c r="G462" t="inlineStr">
        <is>
          <t>DOROTEA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46304</v>
      </c>
      <c r="E463" s="1" t="n">
        <v>46307</v>
      </c>
      <c r="F463" t="inlineStr">
        <is>
          <t>VÄSTERBOTTENS LÄN</t>
        </is>
      </c>
      <c r="G463" t="inlineStr">
        <is>
          <t>DOROTEA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46307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46307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46307</v>
      </c>
      <c r="F466" t="inlineStr">
        <is>
          <t>VÄSTERBOTTENS LÄN</t>
        </is>
      </c>
      <c r="G466" t="inlineStr">
        <is>
          <t>DOROTEA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42050-2026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46304</v>
      </c>
      <c r="E467" s="1" t="n">
        <v>46307</v>
      </c>
      <c r="F467" t="inlineStr">
        <is>
          <t>VÄSTERBOTTENS LÄN</t>
        </is>
      </c>
      <c r="G467" t="inlineStr">
        <is>
          <t>DOROTEA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2945-2024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45506</v>
      </c>
      <c r="E468" s="1" t="n">
        <v>46307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1058-2025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45749</v>
      </c>
      <c r="E469" s="1" t="n">
        <v>46307</v>
      </c>
      <c r="F469" t="inlineStr">
        <is>
          <t>VÄSTERBOTTENS LÄN</t>
        </is>
      </c>
      <c r="G469" t="inlineStr">
        <is>
          <t>DOROTEA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844-2025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45733</v>
      </c>
      <c r="E470" s="1" t="n">
        <v>46307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1293.5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2195-2025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45858</v>
      </c>
      <c r="E471" s="1" t="n">
        <v>46307</v>
      </c>
      <c r="F471" t="inlineStr">
        <is>
          <t>VÄSTERBOTTENS LÄN</t>
        </is>
      </c>
      <c r="G471" t="inlineStr">
        <is>
          <t>DOROTEA</t>
        </is>
      </c>
      <c r="I471" t="n">
        <v>27.4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2283-2025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45876</v>
      </c>
      <c r="E472" s="1" t="n">
        <v>46307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2360-2025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45889</v>
      </c>
      <c r="E473" s="1" t="n">
        <v>46307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46307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1763-2026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46189</v>
      </c>
      <c r="E475" s="1" t="n">
        <v>46307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2026-10-12T02:01:07Z</dcterms:created>
  <dcterms:modified xmlns:dcterms="http://purl.org/dc/terms/" xmlns:xsi="http://www.w3.org/2001/XMLSchema-instance" xsi:type="dcterms:W3CDTF">2026-10-12T02:01:08Z</dcterms:modified>
</cp:coreProperties>
</file>