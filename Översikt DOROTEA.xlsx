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46303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46303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46303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46303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46303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57059-2024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45629</v>
      </c>
      <c r="E7" s="1" t="n">
        <v>46303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7.5</v>
      </c>
      <c r="J7" t="n">
        <v>0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Harticka
Lunglav
Skrovellav
Vitgrynig nållav
Barkticka
Luddlav</t>
        </is>
      </c>
      <c r="W7">
        <f>HYPERLINK("https://klasma.github.io/Logging_2425/artfynd/A 57059-2024 artfynd.xlsx", "A 57059-2024")</f>
        <v/>
      </c>
      <c r="X7">
        <f>HYPERLINK("https://klasma.github.io/Logging_2425/kartor/A 57059-2024 karta.png", "A 57059-2024")</f>
        <v/>
      </c>
      <c r="Y7">
        <f>HYPERLINK("https://klasma.github.io/Logging_2425/kartor_geotiff/A 57059-2024 georefererad karta.tif", "A 57059-2024")</f>
        <v/>
      </c>
      <c r="AA7">
        <f>HYPERLINK("https://klasma.github.io/Logging_2425/klagomål/A 57059-2024 FSC-klagomål.docx", "A 57059-2024")</f>
        <v/>
      </c>
      <c r="AB7">
        <f>HYPERLINK("https://klasma.github.io/Logging_2425/klagomålsmail/A 57059-2024 FSC-klagomål mail.docx", "A 57059-2024")</f>
        <v/>
      </c>
      <c r="AC7">
        <f>HYPERLINK("https://klasma.github.io/Logging_2425/tillsyn/A 57059-2024 tillsynsbegäran.docx", "A 57059-2024")</f>
        <v/>
      </c>
      <c r="AD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46303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46303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46303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46303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46303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46303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46303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46303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46303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46303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46303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46303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46303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46303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46303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46303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46303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46303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46303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46303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46303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46303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46303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46303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46303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46303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46303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46303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46303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30286-2023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46303</v>
      </c>
      <c r="F37" t="inlineStr">
        <is>
          <t>VÄSTERBOTTENS LÄN</t>
        </is>
      </c>
      <c r="G37" t="inlineStr">
        <is>
          <t>DOROTEA</t>
        </is>
      </c>
      <c r="I37" t="n">
        <v>21.2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Skogsrör</t>
        </is>
      </c>
      <c r="W37">
        <f>HYPERLINK("https://klasma.github.io/Logging_2425/artfynd/A 30286-2023 artfynd.xlsx", "A 30286-2023")</f>
        <v/>
      </c>
      <c r="X37">
        <f>HYPERLINK("https://klasma.github.io/Logging_2425/kartor/A 30286-2023 karta.png", "A 30286-2023")</f>
        <v/>
      </c>
      <c r="Y37">
        <f>HYPERLINK("https://klasma.github.io/Logging_2425/kartor_geotiff/A 30286-2023 georefererad karta.tif", "A 30286-2023")</f>
        <v/>
      </c>
      <c r="AA37">
        <f>HYPERLINK("https://klasma.github.io/Logging_2425/klagomål/A 30286-2023 FSC-klagomål.docx", "A 30286-2023")</f>
        <v/>
      </c>
      <c r="AB37">
        <f>HYPERLINK("https://klasma.github.io/Logging_2425/klagomålsmail/A 30286-2023 FSC-klagomål mail.docx", "A 30286-2023")</f>
        <v/>
      </c>
      <c r="AC37">
        <f>HYPERLINK("https://klasma.github.io/Logging_2425/tillsyn/A 30286-2023 tillsynsbegäran.docx", "A 30286-2023")</f>
        <v/>
      </c>
      <c r="AD37">
        <f>HYPERLINK("https://klasma.github.io/Logging_2425/tillsynsmail/A 30286-2023 tillsynsbegäran mail.docx", "A 30286-2023")</f>
        <v/>
      </c>
    </row>
    <row r="38" ht="15" customHeight="1">
      <c r="A38" t="inlineStr">
        <is>
          <t>A 36318-2024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46303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8</v>
      </c>
      <c r="U38" t="n">
        <v>8</v>
      </c>
      <c r="V38" s="2" t="inlineStr">
        <is>
          <t>Garnlav</t>
        </is>
      </c>
      <c r="W38">
        <f>HYPERLINK("https://klasma.github.io/Logging_2425/artfynd/A 36318-2024 artfynd.xlsx", "A 36318-2024")</f>
        <v/>
      </c>
      <c r="X38">
        <f>HYPERLINK("https://klasma.github.io/Logging_2425/kartor/A 36318-2024 karta.png", "A 36318-2024")</f>
        <v/>
      </c>
      <c r="Y38">
        <f>HYPERLINK("https://klasma.github.io/Logging_2425/kartor_geotiff/A 36318-2024 georefererad karta.tif", "A 36318-2024")</f>
        <v/>
      </c>
      <c r="AA38">
        <f>HYPERLINK("https://klasma.github.io/Logging_2425/klagomål/A 36318-2024 FSC-klagomål.docx", "A 36318-2024")</f>
        <v/>
      </c>
      <c r="AB38">
        <f>HYPERLINK("https://klasma.github.io/Logging_2425/klagomålsmail/A 36318-2024 FSC-klagomål mail.docx", "A 36318-2024")</f>
        <v/>
      </c>
      <c r="AC38">
        <f>HYPERLINK("https://klasma.github.io/Logging_2425/tillsyn/A 36318-2024 tillsynsbegäran.docx", "A 36318-2024")</f>
        <v/>
      </c>
      <c r="AD38">
        <f>HYPERLINK("https://klasma.github.io/Logging_2425/tillsynsmail/A 36318-2024 tillsynsbegäran mail.docx", "A 36318-2024")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46303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46303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46303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26440-2025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45807</v>
      </c>
      <c r="E42" s="1" t="n">
        <v>46303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HYPERLINK("https://klasma.github.io/Logging_2425/artfynd/A 26440-2025 artfynd.xlsx", "A 26440-2025")</f>
        <v/>
      </c>
      <c r="X42">
        <f>HYPERLINK("https://klasma.github.io/Logging_2425/kartor/A 26440-2025 karta.png", "A 26440-2025")</f>
        <v/>
      </c>
      <c r="Y42">
        <f>HYPERLINK("https://klasma.github.io/Logging_2425/kartor_geotiff/A 26440-2025 georefererad karta.tif", "A 26440-2025")</f>
        <v/>
      </c>
      <c r="AA42">
        <f>HYPERLINK("https://klasma.github.io/Logging_2425/klagomål/A 26440-2025 FSC-klagomål.docx", "A 26440-2025")</f>
        <v/>
      </c>
      <c r="AB42">
        <f>HYPERLINK("https://klasma.github.io/Logging_2425/klagomålsmail/A 26440-2025 FSC-klagomål mail.docx", "A 26440-2025")</f>
        <v/>
      </c>
      <c r="AC42">
        <f>HYPERLINK("https://klasma.github.io/Logging_2425/tillsyn/A 26440-2025 tillsynsbegäran.docx", "A 26440-2025")</f>
        <v/>
      </c>
      <c r="AD42">
        <f>HYPERLINK("https://klasma.github.io/Logging_2425/tillsynsmail/A 26440-2025 tillsynsbegäran mail.docx", "A 26440-2025")</f>
        <v/>
      </c>
    </row>
    <row r="43" ht="15" customHeight="1">
      <c r="A43" t="inlineStr">
        <is>
          <t>A 12005-2023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44994</v>
      </c>
      <c r="E43" s="1" t="n">
        <v>46303</v>
      </c>
      <c r="F43" t="inlineStr">
        <is>
          <t>VÄSTERBOTTENS LÄN</t>
        </is>
      </c>
      <c r="G43" t="inlineStr">
        <is>
          <t>DOROTEA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HYPERLINK("https://klasma.github.io/Logging_2425/artfynd/A 12005-2023 artfynd.xlsx", "A 12005-2023")</f>
        <v/>
      </c>
      <c r="X43">
        <f>HYPERLINK("https://klasma.github.io/Logging_2425/kartor/A 12005-2023 karta.png", "A 12005-2023")</f>
        <v/>
      </c>
      <c r="Y43">
        <f>HYPERLINK("https://klasma.github.io/Logging_2425/kartor_geotiff/A 12005-2023 georefererad karta.tif", "A 12005-2023")</f>
        <v/>
      </c>
      <c r="AA43">
        <f>HYPERLINK("https://klasma.github.io/Logging_2425/klagomål/A 12005-2023 FSC-klagomål.docx", "A 12005-2023")</f>
        <v/>
      </c>
      <c r="AB43">
        <f>HYPERLINK("https://klasma.github.io/Logging_2425/klagomålsmail/A 12005-2023 FSC-klagomål mail.docx", "A 12005-2023")</f>
        <v/>
      </c>
      <c r="AC43">
        <f>HYPERLINK("https://klasma.github.io/Logging_2425/tillsyn/A 12005-2023 tillsynsbegäran.docx", "A 12005-2023")</f>
        <v/>
      </c>
      <c r="AD43">
        <f>HYPERLINK("https://klasma.github.io/Logging_2425/tillsynsmail/A 12005-2023 tillsynsbegäran mail.docx", "A 12005-2023")</f>
        <v/>
      </c>
    </row>
    <row r="44" ht="15" customHeight="1">
      <c r="A44" t="inlineStr">
        <is>
          <t>A 50530-2025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45945</v>
      </c>
      <c r="E44" s="1" t="n">
        <v>46303</v>
      </c>
      <c r="F44" t="inlineStr">
        <is>
          <t>VÄSTERBOTTENS LÄN</t>
        </is>
      </c>
      <c r="G44" t="inlineStr">
        <is>
          <t>DOROTEA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Ängsnycklar</t>
        </is>
      </c>
      <c r="W44">
        <f>HYPERLINK("https://klasma.github.io/Logging_2425/artfynd/A 50530-2025 artfynd.xlsx", "A 50530-2025")</f>
        <v/>
      </c>
      <c r="X44">
        <f>HYPERLINK("https://klasma.github.io/Logging_2425/kartor/A 50530-2025 karta.png", "A 50530-2025")</f>
        <v/>
      </c>
      <c r="Y44">
        <f>HYPERLINK("https://klasma.github.io/Logging_2425/kartor_geotiff/A 50530-2025 georefererad karta.tif", "A 50530-2025")</f>
        <v/>
      </c>
      <c r="AA44">
        <f>HYPERLINK("https://klasma.github.io/Logging_2425/klagomål/A 50530-2025 FSC-klagomål.docx", "A 50530-2025")</f>
        <v/>
      </c>
      <c r="AB44">
        <f>HYPERLINK("https://klasma.github.io/Logging_2425/klagomålsmail/A 50530-2025 FSC-klagomål mail.docx", "A 50530-2025")</f>
        <v/>
      </c>
      <c r="AC44">
        <f>HYPERLINK("https://klasma.github.io/Logging_2425/tillsyn/A 50530-2025 tillsynsbegäran.docx", "A 50530-2025")</f>
        <v/>
      </c>
      <c r="AD44">
        <f>HYPERLINK("https://klasma.github.io/Logging_2425/tillsynsmail/A 50530-2025 tillsynsbegäran mail.docx", "A 50530-2025")</f>
        <v/>
      </c>
    </row>
    <row r="45" ht="15" customHeight="1">
      <c r="A45" t="inlineStr">
        <is>
          <t>A 57058-2024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46303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HYPERLINK("https://klasma.github.io/Logging_2425/artfynd/A 57058-2024 artfynd.xlsx", "A 57058-2024")</f>
        <v/>
      </c>
      <c r="X45">
        <f>HYPERLINK("https://klasma.github.io/Logging_2425/kartor/A 57058-2024 karta.png", "A 57058-2024")</f>
        <v/>
      </c>
      <c r="Y45">
        <f>HYPERLINK("https://klasma.github.io/Logging_2425/kartor_geotiff/A 57058-2024 georefererad karta.tif", "A 57058-2024")</f>
        <v/>
      </c>
      <c r="AA45">
        <f>HYPERLINK("https://klasma.github.io/Logging_2425/klagomål/A 57058-2024 FSC-klagomål.docx", "A 57058-2024")</f>
        <v/>
      </c>
      <c r="AB45">
        <f>HYPERLINK("https://klasma.github.io/Logging_2425/klagomålsmail/A 57058-2024 FSC-klagomål mail.docx", "A 57058-2024")</f>
        <v/>
      </c>
      <c r="AC45">
        <f>HYPERLINK("https://klasma.github.io/Logging_2425/tillsyn/A 57058-2024 tillsynsbegäran.docx", "A 57058-2024")</f>
        <v/>
      </c>
      <c r="AD45">
        <f>HYPERLINK("https://klasma.github.io/Logging_2425/tillsynsmail/A 57058-2024 tillsynsbegäran mail.docx", "A 57058-2024")</f>
        <v/>
      </c>
    </row>
    <row r="46" ht="15" customHeight="1">
      <c r="A46" t="inlineStr">
        <is>
          <t>A 53309-2022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44878</v>
      </c>
      <c r="E46" s="1" t="n">
        <v>46303</v>
      </c>
      <c r="F46" t="inlineStr">
        <is>
          <t>VÄSTERBOTTENS LÄN</t>
        </is>
      </c>
      <c r="G46" t="inlineStr">
        <is>
          <t>DOROTEA</t>
        </is>
      </c>
      <c r="I46" t="n">
        <v>6.6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Göktyta</t>
        </is>
      </c>
      <c r="W46">
        <f>HYPERLINK("https://klasma.github.io/Logging_2425/artfynd/A 53309-2022 artfynd.xlsx", "A 53309-2022")</f>
        <v/>
      </c>
      <c r="X46">
        <f>HYPERLINK("https://klasma.github.io/Logging_2425/kartor/A 53309-2022 karta.png", "A 53309-2022")</f>
        <v/>
      </c>
      <c r="Y46">
        <f>HYPERLINK("https://klasma.github.io/Logging_2425/kartor_geotiff/A 53309-2022 georefererad karta.tif", "A 53309-2022")</f>
        <v/>
      </c>
      <c r="AA46">
        <f>HYPERLINK("https://klasma.github.io/Logging_2425/klagomål/A 53309-2022 FSC-klagomål.docx", "A 53309-2022")</f>
        <v/>
      </c>
      <c r="AB46">
        <f>HYPERLINK("https://klasma.github.io/Logging_2425/klagomålsmail/A 53309-2022 FSC-klagomål mail.docx", "A 53309-2022")</f>
        <v/>
      </c>
      <c r="AC46">
        <f>HYPERLINK("https://klasma.github.io/Logging_2425/tillsyn/A 53309-2022 tillsynsbegäran.docx", "A 53309-2022")</f>
        <v/>
      </c>
      <c r="AD46">
        <f>HYPERLINK("https://klasma.github.io/Logging_2425/tillsynsmail/A 53309-2022 tillsynsbegäran mail.docx", "A 53309-2022")</f>
        <v/>
      </c>
      <c r="AE46">
        <f>HYPERLINK("https://klasma.github.io/Logging_2425/fåglar/A 53309-2022 prioriterade fågelarter.docx", "A 53309-2022")</f>
        <v/>
      </c>
    </row>
    <row r="47" ht="15" customHeight="1">
      <c r="A47" t="inlineStr">
        <is>
          <t>A 20600-2023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45057</v>
      </c>
      <c r="E47" s="1" t="n">
        <v>46303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HYPERLINK("https://klasma.github.io/Logging_2425/artfynd/A 20600-2023 artfynd.xlsx", "A 20600-2023")</f>
        <v/>
      </c>
      <c r="X47">
        <f>HYPERLINK("https://klasma.github.io/Logging_2425/kartor/A 20600-2023 karta.png", "A 20600-2023")</f>
        <v/>
      </c>
      <c r="Y47">
        <f>HYPERLINK("https://klasma.github.io/Logging_2425/kartor_geotiff/A 20600-2023 georefererad karta.tif", "A 20600-2023")</f>
        <v/>
      </c>
      <c r="AA47">
        <f>HYPERLINK("https://klasma.github.io/Logging_2425/klagomål/A 20600-2023 FSC-klagomål.docx", "A 20600-2023")</f>
        <v/>
      </c>
      <c r="AB47">
        <f>HYPERLINK("https://klasma.github.io/Logging_2425/klagomålsmail/A 20600-2023 FSC-klagomål mail.docx", "A 20600-2023")</f>
        <v/>
      </c>
      <c r="AC47">
        <f>HYPERLINK("https://klasma.github.io/Logging_2425/tillsyn/A 20600-2023 tillsynsbegäran.docx", "A 20600-2023")</f>
        <v/>
      </c>
      <c r="AD47">
        <f>HYPERLINK("https://klasma.github.io/Logging_2425/tillsynsmail/A 20600-2023 tillsynsbegäran mail.docx", "A 20600-2023")</f>
        <v/>
      </c>
    </row>
    <row r="48" ht="15" customHeight="1">
      <c r="A48" t="inlineStr">
        <is>
          <t>A 21926-2026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46303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HYPERLINK("https://klasma.github.io/Logging_2425/artfynd/A 21926-2026 artfynd.xlsx", "A 21926-2026")</f>
        <v/>
      </c>
      <c r="X48">
        <f>HYPERLINK("https://klasma.github.io/Logging_2425/kartor/A 21926-2026 karta.png", "A 21926-2026")</f>
        <v/>
      </c>
      <c r="Y48">
        <f>HYPERLINK("https://klasma.github.io/Logging_2425/kartor_geotiff/A 21926-2026 georefererad karta.tif", "A 21926-2026")</f>
        <v/>
      </c>
      <c r="AA48">
        <f>HYPERLINK("https://klasma.github.io/Logging_2425/klagomål/A 21926-2026 FSC-klagomål.docx", "A 21926-2026")</f>
        <v/>
      </c>
      <c r="AB48">
        <f>HYPERLINK("https://klasma.github.io/Logging_2425/klagomålsmail/A 21926-2026 FSC-klagomål mail.docx", "A 21926-2026")</f>
        <v/>
      </c>
      <c r="AC48">
        <f>HYPERLINK("https://klasma.github.io/Logging_2425/tillsyn/A 21926-2026 tillsynsbegäran.docx", "A 21926-2026")</f>
        <v/>
      </c>
      <c r="AD48">
        <f>HYPERLINK("https://klasma.github.io/Logging_2425/tillsynsmail/A 21926-2026 tillsynsbegäran mail.docx", "A 21926-2026")</f>
        <v/>
      </c>
    </row>
    <row r="49" ht="15" customHeight="1">
      <c r="A49" t="inlineStr">
        <is>
          <t>A 46815-2023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45198</v>
      </c>
      <c r="E49" s="1" t="n">
        <v>46303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Harticka</t>
        </is>
      </c>
      <c r="W49">
        <f>HYPERLINK("https://klasma.github.io/Logging_2425/artfynd/A 46815-2023 artfynd.xlsx", "A 46815-2023")</f>
        <v/>
      </c>
      <c r="X49">
        <f>HYPERLINK("https://klasma.github.io/Logging_2425/kartor/A 46815-2023 karta.png", "A 46815-2023")</f>
        <v/>
      </c>
      <c r="Y49">
        <f>HYPERLINK("https://klasma.github.io/Logging_2425/kartor_geotiff/A 46815-2023 georefererad karta.tif", "A 46815-2023")</f>
        <v/>
      </c>
      <c r="AA49">
        <f>HYPERLINK("https://klasma.github.io/Logging_2425/klagomål/A 46815-2023 FSC-klagomål.docx", "A 46815-2023")</f>
        <v/>
      </c>
      <c r="AB49">
        <f>HYPERLINK("https://klasma.github.io/Logging_2425/klagomålsmail/A 46815-2023 FSC-klagomål mail.docx", "A 46815-2023")</f>
        <v/>
      </c>
      <c r="AC49">
        <f>HYPERLINK("https://klasma.github.io/Logging_2425/tillsyn/A 46815-2023 tillsynsbegäran.docx", "A 46815-2023")</f>
        <v/>
      </c>
      <c r="AD49">
        <f>HYPERLINK("https://klasma.github.io/Logging_2425/tillsynsmail/A 46815-2023 tillsynsbegäran mail.docx", "A 46815-2023")</f>
        <v/>
      </c>
    </row>
    <row r="50" ht="15" customHeight="1">
      <c r="A50" t="inlineStr">
        <is>
          <t>A 1278-2024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45302</v>
      </c>
      <c r="E50" s="1" t="n">
        <v>46303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Gräddticka</t>
        </is>
      </c>
      <c r="W50">
        <f>HYPERLINK("https://klasma.github.io/Logging_2425/artfynd/A 1278-2024 artfynd.xlsx", "A 1278-2024")</f>
        <v/>
      </c>
      <c r="X50">
        <f>HYPERLINK("https://klasma.github.io/Logging_2425/kartor/A 1278-2024 karta.png", "A 1278-2024")</f>
        <v/>
      </c>
      <c r="Y50">
        <f>HYPERLINK("https://klasma.github.io/Logging_2425/kartor_geotiff/A 1278-2024 georefererad karta.tif", "A 1278-2024")</f>
        <v/>
      </c>
      <c r="AA50">
        <f>HYPERLINK("https://klasma.github.io/Logging_2425/klagomål/A 1278-2024 FSC-klagomål.docx", "A 1278-2024")</f>
        <v/>
      </c>
      <c r="AB50">
        <f>HYPERLINK("https://klasma.github.io/Logging_2425/klagomålsmail/A 1278-2024 FSC-klagomål mail.docx", "A 1278-2024")</f>
        <v/>
      </c>
      <c r="AC50">
        <f>HYPERLINK("https://klasma.github.io/Logging_2425/tillsyn/A 1278-2024 tillsynsbegäran.docx", "A 1278-2024")</f>
        <v/>
      </c>
      <c r="AD50">
        <f>HYPERLINK("https://klasma.github.io/Logging_2425/tillsynsmail/A 1278-2024 tillsynsbegäran mail.docx", "A 1278-2024")</f>
        <v/>
      </c>
    </row>
    <row r="51" ht="15" customHeight="1">
      <c r="A51" t="inlineStr">
        <is>
          <t>A 25980-2026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40.2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HYPERLINK("https://klasma.github.io/Logging_2425/artfynd/A 25980-2026 artfynd.xlsx", "A 25980-2026")</f>
        <v/>
      </c>
      <c r="X51">
        <f>HYPERLINK("https://klasma.github.io/Logging_2425/kartor/A 25980-2026 karta.png", "A 25980-2026")</f>
        <v/>
      </c>
      <c r="Y51">
        <f>HYPERLINK("https://klasma.github.io/Logging_2425/kartor_geotiff/A 25980-2026 georefererad karta.tif", "A 25980-2026")</f>
        <v/>
      </c>
      <c r="AA51">
        <f>HYPERLINK("https://klasma.github.io/Logging_2425/klagomål/A 25980-2026 FSC-klagomål.docx", "A 25980-2026")</f>
        <v/>
      </c>
      <c r="AB51">
        <f>HYPERLINK("https://klasma.github.io/Logging_2425/klagomålsmail/A 25980-2026 FSC-klagomål mail.docx", "A 25980-2026")</f>
        <v/>
      </c>
      <c r="AC51">
        <f>HYPERLINK("https://klasma.github.io/Logging_2425/tillsyn/A 25980-2026 tillsynsbegäran.docx", "A 25980-2026")</f>
        <v/>
      </c>
      <c r="AD51">
        <f>HYPERLINK("https://klasma.github.io/Logging_2425/tillsynsmail/A 25980-2026 tillsynsbegäran mail.docx", "A 25980-2026")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46303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46303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A 35297-2026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46303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35297-2026 artfynd.xlsx", "A 35297-2026")</f>
        <v/>
      </c>
      <c r="X54">
        <f>HYPERLINK("https://klasma.github.io/Logging_2425/kartor/A 35297-2026 karta.png", "A 35297-2026")</f>
        <v/>
      </c>
      <c r="Y54">
        <f>HYPERLINK("https://klasma.github.io/Logging_2425/kartor_geotiff/A 35297-2026 georefererad karta.tif", "A 35297-2026")</f>
        <v/>
      </c>
      <c r="AA54">
        <f>HYPERLINK("https://klasma.github.io/Logging_2425/klagomål/A 35297-2026 FSC-klagomål.docx", "A 35297-2026")</f>
        <v/>
      </c>
      <c r="AB54">
        <f>HYPERLINK("https://klasma.github.io/Logging_2425/klagomålsmail/A 35297-2026 FSC-klagomål mail.docx", "A 35297-2026")</f>
        <v/>
      </c>
      <c r="AC54">
        <f>HYPERLINK("https://klasma.github.io/Logging_2425/tillsyn/A 35297-2026 tillsynsbegäran.docx", "A 35297-2026")</f>
        <v/>
      </c>
      <c r="AD54">
        <f>HYPERLINK("https://klasma.github.io/Logging_2425/tillsynsmail/A 35297-2026 tillsynsbegäran mail.docx", "A 35297-2026")</f>
        <v/>
      </c>
    </row>
    <row r="55" ht="15" customHeight="1">
      <c r="A55" t="inlineStr">
        <is>
          <t>A 32331-2026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46238</v>
      </c>
      <c r="E55" s="1" t="n">
        <v>46303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Skrovellav</t>
        </is>
      </c>
      <c r="W55">
        <f>HYPERLINK("https://klasma.github.io/Logging_2425/artfynd/A 32331-2026 artfynd.xlsx", "A 32331-2026")</f>
        <v/>
      </c>
      <c r="X55">
        <f>HYPERLINK("https://klasma.github.io/Logging_2425/kartor/A 32331-2026 karta.png", "A 32331-2026")</f>
        <v/>
      </c>
      <c r="Y55">
        <f>HYPERLINK("https://klasma.github.io/Logging_2425/kartor_geotiff/A 32331-2026 georefererad karta.tif", "A 32331-2026")</f>
        <v/>
      </c>
      <c r="AA55">
        <f>HYPERLINK("https://klasma.github.io/Logging_2425/klagomål/A 32331-2026 FSC-klagomål.docx", "A 32331-2026")</f>
        <v/>
      </c>
      <c r="AB55">
        <f>HYPERLINK("https://klasma.github.io/Logging_2425/klagomålsmail/A 32331-2026 FSC-klagomål mail.docx", "A 32331-2026")</f>
        <v/>
      </c>
      <c r="AC55">
        <f>HYPERLINK("https://klasma.github.io/Logging_2425/tillsyn/A 32331-2026 tillsynsbegäran.docx", "A 32331-2026")</f>
        <v/>
      </c>
      <c r="AD55">
        <f>HYPERLINK("https://klasma.github.io/Logging_2425/tillsynsmail/A 32331-2026 tillsynsbegäran mail.docx", "A 32331-2026")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46303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46303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46303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46303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46303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46303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46303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46303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46303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46303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46303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46303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46303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46303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10400-2025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45720</v>
      </c>
      <c r="E70" s="1" t="n">
        <v>46303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45475</v>
      </c>
      <c r="E71" s="1" t="n">
        <v>46303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27199-2024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45471</v>
      </c>
      <c r="E72" s="1" t="n">
        <v>46303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45734</v>
      </c>
      <c r="E73" s="1" t="n">
        <v>46303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46303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45013</v>
      </c>
      <c r="E75" s="1" t="n">
        <v>46303</v>
      </c>
      <c r="F75" t="inlineStr">
        <is>
          <t>VÄSTERBOTTENS LÄN</t>
        </is>
      </c>
      <c r="G75" t="inlineStr">
        <is>
          <t>DOROTEA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45228</v>
      </c>
      <c r="E76" s="1" t="n">
        <v>46303</v>
      </c>
      <c r="F76" t="inlineStr">
        <is>
          <t>VÄSTERBOTTENS LÄN</t>
        </is>
      </c>
      <c r="G76" t="inlineStr">
        <is>
          <t>DOROTEA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45228</v>
      </c>
      <c r="E77" s="1" t="n">
        <v>46303</v>
      </c>
      <c r="F77" t="inlineStr">
        <is>
          <t>VÄSTERBOTTENS LÄN</t>
        </is>
      </c>
      <c r="G77" t="inlineStr">
        <is>
          <t>DOROTEA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44889</v>
      </c>
      <c r="E78" s="1" t="n">
        <v>46303</v>
      </c>
      <c r="F78" t="inlineStr">
        <is>
          <t>VÄSTERBOTTENS LÄN</t>
        </is>
      </c>
      <c r="G78" t="inlineStr">
        <is>
          <t>DOROTEA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46303</v>
      </c>
      <c r="F79" t="inlineStr">
        <is>
          <t>VÄSTERBOTTENS LÄN</t>
        </is>
      </c>
      <c r="G79" t="inlineStr">
        <is>
          <t>DOROTEA</t>
        </is>
      </c>
      <c r="I79" t="n">
        <v>28.8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45393</v>
      </c>
      <c r="E80" s="1" t="n">
        <v>46303</v>
      </c>
      <c r="F80" t="inlineStr">
        <is>
          <t>VÄSTERBOTTENS LÄN</t>
        </is>
      </c>
      <c r="G80" t="inlineStr">
        <is>
          <t>DOROTEA</t>
        </is>
      </c>
      <c r="I80" t="n">
        <v>10.2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27305-2024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45471</v>
      </c>
      <c r="E81" s="1" t="n">
        <v>46303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28549-2023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45103</v>
      </c>
      <c r="E82" s="1" t="n">
        <v>46303</v>
      </c>
      <c r="F82" t="inlineStr">
        <is>
          <t>VÄSTERBOTTENS LÄN</t>
        </is>
      </c>
      <c r="G82" t="inlineStr">
        <is>
          <t>DOROTEA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46303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43944-2024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45572</v>
      </c>
      <c r="E84" s="1" t="n">
        <v>46303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28856-2024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45478</v>
      </c>
      <c r="E85" s="1" t="n">
        <v>46303</v>
      </c>
      <c r="F85" t="inlineStr">
        <is>
          <t>VÄSTERBOTTENS LÄN</t>
        </is>
      </c>
      <c r="G85" t="inlineStr">
        <is>
          <t>DOROTEA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45614</v>
      </c>
      <c r="E86" s="1" t="n">
        <v>46303</v>
      </c>
      <c r="F86" t="inlineStr">
        <is>
          <t>VÄSTERBOTTENS LÄN</t>
        </is>
      </c>
      <c r="G86" t="inlineStr">
        <is>
          <t>DOROTEA</t>
        </is>
      </c>
      <c r="I86" t="n">
        <v>11.2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44761</v>
      </c>
      <c r="E87" s="1" t="n">
        <v>46303</v>
      </c>
      <c r="F87" t="inlineStr">
        <is>
          <t>VÄSTERBOTTENS LÄN</t>
        </is>
      </c>
      <c r="G87" t="inlineStr">
        <is>
          <t>DOROTEA</t>
        </is>
      </c>
      <c r="I87" t="n">
        <v>10.6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48006-2023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45198</v>
      </c>
      <c r="E88" s="1" t="n">
        <v>46303</v>
      </c>
      <c r="F88" t="inlineStr">
        <is>
          <t>VÄSTERBOTTENS LÄN</t>
        </is>
      </c>
      <c r="G88" t="inlineStr">
        <is>
          <t>DOROTEA</t>
        </is>
      </c>
      <c r="H88" t="inlineStr">
        <is>
          <t>Övriga statliga verk och myndigheter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46303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42104-2024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45562</v>
      </c>
      <c r="E90" s="1" t="n">
        <v>46303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46303</v>
      </c>
      <c r="F91" t="inlineStr">
        <is>
          <t>VÄSTERBOTTENS LÄN</t>
        </is>
      </c>
      <c r="G91" t="inlineStr">
        <is>
          <t>DOROTEA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45385</v>
      </c>
      <c r="E92" s="1" t="n">
        <v>46303</v>
      </c>
      <c r="F92" t="inlineStr">
        <is>
          <t>VÄSTERBOTTENS LÄN</t>
        </is>
      </c>
      <c r="G92" t="inlineStr">
        <is>
          <t>DOROTEA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46303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45789</v>
      </c>
      <c r="E94" s="1" t="n">
        <v>46303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46303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46303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44568</v>
      </c>
      <c r="E97" s="1" t="n">
        <v>46303</v>
      </c>
      <c r="F97" t="inlineStr">
        <is>
          <t>VÄSTERBOTTENS LÄN</t>
        </is>
      </c>
      <c r="G97" t="inlineStr">
        <is>
          <t>DOROTEA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46303</v>
      </c>
      <c r="F98" t="inlineStr">
        <is>
          <t>VÄSTERBOTTENS LÄN</t>
        </is>
      </c>
      <c r="G98" t="inlineStr">
        <is>
          <t>DOROTEA</t>
        </is>
      </c>
      <c r="I98" t="n">
        <v>10.2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46303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46303</v>
      </c>
      <c r="F100" t="inlineStr">
        <is>
          <t>VÄSTERBOTTENS LÄN</t>
        </is>
      </c>
      <c r="G100" t="inlineStr">
        <is>
          <t>DOROTEA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45224</v>
      </c>
      <c r="E101" s="1" t="n">
        <v>46303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45140</v>
      </c>
      <c r="E102" s="1" t="n">
        <v>46303</v>
      </c>
      <c r="F102" t="inlineStr">
        <is>
          <t>VÄSTERBOTTENS LÄN</t>
        </is>
      </c>
      <c r="G102" t="inlineStr">
        <is>
          <t>DOROTEA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46303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45893</v>
      </c>
      <c r="E104" s="1" t="n">
        <v>46303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45551</v>
      </c>
      <c r="E105" s="1" t="n">
        <v>46303</v>
      </c>
      <c r="F105" t="inlineStr">
        <is>
          <t>VÄSTERBOTTENS LÄN</t>
        </is>
      </c>
      <c r="G105" t="inlineStr">
        <is>
          <t>DOROTEA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33113-2024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45517</v>
      </c>
      <c r="E106" s="1" t="n">
        <v>46303</v>
      </c>
      <c r="F106" t="inlineStr">
        <is>
          <t>VÄSTERBOTTENS LÄN</t>
        </is>
      </c>
      <c r="G106" t="inlineStr">
        <is>
          <t>DOROTEA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44824</v>
      </c>
      <c r="E107" s="1" t="n">
        <v>46303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45757</v>
      </c>
      <c r="E108" s="1" t="n">
        <v>46303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45036</v>
      </c>
      <c r="E109" s="1" t="n">
        <v>46303</v>
      </c>
      <c r="F109" t="inlineStr">
        <is>
          <t>VÄSTERBOTTENS LÄN</t>
        </is>
      </c>
      <c r="G109" t="inlineStr">
        <is>
          <t>DOROTEA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46303</v>
      </c>
      <c r="F110" t="inlineStr">
        <is>
          <t>VÄSTERBOTTENS LÄN</t>
        </is>
      </c>
      <c r="G110" t="inlineStr">
        <is>
          <t>DOROTEA</t>
        </is>
      </c>
      <c r="I110" t="n">
        <v>12.8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46303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46303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55919-2023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45239</v>
      </c>
      <c r="E113" s="1" t="n">
        <v>46303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46303</v>
      </c>
      <c r="F114" t="inlineStr">
        <is>
          <t>VÄSTERBOTTENS LÄN</t>
        </is>
      </c>
      <c r="G114" t="inlineStr">
        <is>
          <t>DOROTEA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46303</v>
      </c>
      <c r="F115" t="inlineStr">
        <is>
          <t>VÄSTERBOTTENS LÄN</t>
        </is>
      </c>
      <c r="G115" t="inlineStr">
        <is>
          <t>DOROTEA</t>
        </is>
      </c>
      <c r="I115" t="n">
        <v>14.8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46303</v>
      </c>
      <c r="F116" t="inlineStr">
        <is>
          <t>VÄSTERBOTTENS LÄN</t>
        </is>
      </c>
      <c r="G116" t="inlineStr">
        <is>
          <t>DOROTEA</t>
        </is>
      </c>
      <c r="H116" t="inlineStr">
        <is>
          <t>Övriga Aktiebolag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46303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46303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46303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39471-2024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45551</v>
      </c>
      <c r="E120" s="1" t="n">
        <v>46303</v>
      </c>
      <c r="F120" t="inlineStr">
        <is>
          <t>VÄSTERBOTTENS LÄN</t>
        </is>
      </c>
      <c r="G120" t="inlineStr">
        <is>
          <t>DOROTEA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25606-2025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45803</v>
      </c>
      <c r="E121" s="1" t="n">
        <v>46303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46303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46303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44956</v>
      </c>
      <c r="E124" s="1" t="n">
        <v>46303</v>
      </c>
      <c r="F124" t="inlineStr">
        <is>
          <t>VÄSTERBOTTENS LÄN</t>
        </is>
      </c>
      <c r="G124" t="inlineStr">
        <is>
          <t>DOROTEA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45912</v>
      </c>
      <c r="E125" s="1" t="n">
        <v>46303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46303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46303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44282-2025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45916</v>
      </c>
      <c r="E128" s="1" t="n">
        <v>46303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46303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44582</v>
      </c>
      <c r="E130" s="1" t="n">
        <v>46303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26480-2025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45807</v>
      </c>
      <c r="E131" s="1" t="n">
        <v>46303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46303</v>
      </c>
      <c r="F132" t="inlineStr">
        <is>
          <t>VÄSTERBOTTENS LÄN</t>
        </is>
      </c>
      <c r="G132" t="inlineStr">
        <is>
          <t>DOROTEA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34700-2023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45140</v>
      </c>
      <c r="E133" s="1" t="n">
        <v>46303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34702-2023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45140</v>
      </c>
      <c r="E134" s="1" t="n">
        <v>46303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46303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8.4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46303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44395-2025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46303</v>
      </c>
      <c r="F137" t="inlineStr">
        <is>
          <t>VÄSTERBOTTENS LÄN</t>
        </is>
      </c>
      <c r="G137" t="inlineStr">
        <is>
          <t>DOROTEA</t>
        </is>
      </c>
      <c r="H137" t="inlineStr">
        <is>
          <t>Övriga statliga verk och myndigheter</t>
        </is>
      </c>
      <c r="I137" t="n">
        <v>15.2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57070-2023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45244</v>
      </c>
      <c r="E138" s="1" t="n">
        <v>46303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46303</v>
      </c>
      <c r="F139" t="inlineStr">
        <is>
          <t>VÄSTERBOTTENS LÄN</t>
        </is>
      </c>
      <c r="G139" t="inlineStr">
        <is>
          <t>DOROTEA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26904-2025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46303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59418-2023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45253</v>
      </c>
      <c r="E141" s="1" t="n">
        <v>46303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46303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49077-2022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44860</v>
      </c>
      <c r="E143" s="1" t="n">
        <v>46303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Sveaskog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46303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46303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46303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9.4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45817</v>
      </c>
      <c r="E147" s="1" t="n">
        <v>46303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46303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45845</v>
      </c>
      <c r="E149" s="1" t="n">
        <v>46303</v>
      </c>
      <c r="F149" t="inlineStr">
        <is>
          <t>VÄSTERBOTTENS LÄN</t>
        </is>
      </c>
      <c r="G149" t="inlineStr">
        <is>
          <t>DOROTEA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45483</v>
      </c>
      <c r="E150" s="1" t="n">
        <v>46303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34408-2025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46303</v>
      </c>
      <c r="F151" t="inlineStr">
        <is>
          <t>VÄSTERBOTTENS LÄN</t>
        </is>
      </c>
      <c r="G151" t="inlineStr">
        <is>
          <t>DOROTEA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46303</v>
      </c>
      <c r="F152" t="inlineStr">
        <is>
          <t>VÄSTERBOTTENS LÄN</t>
        </is>
      </c>
      <c r="G152" t="inlineStr">
        <is>
          <t>DOROTEA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40435-2023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45169</v>
      </c>
      <c r="E153" s="1" t="n">
        <v>46303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45036</v>
      </c>
      <c r="E154" s="1" t="n">
        <v>46303</v>
      </c>
      <c r="F154" t="inlineStr">
        <is>
          <t>VÄSTERBOTTENS LÄN</t>
        </is>
      </c>
      <c r="G154" t="inlineStr">
        <is>
          <t>DOROTEA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46303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46303</v>
      </c>
      <c r="F156" t="inlineStr">
        <is>
          <t>VÄSTERBOTTENS LÄN</t>
        </is>
      </c>
      <c r="G156" t="inlineStr">
        <is>
          <t>DOROTEA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45098</v>
      </c>
      <c r="E157" s="1" t="n">
        <v>46303</v>
      </c>
      <c r="F157" t="inlineStr">
        <is>
          <t>VÄSTERBOTTENS LÄN</t>
        </is>
      </c>
      <c r="G157" t="inlineStr">
        <is>
          <t>DOROTEA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48530-2025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45936</v>
      </c>
      <c r="E158" s="1" t="n">
        <v>46303</v>
      </c>
      <c r="F158" t="inlineStr">
        <is>
          <t>VÄSTERBOTTENS LÄN</t>
        </is>
      </c>
      <c r="G158" t="inlineStr">
        <is>
          <t>DOROTEA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44484</v>
      </c>
      <c r="E159" s="1" t="n">
        <v>46303</v>
      </c>
      <c r="F159" t="inlineStr">
        <is>
          <t>VÄSTERBOTTENS LÄN</t>
        </is>
      </c>
      <c r="G159" t="inlineStr">
        <is>
          <t>DOROTEA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45556</v>
      </c>
      <c r="E160" s="1" t="n">
        <v>46303</v>
      </c>
      <c r="F160" t="inlineStr">
        <is>
          <t>VÄSTERBOTTENS LÄN</t>
        </is>
      </c>
      <c r="G160" t="inlineStr">
        <is>
          <t>DOROTEA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46303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46303</v>
      </c>
      <c r="F162" t="inlineStr">
        <is>
          <t>VÄSTERBOTTENS LÄN</t>
        </is>
      </c>
      <c r="G162" t="inlineStr">
        <is>
          <t>DOROTEA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31510-2025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45833</v>
      </c>
      <c r="E163" s="1" t="n">
        <v>46303</v>
      </c>
      <c r="F163" t="inlineStr">
        <is>
          <t>VÄSTERBOTTENS LÄN</t>
        </is>
      </c>
      <c r="G163" t="inlineStr">
        <is>
          <t>DOROTEA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46303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46303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46966-2024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45586</v>
      </c>
      <c r="E166" s="1" t="n">
        <v>46303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46303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46303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37105-2024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46303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46303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27.7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57431-2022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44889</v>
      </c>
      <c r="E171" s="1" t="n">
        <v>46303</v>
      </c>
      <c r="F171" t="inlineStr">
        <is>
          <t>VÄSTERBOTTENS LÄN</t>
        </is>
      </c>
      <c r="G171" t="inlineStr">
        <is>
          <t>DOROTEA</t>
        </is>
      </c>
      <c r="I171" t="n">
        <v>15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46303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34279-2025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45846</v>
      </c>
      <c r="E173" s="1" t="n">
        <v>46303</v>
      </c>
      <c r="F173" t="inlineStr">
        <is>
          <t>VÄSTERBOTTENS LÄN</t>
        </is>
      </c>
      <c r="G173" t="inlineStr">
        <is>
          <t>DOROTEA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74013-2021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44557</v>
      </c>
      <c r="E174" s="1" t="n">
        <v>46303</v>
      </c>
      <c r="F174" t="inlineStr">
        <is>
          <t>VÄSTERBOTTENS LÄN</t>
        </is>
      </c>
      <c r="G174" t="inlineStr">
        <is>
          <t>DOROTEA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44925</v>
      </c>
      <c r="E175" s="1" t="n">
        <v>46303</v>
      </c>
      <c r="F175" t="inlineStr">
        <is>
          <t>VÄSTERBOTTENS LÄN</t>
        </is>
      </c>
      <c r="G175" t="inlineStr">
        <is>
          <t>DOROTEA</t>
        </is>
      </c>
      <c r="I175" t="n">
        <v>22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30373-2024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45491</v>
      </c>
      <c r="E176" s="1" t="n">
        <v>46303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Sveaskog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46303</v>
      </c>
      <c r="F177" t="inlineStr">
        <is>
          <t>VÄSTERBOTTENS LÄN</t>
        </is>
      </c>
      <c r="G177" t="inlineStr">
        <is>
          <t>DOROTEA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52412-2025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46303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45075</v>
      </c>
      <c r="E179" s="1" t="n">
        <v>46303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45036</v>
      </c>
      <c r="E180" s="1" t="n">
        <v>46303</v>
      </c>
      <c r="F180" t="inlineStr">
        <is>
          <t>VÄSTERBOTTENS LÄN</t>
        </is>
      </c>
      <c r="G180" t="inlineStr">
        <is>
          <t>DOROTEA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45848</v>
      </c>
      <c r="E181" s="1" t="n">
        <v>46303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45847</v>
      </c>
      <c r="E182" s="1" t="n">
        <v>46303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46303</v>
      </c>
      <c r="F183" t="inlineStr">
        <is>
          <t>VÄSTERBOTTENS LÄN</t>
        </is>
      </c>
      <c r="G183" t="inlineStr">
        <is>
          <t>DOROTEA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35990-2023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45148</v>
      </c>
      <c r="E184" s="1" t="n">
        <v>46303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46303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53357-2024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45614</v>
      </c>
      <c r="E186" s="1" t="n">
        <v>46303</v>
      </c>
      <c r="F186" t="inlineStr">
        <is>
          <t>VÄSTERBOTTENS LÄN</t>
        </is>
      </c>
      <c r="G186" t="inlineStr">
        <is>
          <t>DOROTEA</t>
        </is>
      </c>
      <c r="I186" t="n">
        <v>26.5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34856-2025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45849</v>
      </c>
      <c r="E187" s="1" t="n">
        <v>46303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45852</v>
      </c>
      <c r="E188" s="1" t="n">
        <v>46303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45855</v>
      </c>
      <c r="E189" s="1" t="n">
        <v>46303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5.6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46303</v>
      </c>
      <c r="F190" t="inlineStr">
        <is>
          <t>VÄSTERBOTTENS LÄN</t>
        </is>
      </c>
      <c r="G190" t="inlineStr">
        <is>
          <t>DOROTEA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45855</v>
      </c>
      <c r="E191" s="1" t="n">
        <v>46303</v>
      </c>
      <c r="F191" t="inlineStr">
        <is>
          <t>VÄSTERBOTTENS LÄN</t>
        </is>
      </c>
      <c r="G191" t="inlineStr">
        <is>
          <t>DOROTEA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45855</v>
      </c>
      <c r="E192" s="1" t="n">
        <v>46303</v>
      </c>
      <c r="F192" t="inlineStr">
        <is>
          <t>VÄSTERBOTTENS LÄN</t>
        </is>
      </c>
      <c r="G192" t="inlineStr">
        <is>
          <t>DOROTEA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45565</v>
      </c>
      <c r="E193" s="1" t="n">
        <v>46303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45866</v>
      </c>
      <c r="E194" s="1" t="n">
        <v>46303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45552</v>
      </c>
      <c r="E195" s="1" t="n">
        <v>46303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46303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45866</v>
      </c>
      <c r="E197" s="1" t="n">
        <v>46303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7429-2023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44971</v>
      </c>
      <c r="E198" s="1" t="n">
        <v>46303</v>
      </c>
      <c r="F198" t="inlineStr">
        <is>
          <t>VÄSTERBOTTENS LÄN</t>
        </is>
      </c>
      <c r="G198" t="inlineStr">
        <is>
          <t>DOROTEA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45874</v>
      </c>
      <c r="E199" s="1" t="n">
        <v>46303</v>
      </c>
      <c r="F199" t="inlineStr">
        <is>
          <t>VÄSTERBOTTENS LÄN</t>
        </is>
      </c>
      <c r="G199" t="inlineStr">
        <is>
          <t>DOROTEA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46303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54624-2025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46303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46303</v>
      </c>
      <c r="F202" t="inlineStr">
        <is>
          <t>VÄSTERBOTTENS LÄN</t>
        </is>
      </c>
      <c r="G202" t="inlineStr">
        <is>
          <t>DOROTEA</t>
        </is>
      </c>
      <c r="H202" t="inlineStr">
        <is>
          <t>Kommuner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46303</v>
      </c>
      <c r="F203" t="inlineStr">
        <is>
          <t>VÄSTERBOTTENS LÄN</t>
        </is>
      </c>
      <c r="G203" t="inlineStr">
        <is>
          <t>DOROTEA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45876</v>
      </c>
      <c r="E204" s="1" t="n">
        <v>46303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45875</v>
      </c>
      <c r="E205" s="1" t="n">
        <v>46303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45876</v>
      </c>
      <c r="E206" s="1" t="n">
        <v>46303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46303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8709-2025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46303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46303</v>
      </c>
      <c r="F209" t="inlineStr">
        <is>
          <t>VÄSTERBOTTENS LÄN</t>
        </is>
      </c>
      <c r="G209" t="inlineStr">
        <is>
          <t>DOROTEA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38101-2025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46303</v>
      </c>
      <c r="F210" t="inlineStr">
        <is>
          <t>VÄSTERBOTTENS LÄN</t>
        </is>
      </c>
      <c r="G210" t="inlineStr">
        <is>
          <t>DOROTEA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46303</v>
      </c>
      <c r="F211" t="inlineStr">
        <is>
          <t>VÄSTERBOTTENS LÄN</t>
        </is>
      </c>
      <c r="G211" t="inlineStr">
        <is>
          <t>DOROTEA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38097-2025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46303</v>
      </c>
      <c r="F212" t="inlineStr">
        <is>
          <t>VÄSTERBOTTENS LÄN</t>
        </is>
      </c>
      <c r="G212" t="inlineStr">
        <is>
          <t>DOROTEA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45882</v>
      </c>
      <c r="E213" s="1" t="n">
        <v>46303</v>
      </c>
      <c r="F213" t="inlineStr">
        <is>
          <t>VÄSTERBOTTENS LÄN</t>
        </is>
      </c>
      <c r="G213" t="inlineStr">
        <is>
          <t>DOROTEA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44956</v>
      </c>
      <c r="E214" s="1" t="n">
        <v>46303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23213-2022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44719</v>
      </c>
      <c r="E215" s="1" t="n">
        <v>46303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45295</v>
      </c>
      <c r="E216" s="1" t="n">
        <v>46303</v>
      </c>
      <c r="F216" t="inlineStr">
        <is>
          <t>VÄSTERBOTTENS LÄN</t>
        </is>
      </c>
      <c r="G216" t="inlineStr">
        <is>
          <t>DOROTEA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46303</v>
      </c>
      <c r="F217" t="inlineStr">
        <is>
          <t>VÄSTERBOTTENS LÄN</t>
        </is>
      </c>
      <c r="G217" t="inlineStr">
        <is>
          <t>DOROTEA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45448</v>
      </c>
      <c r="E218" s="1" t="n">
        <v>46303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63294-2025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46010</v>
      </c>
      <c r="E219" s="1" t="n">
        <v>46303</v>
      </c>
      <c r="F219" t="inlineStr">
        <is>
          <t>VÄSTERBOTTENS LÄN</t>
        </is>
      </c>
      <c r="G219" t="inlineStr">
        <is>
          <t>DOROTEA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57170-2025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45978</v>
      </c>
      <c r="E220" s="1" t="n">
        <v>46303</v>
      </c>
      <c r="F220" t="inlineStr">
        <is>
          <t>VÄSTERBOTTENS LÄN</t>
        </is>
      </c>
      <c r="G220" t="inlineStr">
        <is>
          <t>DOROTEA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45975</v>
      </c>
      <c r="E221" s="1" t="n">
        <v>46303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20321-2026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46303</v>
      </c>
      <c r="F222" t="inlineStr">
        <is>
          <t>VÄSTERBOTTENS LÄN</t>
        </is>
      </c>
      <c r="G222" t="inlineStr">
        <is>
          <t>DOROTEA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20327-2026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46136</v>
      </c>
      <c r="E223" s="1" t="n">
        <v>46303</v>
      </c>
      <c r="F223" t="inlineStr">
        <is>
          <t>VÄSTERBOTTENS LÄN</t>
        </is>
      </c>
      <c r="G223" t="inlineStr">
        <is>
          <t>DOROTEA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46303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46303</v>
      </c>
      <c r="F225" t="inlineStr">
        <is>
          <t>VÄSTERBOTTENS LÄN</t>
        </is>
      </c>
      <c r="G225" t="inlineStr">
        <is>
          <t>DOROTEA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46303</v>
      </c>
      <c r="F226" t="inlineStr">
        <is>
          <t>VÄSTERBOTTENS LÄN</t>
        </is>
      </c>
      <c r="G226" t="inlineStr">
        <is>
          <t>DOROTEA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46303</v>
      </c>
      <c r="F227" t="inlineStr">
        <is>
          <t>VÄSTERBOTTENS LÄN</t>
        </is>
      </c>
      <c r="G227" t="inlineStr">
        <is>
          <t>DOROTEA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45977</v>
      </c>
      <c r="E228" s="1" t="n">
        <v>46303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53272-2024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46303</v>
      </c>
      <c r="F229" t="inlineStr">
        <is>
          <t>VÄSTERBOTTENS LÄN</t>
        </is>
      </c>
      <c r="G229" t="inlineStr">
        <is>
          <t>DOROTEA</t>
        </is>
      </c>
      <c r="I229" t="n">
        <v>31.7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46303</v>
      </c>
      <c r="F230" t="inlineStr">
        <is>
          <t>VÄSTERBOTTENS LÄN</t>
        </is>
      </c>
      <c r="G230" t="inlineStr">
        <is>
          <t>DOROTEA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44888</v>
      </c>
      <c r="E231" s="1" t="n">
        <v>46303</v>
      </c>
      <c r="F231" t="inlineStr">
        <is>
          <t>VÄSTERBOTTENS LÄN</t>
        </is>
      </c>
      <c r="G231" t="inlineStr">
        <is>
          <t>DOROTEA</t>
        </is>
      </c>
      <c r="I231" t="n">
        <v>15.8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45980</v>
      </c>
      <c r="E232" s="1" t="n">
        <v>46303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46303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20333-2026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46303</v>
      </c>
      <c r="F234" t="inlineStr">
        <is>
          <t>VÄSTERBOTTENS LÄN</t>
        </is>
      </c>
      <c r="G234" t="inlineStr">
        <is>
          <t>DOROTEA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46303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53092-2024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46303</v>
      </c>
      <c r="F236" t="inlineStr">
        <is>
          <t>VÄSTERBOTTENS LÄN</t>
        </is>
      </c>
      <c r="G236" t="inlineStr">
        <is>
          <t>DOROTEA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58014-2025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46303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18.2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46303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46303</v>
      </c>
      <c r="F239" t="inlineStr">
        <is>
          <t>VÄSTERBOTTENS LÄN</t>
        </is>
      </c>
      <c r="G239" t="inlineStr">
        <is>
          <t>DOROTEA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45988</v>
      </c>
      <c r="E240" s="1" t="n">
        <v>46303</v>
      </c>
      <c r="F240" t="inlineStr">
        <is>
          <t>VÄSTERBOTTENS LÄN</t>
        </is>
      </c>
      <c r="G240" t="inlineStr">
        <is>
          <t>DOROTEA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46303</v>
      </c>
      <c r="F241" t="inlineStr">
        <is>
          <t>VÄSTERBOTTENS LÄN</t>
        </is>
      </c>
      <c r="G241" t="inlineStr">
        <is>
          <t>DOROTEA</t>
        </is>
      </c>
      <c r="I241" t="n">
        <v>13.3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45876</v>
      </c>
      <c r="E242" s="1" t="n">
        <v>46303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45982</v>
      </c>
      <c r="E243" s="1" t="n">
        <v>46303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45351</v>
      </c>
      <c r="E244" s="1" t="n">
        <v>46303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25028-2024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45461</v>
      </c>
      <c r="E245" s="1" t="n">
        <v>46303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46303</v>
      </c>
      <c r="F246" t="inlineStr">
        <is>
          <t>VÄSTERBOTTENS LÄN</t>
        </is>
      </c>
      <c r="G246" t="inlineStr">
        <is>
          <t>DOROTEA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46303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46136</v>
      </c>
      <c r="E248" s="1" t="n">
        <v>46303</v>
      </c>
      <c r="F248" t="inlineStr">
        <is>
          <t>VÄSTERBOTTENS LÄN</t>
        </is>
      </c>
      <c r="G248" t="inlineStr">
        <is>
          <t>DOROTEA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45986</v>
      </c>
      <c r="E249" s="1" t="n">
        <v>46303</v>
      </c>
      <c r="F249" t="inlineStr">
        <is>
          <t>VÄSTERBOTTENS LÄN</t>
        </is>
      </c>
      <c r="G249" t="inlineStr">
        <is>
          <t>DOROTEA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46303</v>
      </c>
      <c r="F250" t="inlineStr">
        <is>
          <t>VÄSTERBOTTENS LÄN</t>
        </is>
      </c>
      <c r="G250" t="inlineStr">
        <is>
          <t>DOROTEA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46303</v>
      </c>
      <c r="F251" t="inlineStr">
        <is>
          <t>VÄSTERBOTTENS LÄN</t>
        </is>
      </c>
      <c r="G251" t="inlineStr">
        <is>
          <t>DOROTEA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46303</v>
      </c>
      <c r="F252" t="inlineStr">
        <is>
          <t>VÄSTERBOTTENS LÄN</t>
        </is>
      </c>
      <c r="G252" t="inlineStr">
        <is>
          <t>DOROTEA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46141</v>
      </c>
      <c r="E253" s="1" t="n">
        <v>46303</v>
      </c>
      <c r="F253" t="inlineStr">
        <is>
          <t>VÄSTERBOTTENS LÄN</t>
        </is>
      </c>
      <c r="G253" t="inlineStr">
        <is>
          <t>DOROTEA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59066-2025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46303</v>
      </c>
      <c r="F254" t="inlineStr">
        <is>
          <t>VÄSTERBOTTENS LÄN</t>
        </is>
      </c>
      <c r="G254" t="inlineStr">
        <is>
          <t>DOROTEA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46303</v>
      </c>
      <c r="F255" t="inlineStr">
        <is>
          <t>VÄSTERBOTTENS LÄN</t>
        </is>
      </c>
      <c r="G255" t="inlineStr">
        <is>
          <t>DOROTEA</t>
        </is>
      </c>
      <c r="I255" t="n">
        <v>21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46303</v>
      </c>
      <c r="F256" t="inlineStr">
        <is>
          <t>VÄSTERBOTTENS LÄN</t>
        </is>
      </c>
      <c r="G256" t="inlineStr">
        <is>
          <t>DOROTEA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46303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46303</v>
      </c>
      <c r="F258" t="inlineStr">
        <is>
          <t>VÄSTERBOTTENS LÄN</t>
        </is>
      </c>
      <c r="G258" t="inlineStr">
        <is>
          <t>DOROTEA</t>
        </is>
      </c>
      <c r="I258" t="n">
        <v>17.8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46303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46303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21338-2026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46147</v>
      </c>
      <c r="E261" s="1" t="n">
        <v>46303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46147</v>
      </c>
      <c r="E262" s="1" t="n">
        <v>46303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21749-2026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46149</v>
      </c>
      <c r="E263" s="1" t="n">
        <v>46303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46150</v>
      </c>
      <c r="E264" s="1" t="n">
        <v>46303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21902-2026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46303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12.8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46189</v>
      </c>
      <c r="E266" s="1" t="n">
        <v>46303</v>
      </c>
      <c r="F266" t="inlineStr">
        <is>
          <t>VÄSTERBOTTENS LÄN</t>
        </is>
      </c>
      <c r="G266" t="inlineStr">
        <is>
          <t>DOROTEA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27777-2026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46303</v>
      </c>
      <c r="F267" t="inlineStr">
        <is>
          <t>VÄSTERBOTTENS LÄN</t>
        </is>
      </c>
      <c r="G267" t="inlineStr">
        <is>
          <t>DOROTEA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46303</v>
      </c>
      <c r="F268" t="inlineStr">
        <is>
          <t>VÄSTERBOTTENS LÄN</t>
        </is>
      </c>
      <c r="G268" t="inlineStr">
        <is>
          <t>DOROTEA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46303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55888-2022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44888</v>
      </c>
      <c r="E270" s="1" t="n">
        <v>46303</v>
      </c>
      <c r="F270" t="inlineStr">
        <is>
          <t>VÄSTERBOTTENS LÄN</t>
        </is>
      </c>
      <c r="G270" t="inlineStr">
        <is>
          <t>DOROTEA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22214-2026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46303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44960</v>
      </c>
      <c r="E272" s="1" t="n">
        <v>46303</v>
      </c>
      <c r="F272" t="inlineStr">
        <is>
          <t>VÄSTERBOTTENS LÄN</t>
        </is>
      </c>
      <c r="G272" t="inlineStr">
        <is>
          <t>DOROTEA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46303</v>
      </c>
      <c r="F273" t="inlineStr">
        <is>
          <t>VÄSTERBOTTENS LÄN</t>
        </is>
      </c>
      <c r="G273" t="inlineStr">
        <is>
          <t>DOROTEA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35937-2025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45862</v>
      </c>
      <c r="E274" s="1" t="n">
        <v>46303</v>
      </c>
      <c r="F274" t="inlineStr">
        <is>
          <t>VÄSTERBOTTENS LÄN</t>
        </is>
      </c>
      <c r="G274" t="inlineStr">
        <is>
          <t>DOROTEA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4617-2023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44956</v>
      </c>
      <c r="E275" s="1" t="n">
        <v>46303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22650-2026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46155</v>
      </c>
      <c r="E276" s="1" t="n">
        <v>46303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27558-2022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46303</v>
      </c>
      <c r="F277" t="inlineStr">
        <is>
          <t>VÄSTERBOTTENS LÄN</t>
        </is>
      </c>
      <c r="G277" t="inlineStr">
        <is>
          <t>DOROTEA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15735-2026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46303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11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45161</v>
      </c>
      <c r="E279" s="1" t="n">
        <v>46303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46303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60724-2025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45996</v>
      </c>
      <c r="E281" s="1" t="n">
        <v>46303</v>
      </c>
      <c r="F281" t="inlineStr">
        <is>
          <t>VÄSTERBOTTENS LÄN</t>
        </is>
      </c>
      <c r="G281" t="inlineStr">
        <is>
          <t>DOROTEA</t>
        </is>
      </c>
      <c r="I281" t="n">
        <v>23.9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45519</v>
      </c>
      <c r="E282" s="1" t="n">
        <v>46303</v>
      </c>
      <c r="F282" t="inlineStr">
        <is>
          <t>VÄSTERBOTTENS LÄN</t>
        </is>
      </c>
      <c r="G282" t="inlineStr">
        <is>
          <t>DOROTEA</t>
        </is>
      </c>
      <c r="I282" t="n">
        <v>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45642</v>
      </c>
      <c r="E283" s="1" t="n">
        <v>46303</v>
      </c>
      <c r="F283" t="inlineStr">
        <is>
          <t>VÄSTERBOTTENS LÄN</t>
        </is>
      </c>
      <c r="G283" t="inlineStr">
        <is>
          <t>DOROTEA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38096-2025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46303</v>
      </c>
      <c r="F284" t="inlineStr">
        <is>
          <t>VÄSTERBOTTENS LÄN</t>
        </is>
      </c>
      <c r="G284" t="inlineStr">
        <is>
          <t>DOROTEA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45505</v>
      </c>
      <c r="E285" s="1" t="n">
        <v>46303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23336-2026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46162</v>
      </c>
      <c r="E286" s="1" t="n">
        <v>46303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46303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62193-2025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46003</v>
      </c>
      <c r="E288" s="1" t="n">
        <v>46303</v>
      </c>
      <c r="F288" t="inlineStr">
        <is>
          <t>VÄSTERBOTTENS LÄN</t>
        </is>
      </c>
      <c r="G288" t="inlineStr">
        <is>
          <t>DOROTEA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30461-2024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45491</v>
      </c>
      <c r="E289" s="1" t="n">
        <v>46303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45962</v>
      </c>
      <c r="E290" s="1" t="n">
        <v>46303</v>
      </c>
      <c r="F290" t="inlineStr">
        <is>
          <t>VÄSTERBOTTENS LÄN</t>
        </is>
      </c>
      <c r="G290" t="inlineStr">
        <is>
          <t>DOROTEA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46303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37072-2024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45539</v>
      </c>
      <c r="E292" s="1" t="n">
        <v>46303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45169</v>
      </c>
      <c r="E293" s="1" t="n">
        <v>46303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46007</v>
      </c>
      <c r="E294" s="1" t="n">
        <v>46303</v>
      </c>
      <c r="F294" t="inlineStr">
        <is>
          <t>VÄSTERBOTTENS LÄN</t>
        </is>
      </c>
      <c r="G294" t="inlineStr">
        <is>
          <t>DOROTEA</t>
        </is>
      </c>
      <c r="I294" t="n">
        <v>16.7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46303</v>
      </c>
      <c r="F295" t="inlineStr">
        <is>
          <t>VÄSTERBOTTENS LÄN</t>
        </is>
      </c>
      <c r="G295" t="inlineStr">
        <is>
          <t>DOROTEA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46007</v>
      </c>
      <c r="E296" s="1" t="n">
        <v>46303</v>
      </c>
      <c r="F296" t="inlineStr">
        <is>
          <t>VÄSTERBOTTENS LÄN</t>
        </is>
      </c>
      <c r="G296" t="inlineStr">
        <is>
          <t>DOROTEA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45755</v>
      </c>
      <c r="E297" s="1" t="n">
        <v>46303</v>
      </c>
      <c r="F297" t="inlineStr">
        <is>
          <t>VÄSTERBOTTENS LÄN</t>
        </is>
      </c>
      <c r="G297" t="inlineStr">
        <is>
          <t>DOROTEA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46303</v>
      </c>
      <c r="F298" t="inlineStr">
        <is>
          <t>VÄSTERBOTTENS LÄN</t>
        </is>
      </c>
      <c r="G298" t="inlineStr">
        <is>
          <t>DOROTEA</t>
        </is>
      </c>
      <c r="I298" t="n">
        <v>12.3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46303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46303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9.4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63939-2025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46010</v>
      </c>
      <c r="E301" s="1" t="n">
        <v>46303</v>
      </c>
      <c r="F301" t="inlineStr">
        <is>
          <t>VÄSTERBOTTENS LÄN</t>
        </is>
      </c>
      <c r="G301" t="inlineStr">
        <is>
          <t>DOROTEA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46162</v>
      </c>
      <c r="E302" s="1" t="n">
        <v>46303</v>
      </c>
      <c r="F302" t="inlineStr">
        <is>
          <t>VÄSTERBOTTENS LÄN</t>
        </is>
      </c>
      <c r="G302" t="inlineStr">
        <is>
          <t>DOROTEA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45642</v>
      </c>
      <c r="E303" s="1" t="n">
        <v>46303</v>
      </c>
      <c r="F303" t="inlineStr">
        <is>
          <t>VÄSTERBOTTENS LÄN</t>
        </is>
      </c>
      <c r="G303" t="inlineStr">
        <is>
          <t>DOROTEA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45125</v>
      </c>
      <c r="E304" s="1" t="n">
        <v>46303</v>
      </c>
      <c r="F304" t="inlineStr">
        <is>
          <t>VÄSTERBOTTENS LÄN</t>
        </is>
      </c>
      <c r="G304" t="inlineStr">
        <is>
          <t>DOROTEA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46303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50582-2024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45600</v>
      </c>
      <c r="E306" s="1" t="n">
        <v>46303</v>
      </c>
      <c r="F306" t="inlineStr">
        <is>
          <t>VÄSTERBOTTENS LÄN</t>
        </is>
      </c>
      <c r="G306" t="inlineStr">
        <is>
          <t>DOROTEA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43092-2023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46303</v>
      </c>
      <c r="F307" t="inlineStr">
        <is>
          <t>VÄSTERBOTTENS LÄN</t>
        </is>
      </c>
      <c r="G307" t="inlineStr">
        <is>
          <t>DOROTEA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46017</v>
      </c>
      <c r="E308" s="1" t="n">
        <v>46303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19726-2025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46303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58313-2024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45632</v>
      </c>
      <c r="E310" s="1" t="n">
        <v>46303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46303</v>
      </c>
      <c r="F311" t="inlineStr">
        <is>
          <t>VÄSTERBOTTENS LÄN</t>
        </is>
      </c>
      <c r="G311" t="inlineStr">
        <is>
          <t>DOROTEA</t>
        </is>
      </c>
      <c r="I311" t="n">
        <v>18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45149</v>
      </c>
      <c r="E312" s="1" t="n">
        <v>46303</v>
      </c>
      <c r="F312" t="inlineStr">
        <is>
          <t>VÄSTERBOTTENS LÄN</t>
        </is>
      </c>
      <c r="G312" t="inlineStr">
        <is>
          <t>DOROTEA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44748</v>
      </c>
      <c r="E313" s="1" t="n">
        <v>46303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40434-2023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45169</v>
      </c>
      <c r="E314" s="1" t="n">
        <v>46303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44979</v>
      </c>
      <c r="E315" s="1" t="n">
        <v>46303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46303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47494-2023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45202</v>
      </c>
      <c r="E317" s="1" t="n">
        <v>46303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45170</v>
      </c>
      <c r="E318" s="1" t="n">
        <v>46303</v>
      </c>
      <c r="F318" t="inlineStr">
        <is>
          <t>VÄSTERBOTTENS LÄN</t>
        </is>
      </c>
      <c r="G318" t="inlineStr">
        <is>
          <t>DOROTEA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46303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46303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60145-2021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44494</v>
      </c>
      <c r="E321" s="1" t="n">
        <v>46303</v>
      </c>
      <c r="F321" t="inlineStr">
        <is>
          <t>VÄSTERBOTTENS LÄN</t>
        </is>
      </c>
      <c r="G321" t="inlineStr">
        <is>
          <t>DOROTEA</t>
        </is>
      </c>
      <c r="I321" t="n">
        <v>13.3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8095-2023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44974</v>
      </c>
      <c r="E322" s="1" t="n">
        <v>46303</v>
      </c>
      <c r="F322" t="inlineStr">
        <is>
          <t>VÄSTERBOTTENS LÄN</t>
        </is>
      </c>
      <c r="G322" t="inlineStr">
        <is>
          <t>DOROTEA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46303</v>
      </c>
      <c r="F323" t="inlineStr">
        <is>
          <t>VÄSTERBOTTENS LÄN</t>
        </is>
      </c>
      <c r="G323" t="inlineStr">
        <is>
          <t>DOROTEA</t>
        </is>
      </c>
      <c r="I323" t="n">
        <v>26.2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46036</v>
      </c>
      <c r="E324" s="1" t="n">
        <v>46303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46038</v>
      </c>
      <c r="E325" s="1" t="n">
        <v>46303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46303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46303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46303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46303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46303</v>
      </c>
      <c r="F330" t="inlineStr">
        <is>
          <t>VÄSTERBOTTENS LÄN</t>
        </is>
      </c>
      <c r="G330" t="inlineStr">
        <is>
          <t>DOROTEA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46178</v>
      </c>
      <c r="E331" s="1" t="n">
        <v>46303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46303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46303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46303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63885-2025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46010</v>
      </c>
      <c r="E335" s="1" t="n">
        <v>46303</v>
      </c>
      <c r="F335" t="inlineStr">
        <is>
          <t>VÄSTERBOTTENS LÄN</t>
        </is>
      </c>
      <c r="G335" t="inlineStr">
        <is>
          <t>DOROTEA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46303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46303</v>
      </c>
      <c r="F337" t="inlineStr">
        <is>
          <t>VÄSTERBOTTENS LÄN</t>
        </is>
      </c>
      <c r="G337" t="inlineStr">
        <is>
          <t>DOROTEA</t>
        </is>
      </c>
      <c r="I337" t="n">
        <v>11.8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12773-2026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46091</v>
      </c>
      <c r="E338" s="1" t="n">
        <v>46303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56807-2021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44481</v>
      </c>
      <c r="E339" s="1" t="n">
        <v>46303</v>
      </c>
      <c r="F339" t="inlineStr">
        <is>
          <t>VÄSTERBOTTENS LÄN</t>
        </is>
      </c>
      <c r="G339" t="inlineStr">
        <is>
          <t>DOROTEA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46303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46303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6381-2026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46303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46185</v>
      </c>
      <c r="E343" s="1" t="n">
        <v>46303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46054</v>
      </c>
      <c r="E344" s="1" t="n">
        <v>46303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60169-2024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45642</v>
      </c>
      <c r="E345" s="1" t="n">
        <v>46303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14163-2024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45392</v>
      </c>
      <c r="E346" s="1" t="n">
        <v>46303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45547</v>
      </c>
      <c r="E347" s="1" t="n">
        <v>46303</v>
      </c>
      <c r="F347" t="inlineStr">
        <is>
          <t>VÄSTERBOTTENS LÄN</t>
        </is>
      </c>
      <c r="G347" t="inlineStr">
        <is>
          <t>DOROTEA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7713-2026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46059</v>
      </c>
      <c r="E348" s="1" t="n">
        <v>46303</v>
      </c>
      <c r="F348" t="inlineStr">
        <is>
          <t>VÄSTERBOTTENS LÄN</t>
        </is>
      </c>
      <c r="G348" t="inlineStr">
        <is>
          <t>DOROTEA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46059</v>
      </c>
      <c r="E349" s="1" t="n">
        <v>46303</v>
      </c>
      <c r="F349" t="inlineStr">
        <is>
          <t>VÄSTERBOTTENS LÄN</t>
        </is>
      </c>
      <c r="G349" t="inlineStr">
        <is>
          <t>DOROTEA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46817-2022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44848</v>
      </c>
      <c r="E350" s="1" t="n">
        <v>46303</v>
      </c>
      <c r="F350" t="inlineStr">
        <is>
          <t>VÄSTERBOTTENS LÄN</t>
        </is>
      </c>
      <c r="G350" t="inlineStr">
        <is>
          <t>DOROTEA</t>
        </is>
      </c>
      <c r="I350" t="n">
        <v>29.8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46303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27738-2026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46191</v>
      </c>
      <c r="E352" s="1" t="n">
        <v>46303</v>
      </c>
      <c r="F352" t="inlineStr">
        <is>
          <t>VÄSTERBOTTENS LÄN</t>
        </is>
      </c>
      <c r="G352" t="inlineStr">
        <is>
          <t>DOROTEA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46303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28180-2026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46303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45565</v>
      </c>
      <c r="E355" s="1" t="n">
        <v>46303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46303</v>
      </c>
      <c r="F356" t="inlineStr">
        <is>
          <t>VÄSTERBOTTENS LÄN</t>
        </is>
      </c>
      <c r="G356" t="inlineStr">
        <is>
          <t>DOROTEA</t>
        </is>
      </c>
      <c r="I356" t="n">
        <v>20.1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46303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49.5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46965-2024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45586</v>
      </c>
      <c r="E358" s="1" t="n">
        <v>46303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Sveaskog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46303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46303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10360-2023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46303</v>
      </c>
      <c r="F361" t="inlineStr">
        <is>
          <t>VÄSTERBOTTENS LÄN</t>
        </is>
      </c>
      <c r="G361" t="inlineStr">
        <is>
          <t>DOROTEA</t>
        </is>
      </c>
      <c r="I361" t="n">
        <v>18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46303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46085</v>
      </c>
      <c r="E363" s="1" t="n">
        <v>46303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46086</v>
      </c>
      <c r="E364" s="1" t="n">
        <v>46303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46303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9.300000000000001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42228-2024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45562</v>
      </c>
      <c r="E366" s="1" t="n">
        <v>46303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24003-2025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45796</v>
      </c>
      <c r="E367" s="1" t="n">
        <v>46303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45755</v>
      </c>
      <c r="E368" s="1" t="n">
        <v>46303</v>
      </c>
      <c r="F368" t="inlineStr">
        <is>
          <t>VÄSTERBOTTENS LÄN</t>
        </is>
      </c>
      <c r="G368" t="inlineStr">
        <is>
          <t>DOROTEA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27477-2023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45097</v>
      </c>
      <c r="E369" s="1" t="n">
        <v>46303</v>
      </c>
      <c r="F369" t="inlineStr">
        <is>
          <t>VÄSTERBOTTENS LÄN</t>
        </is>
      </c>
      <c r="G369" t="inlineStr">
        <is>
          <t>DOROTEA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45852</v>
      </c>
      <c r="E370" s="1" t="n">
        <v>46303</v>
      </c>
      <c r="F370" t="inlineStr">
        <is>
          <t>VÄSTERBOTTENS LÄN</t>
        </is>
      </c>
      <c r="G370" t="inlineStr">
        <is>
          <t>DOROTEA</t>
        </is>
      </c>
      <c r="H370" t="inlineStr">
        <is>
          <t>Allmännings- och besparingsskogar</t>
        </is>
      </c>
      <c r="I370" t="n">
        <v>22.1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45852</v>
      </c>
      <c r="E371" s="1" t="n">
        <v>46303</v>
      </c>
      <c r="F371" t="inlineStr">
        <is>
          <t>VÄSTERBOTTENS LÄN</t>
        </is>
      </c>
      <c r="G371" t="inlineStr">
        <is>
          <t>DOROTEA</t>
        </is>
      </c>
      <c r="H371" t="inlineStr">
        <is>
          <t>Allmännings- och besparingsskogar</t>
        </is>
      </c>
      <c r="I371" t="n">
        <v>20.3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44942</v>
      </c>
      <c r="E372" s="1" t="n">
        <v>46303</v>
      </c>
      <c r="F372" t="inlineStr">
        <is>
          <t>VÄSTERBOTTENS LÄN</t>
        </is>
      </c>
      <c r="G372" t="inlineStr">
        <is>
          <t>DOROTEA</t>
        </is>
      </c>
      <c r="I372" t="n">
        <v>22.7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46303</v>
      </c>
      <c r="F373" t="inlineStr">
        <is>
          <t>VÄSTERBOTTENS LÄN</t>
        </is>
      </c>
      <c r="G373" t="inlineStr">
        <is>
          <t>DOROTEA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46303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14249-2026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46303</v>
      </c>
      <c r="F375" t="inlineStr">
        <is>
          <t>VÄSTERBOTTENS LÄN</t>
        </is>
      </c>
      <c r="G375" t="inlineStr">
        <is>
          <t>DOROTEA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46209</v>
      </c>
      <c r="E376" s="1" t="n">
        <v>46303</v>
      </c>
      <c r="F376" t="inlineStr">
        <is>
          <t>VÄSTERBOTTENS LÄN</t>
        </is>
      </c>
      <c r="G376" t="inlineStr">
        <is>
          <t>DOROTEA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30190-2026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46303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46303</v>
      </c>
      <c r="F378" t="inlineStr">
        <is>
          <t>VÄSTERBOTTENS LÄN</t>
        </is>
      </c>
      <c r="G378" t="inlineStr">
        <is>
          <t>DOROTEA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15901-2026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46107</v>
      </c>
      <c r="E379" s="1" t="n">
        <v>46303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45639</v>
      </c>
      <c r="E380" s="1" t="n">
        <v>46303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46303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46303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46303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45036</v>
      </c>
      <c r="E384" s="1" t="n">
        <v>46303</v>
      </c>
      <c r="F384" t="inlineStr">
        <is>
          <t>VÄSTERBOTTENS LÄN</t>
        </is>
      </c>
      <c r="G384" t="inlineStr">
        <is>
          <t>DOROTEA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46111</v>
      </c>
      <c r="E385" s="1" t="n">
        <v>46303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33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16276-2026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46303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22944-2024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45448</v>
      </c>
      <c r="E387" s="1" t="n">
        <v>46303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8852-2024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45356</v>
      </c>
      <c r="E388" s="1" t="n">
        <v>46303</v>
      </c>
      <c r="F388" t="inlineStr">
        <is>
          <t>VÄSTERBOTTENS LÄN</t>
        </is>
      </c>
      <c r="G388" t="inlineStr">
        <is>
          <t>DOROTEA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16896-2026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46113</v>
      </c>
      <c r="E389" s="1" t="n">
        <v>46303</v>
      </c>
      <c r="F389" t="inlineStr">
        <is>
          <t>VÄSTERBOTTENS LÄN</t>
        </is>
      </c>
      <c r="G389" t="inlineStr">
        <is>
          <t>DOROTEA</t>
        </is>
      </c>
      <c r="H389" t="inlineStr">
        <is>
          <t>Kommuner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19657-2025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45770</v>
      </c>
      <c r="E390" s="1" t="n">
        <v>46303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46114</v>
      </c>
      <c r="E391" s="1" t="n">
        <v>46303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8246-2024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45351</v>
      </c>
      <c r="E392" s="1" t="n">
        <v>46303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17623-2026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46121</v>
      </c>
      <c r="E393" s="1" t="n">
        <v>46303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46303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8.6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30885-2026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46303</v>
      </c>
      <c r="F395" t="inlineStr">
        <is>
          <t>VÄSTERBOTTENS LÄN</t>
        </is>
      </c>
      <c r="G395" t="inlineStr">
        <is>
          <t>DOROTEA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46212</v>
      </c>
      <c r="E396" s="1" t="n">
        <v>46303</v>
      </c>
      <c r="F396" t="inlineStr">
        <is>
          <t>VÄSTERBOTTENS LÄN</t>
        </is>
      </c>
      <c r="G396" t="inlineStr">
        <is>
          <t>DOROTEA</t>
        </is>
      </c>
      <c r="I396" t="n">
        <v>8.4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30823-2026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46212</v>
      </c>
      <c r="E397" s="1" t="n">
        <v>46303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18143-2026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46125</v>
      </c>
      <c r="E398" s="1" t="n">
        <v>46303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10.1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46213</v>
      </c>
      <c r="E399" s="1" t="n">
        <v>46303</v>
      </c>
      <c r="F399" t="inlineStr">
        <is>
          <t>VÄSTERBOTTENS LÄN</t>
        </is>
      </c>
      <c r="G399" t="inlineStr">
        <is>
          <t>DOROTEA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17971-2026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46123</v>
      </c>
      <c r="E400" s="1" t="n">
        <v>46303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18130-2026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46125</v>
      </c>
      <c r="E401" s="1" t="n">
        <v>46303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18.3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46303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46213</v>
      </c>
      <c r="E403" s="1" t="n">
        <v>46303</v>
      </c>
      <c r="F403" t="inlineStr">
        <is>
          <t>VÄSTERBOTTENS LÄN</t>
        </is>
      </c>
      <c r="G403" t="inlineStr">
        <is>
          <t>DOROTEA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18254-2026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46303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31181-2026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46217</v>
      </c>
      <c r="E405" s="1" t="n">
        <v>46303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45253</v>
      </c>
      <c r="E406" s="1" t="n">
        <v>46303</v>
      </c>
      <c r="F406" t="inlineStr">
        <is>
          <t>VÄSTERBOTTENS LÄN</t>
        </is>
      </c>
      <c r="G406" t="inlineStr">
        <is>
          <t>DOROTEA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59397-2023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45253</v>
      </c>
      <c r="E407" s="1" t="n">
        <v>46303</v>
      </c>
      <c r="F407" t="inlineStr">
        <is>
          <t>VÄSTERBOTTENS LÄN</t>
        </is>
      </c>
      <c r="G407" t="inlineStr">
        <is>
          <t>DOROTEA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45055</v>
      </c>
      <c r="E408" s="1" t="n">
        <v>46303</v>
      </c>
      <c r="F408" t="inlineStr">
        <is>
          <t>VÄSTERBOTTENS LÄN</t>
        </is>
      </c>
      <c r="G408" t="inlineStr">
        <is>
          <t>DOROTEA</t>
        </is>
      </c>
      <c r="H408" t="inlineStr">
        <is>
          <t>Övriga statliga verk och myndigheter</t>
        </is>
      </c>
      <c r="I408" t="n">
        <v>13.9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67686-2021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44524</v>
      </c>
      <c r="E409" s="1" t="n">
        <v>46303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46217</v>
      </c>
      <c r="E410" s="1" t="n">
        <v>46303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46218</v>
      </c>
      <c r="E411" s="1" t="n">
        <v>46303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32821-2024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45516</v>
      </c>
      <c r="E412" s="1" t="n">
        <v>46303</v>
      </c>
      <c r="F412" t="inlineStr">
        <is>
          <t>VÄSTERBOTTENS LÄN</t>
        </is>
      </c>
      <c r="G412" t="inlineStr">
        <is>
          <t>DOROTEA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57376-2022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44889</v>
      </c>
      <c r="E413" s="1" t="n">
        <v>46303</v>
      </c>
      <c r="F413" t="inlineStr">
        <is>
          <t>VÄSTERBOTTENS LÄN</t>
        </is>
      </c>
      <c r="G413" t="inlineStr">
        <is>
          <t>DOROTEA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46218</v>
      </c>
      <c r="E414" s="1" t="n">
        <v>46303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35335-2026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46261</v>
      </c>
      <c r="E415" s="1" t="n">
        <v>46303</v>
      </c>
      <c r="F415" t="inlineStr">
        <is>
          <t>VÄSTERBOTTENS LÄN</t>
        </is>
      </c>
      <c r="G415" t="inlineStr">
        <is>
          <t>DOROTEA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35353-2026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46261</v>
      </c>
      <c r="E416" s="1" t="n">
        <v>46303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46303</v>
      </c>
      <c r="F417" t="inlineStr">
        <is>
          <t>VÄSTERBOTTENS LÄN</t>
        </is>
      </c>
      <c r="G417" t="inlineStr">
        <is>
          <t>DOROTEA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35352-2026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46261</v>
      </c>
      <c r="E418" s="1" t="n">
        <v>46303</v>
      </c>
      <c r="F418" t="inlineStr">
        <is>
          <t>VÄSTERBOTTENS LÄN</t>
        </is>
      </c>
      <c r="G418" t="inlineStr">
        <is>
          <t>DOROTEA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45125</v>
      </c>
      <c r="E419" s="1" t="n">
        <v>46303</v>
      </c>
      <c r="F419" t="inlineStr">
        <is>
          <t>VÄSTERBOTTENS LÄN</t>
        </is>
      </c>
      <c r="G419" t="inlineStr">
        <is>
          <t>DOROTEA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45142</v>
      </c>
      <c r="E420" s="1" t="n">
        <v>46303</v>
      </c>
      <c r="F420" t="inlineStr">
        <is>
          <t>VÄSTERBOTTENS LÄN</t>
        </is>
      </c>
      <c r="G420" t="inlineStr">
        <is>
          <t>DOROTEA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19445-2026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46133</v>
      </c>
      <c r="E421" s="1" t="n">
        <v>46303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35296-2026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46261</v>
      </c>
      <c r="E422" s="1" t="n">
        <v>46303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19298-2026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46133</v>
      </c>
      <c r="E423" s="1" t="n">
        <v>46303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19446-2026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46133</v>
      </c>
      <c r="E424" s="1" t="n">
        <v>46303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35500-2026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46262</v>
      </c>
      <c r="E425" s="1" t="n">
        <v>46303</v>
      </c>
      <c r="F425" t="inlineStr">
        <is>
          <t>VÄSTERBOTTENS LÄN</t>
        </is>
      </c>
      <c r="G425" t="inlineStr">
        <is>
          <t>DOROTEA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46303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46136</v>
      </c>
      <c r="E427" s="1" t="n">
        <v>46303</v>
      </c>
      <c r="F427" t="inlineStr">
        <is>
          <t>VÄSTERBOTTENS LÄN</t>
        </is>
      </c>
      <c r="G427" t="inlineStr">
        <is>
          <t>DOROTEA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31439-2026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46220</v>
      </c>
      <c r="E428" s="1" t="n">
        <v>46303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52276-2023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46303</v>
      </c>
      <c r="F429" t="inlineStr">
        <is>
          <t>VÄSTERBOTTENS LÄN</t>
        </is>
      </c>
      <c r="G429" t="inlineStr">
        <is>
          <t>DOROTEA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45846</v>
      </c>
      <c r="E430" s="1" t="n">
        <v>46303</v>
      </c>
      <c r="F430" t="inlineStr">
        <is>
          <t>VÄSTERBOTTENS LÄN</t>
        </is>
      </c>
      <c r="G430" t="inlineStr">
        <is>
          <t>DOROTEA</t>
        </is>
      </c>
      <c r="I430" t="n">
        <v>14.7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20522-2026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46303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53795-2022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46303</v>
      </c>
      <c r="F432" t="inlineStr">
        <is>
          <t>VÄSTERBOTTENS LÄN</t>
        </is>
      </c>
      <c r="G432" t="inlineStr">
        <is>
          <t>DOROTEA</t>
        </is>
      </c>
      <c r="I432" t="n">
        <v>12.3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46303</v>
      </c>
      <c r="F433" t="inlineStr">
        <is>
          <t>VÄSTERBOTTENS LÄN</t>
        </is>
      </c>
      <c r="G433" t="inlineStr">
        <is>
          <t>DOROTEA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45735</v>
      </c>
      <c r="E434" s="1" t="n">
        <v>46303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36096-2025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45866</v>
      </c>
      <c r="E435" s="1" t="n">
        <v>46303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31575-2026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46224</v>
      </c>
      <c r="E436" s="1" t="n">
        <v>46303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36255-2026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46268</v>
      </c>
      <c r="E437" s="1" t="n">
        <v>46303</v>
      </c>
      <c r="F437" t="inlineStr">
        <is>
          <t>VÄSTERBOTTENS LÄN</t>
        </is>
      </c>
      <c r="G437" t="inlineStr">
        <is>
          <t>DOROTEA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31573-2026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46224</v>
      </c>
      <c r="E438" s="1" t="n">
        <v>46303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31574-2026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46224</v>
      </c>
      <c r="E439" s="1" t="n">
        <v>46303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45223</v>
      </c>
      <c r="E440" s="1" t="n">
        <v>46303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22450-2024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45446</v>
      </c>
      <c r="E441" s="1" t="n">
        <v>46303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60153-2024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45642</v>
      </c>
      <c r="E442" s="1" t="n">
        <v>46303</v>
      </c>
      <c r="F442" t="inlineStr">
        <is>
          <t>VÄSTERBOTTENS LÄN</t>
        </is>
      </c>
      <c r="G442" t="inlineStr">
        <is>
          <t>DOROTEA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9030-2025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45713</v>
      </c>
      <c r="E443" s="1" t="n">
        <v>46303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60015-2023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45257</v>
      </c>
      <c r="E444" s="1" t="n">
        <v>46303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45315</v>
      </c>
      <c r="E445" s="1" t="n">
        <v>46303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10402-2025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45720</v>
      </c>
      <c r="E446" s="1" t="n">
        <v>46303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46279</v>
      </c>
      <c r="E447" s="1" t="n">
        <v>46303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38087-2026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46303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38299-2026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46282</v>
      </c>
      <c r="E449" s="1" t="n">
        <v>46303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39088-2026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46287</v>
      </c>
      <c r="E450" s="1" t="n">
        <v>46303</v>
      </c>
      <c r="F450" t="inlineStr">
        <is>
          <t>VÄSTERBOTTENS LÄN</t>
        </is>
      </c>
      <c r="G450" t="inlineStr">
        <is>
          <t>DOROTEA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33364-2026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46247</v>
      </c>
      <c r="E451" s="1" t="n">
        <v>46303</v>
      </c>
      <c r="F451" t="inlineStr">
        <is>
          <t>VÄSTERBOTTENS LÄN</t>
        </is>
      </c>
      <c r="G451" t="inlineStr">
        <is>
          <t>DOROTEA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46293</v>
      </c>
      <c r="E452" s="1" t="n">
        <v>46303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46303</v>
      </c>
      <c r="F453" t="inlineStr">
        <is>
          <t>VÄSTERBOTTENS LÄN</t>
        </is>
      </c>
      <c r="G453" t="inlineStr">
        <is>
          <t>DOROTEA</t>
        </is>
      </c>
      <c r="H453" t="inlineStr">
        <is>
          <t>Allmännings- och besparingsskogar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33738-2024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45520</v>
      </c>
      <c r="E454" s="1" t="n">
        <v>46303</v>
      </c>
      <c r="F454" t="inlineStr">
        <is>
          <t>VÄSTERBOTTENS LÄN</t>
        </is>
      </c>
      <c r="G454" t="inlineStr">
        <is>
          <t>DOROTEA</t>
        </is>
      </c>
      <c r="I454" t="n">
        <v>11.1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33514-2026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46248</v>
      </c>
      <c r="E455" s="1" t="n">
        <v>46303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46303</v>
      </c>
      <c r="F456" t="inlineStr">
        <is>
          <t>VÄSTERBOTTENS LÄN</t>
        </is>
      </c>
      <c r="G456" t="inlineStr">
        <is>
          <t>DOROTEA</t>
        </is>
      </c>
      <c r="H456" t="inlineStr">
        <is>
          <t>Allmännings- och besparingsskogar</t>
        </is>
      </c>
      <c r="I456" t="n">
        <v>16.4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46303</v>
      </c>
      <c r="F457" t="inlineStr">
        <is>
          <t>VÄSTERBOTTENS LÄN</t>
        </is>
      </c>
      <c r="G457" t="inlineStr">
        <is>
          <t>DOROTEA</t>
        </is>
      </c>
      <c r="I457" t="n">
        <v>13.6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46303</v>
      </c>
      <c r="F458" t="inlineStr">
        <is>
          <t>VÄSTERBOTTENS LÄN</t>
        </is>
      </c>
      <c r="G458" t="inlineStr">
        <is>
          <t>DOROTEA</t>
        </is>
      </c>
      <c r="I458" t="n">
        <v>11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34189-2026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46253</v>
      </c>
      <c r="E459" s="1" t="n">
        <v>46303</v>
      </c>
      <c r="F459" t="inlineStr">
        <is>
          <t>VÄSTERBOTTENS LÄN</t>
        </is>
      </c>
      <c r="G459" t="inlineStr">
        <is>
          <t>DOROTEA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40614-2026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46295</v>
      </c>
      <c r="E460" s="1" t="n">
        <v>46303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13.2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34187-2026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46253</v>
      </c>
      <c r="E461" s="1" t="n">
        <v>46303</v>
      </c>
      <c r="F461" t="inlineStr">
        <is>
          <t>VÄSTERBOTTENS LÄN</t>
        </is>
      </c>
      <c r="G461" t="inlineStr">
        <is>
          <t>DOROTEA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41157-2026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46300</v>
      </c>
      <c r="E462" s="1" t="n">
        <v>46303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46254</v>
      </c>
      <c r="E463" s="1" t="n">
        <v>46303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41261-2026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46300</v>
      </c>
      <c r="E464" s="1" t="n">
        <v>46303</v>
      </c>
      <c r="F464" t="inlineStr">
        <is>
          <t>VÄSTERBOTTENS LÄN</t>
        </is>
      </c>
      <c r="G464" t="inlineStr">
        <is>
          <t>DOROTEA</t>
        </is>
      </c>
      <c r="I464" t="n">
        <v>13.1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46303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46303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46303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46303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46303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46303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46303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46303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2026-10-08T02:03:51Z</dcterms:created>
  <dcterms:modified xmlns:dcterms="http://purl.org/dc/terms/" xmlns:xsi="http://www.w3.org/2001/XMLSchema-instance" xsi:type="dcterms:W3CDTF">2026-10-08T02:03:52Z</dcterms:modified>
</cp:coreProperties>
</file>