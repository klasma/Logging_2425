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46304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46304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46304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46304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46304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46304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46304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46304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46304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46304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46304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46304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46304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21672-2023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46304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7.4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Doftskinn
Skrovellav
Ullticka</t>
        </is>
      </c>
      <c r="W19">
        <f>HYPERLINK("https://klasma.github.io/Logging_2425/artfynd/A 21672-2023 artfynd.xlsx", "A 21672-2023")</f>
        <v/>
      </c>
      <c r="X19">
        <f>HYPERLINK("https://klasma.github.io/Logging_2425/kartor/A 21672-2023 karta.png", "A 21672-2023")</f>
        <v/>
      </c>
      <c r="Y19">
        <f>HYPERLINK("https://klasma.github.io/Logging_2425/kartor_geotiff/A 21672-2023 georefererad karta.tif", "A 21672-2023")</f>
        <v/>
      </c>
      <c r="AA19">
        <f>HYPERLINK("https://klasma.github.io/Logging_2425/klagomål/A 21672-2023 FSC-klagomål.docx", "A 21672-2023")</f>
        <v/>
      </c>
      <c r="AB19">
        <f>HYPERLINK("https://klasma.github.io/Logging_2425/klagomålsmail/A 21672-2023 FSC-klagomål mail.docx", "A 21672-2023")</f>
        <v/>
      </c>
      <c r="AC19">
        <f>HYPERLINK("https://klasma.github.io/Logging_2425/tillsyn/A 21672-2023 tillsynsbegäran.docx", "A 21672-2023")</f>
        <v/>
      </c>
      <c r="AD19">
        <f>HYPERLINK("https://klasma.github.io/Logging_2425/tillsynsmail/A 21672-2023 tillsynsbegäran mail.docx", "A 21672-2023")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46304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46304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46304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46304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46304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46304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Vedticka</t>
        </is>
      </c>
      <c r="W26">
        <f>HYPERLINK("https://klasma.github.io/Logging_2425/artfynd/A 33263-2025 artfynd.xlsx", "A 33263-2025")</f>
        <v/>
      </c>
      <c r="X26">
        <f>HYPERLINK("https://klasma.github.io/Logging_2425/kartor/A 33263-2025 karta.png", "A 33263-2025")</f>
        <v/>
      </c>
      <c r="Y26">
        <f>HYPERLINK("https://klasma.github.io/Logging_2425/kartor_geotiff/A 33263-2025 georefererad karta.tif", "A 33263-2025")</f>
        <v/>
      </c>
      <c r="AA26">
        <f>HYPERLINK("https://klasma.github.io/Logging_2425/klagomål/A 33263-2025 FSC-klagomål.docx", "A 33263-2025")</f>
        <v/>
      </c>
      <c r="AB26">
        <f>HYPERLINK("https://klasma.github.io/Logging_2425/klagomålsmail/A 33263-2025 FSC-klagomål mail.docx", "A 33263-2025")</f>
        <v/>
      </c>
      <c r="AC26">
        <f>HYPERLINK("https://klasma.github.io/Logging_2425/tillsyn/A 33263-2025 tillsynsbegäran.docx", "A 33263-2025")</f>
        <v/>
      </c>
      <c r="AD26">
        <f>HYPERLINK("https://klasma.github.io/Logging_2425/tillsynsmail/A 33263-2025 tillsynsbegäran mail.docx", "A 33263-2025")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46304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46304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46304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46304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46304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17825-2024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45418</v>
      </c>
      <c r="E32" s="1" t="n">
        <v>46304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17825-2024 artfynd.xlsx", "A 17825-2024")</f>
        <v/>
      </c>
      <c r="X32">
        <f>HYPERLINK("https://klasma.github.io/Logging_2425/kartor/A 17825-2024 karta.png", "A 17825-2024")</f>
        <v/>
      </c>
      <c r="Y32">
        <f>HYPERLINK("https://klasma.github.io/Logging_2425/kartor_geotiff/A 17825-2024 georefererad karta.tif", "A 17825-2024")</f>
        <v/>
      </c>
      <c r="AA32">
        <f>HYPERLINK("https://klasma.github.io/Logging_2425/klagomål/A 17825-2024 FSC-klagomål.docx", "A 17825-2024")</f>
        <v/>
      </c>
      <c r="AB32">
        <f>HYPERLINK("https://klasma.github.io/Logging_2425/klagomålsmail/A 17825-2024 FSC-klagomål mail.docx", "A 17825-2024")</f>
        <v/>
      </c>
      <c r="AC32">
        <f>HYPERLINK("https://klasma.github.io/Logging_2425/tillsyn/A 17825-2024 tillsynsbegäran.docx", "A 17825-2024")</f>
        <v/>
      </c>
      <c r="AD32">
        <f>HYPERLINK("https://klasma.github.io/Logging_2425/tillsynsmail/A 17825-2024 tillsynsbegäran mail.docx", "A 17825-2024")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46304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46304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46304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46304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46304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46304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36318-2024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46304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8</v>
      </c>
      <c r="U41" t="n">
        <v>8</v>
      </c>
      <c r="V41" s="2" t="inlineStr">
        <is>
          <t>Garnlav</t>
        </is>
      </c>
      <c r="W41">
        <f>HYPERLINK("https://klasma.github.io/Logging_2425/artfynd/A 36318-2024 artfynd.xlsx", "A 36318-2024")</f>
        <v/>
      </c>
      <c r="X41">
        <f>HYPERLINK("https://klasma.github.io/Logging_2425/kartor/A 36318-2024 karta.png", "A 36318-2024")</f>
        <v/>
      </c>
      <c r="Y41">
        <f>HYPERLINK("https://klasma.github.io/Logging_2425/kartor_geotiff/A 36318-2024 georefererad karta.tif", "A 36318-2024")</f>
        <v/>
      </c>
      <c r="AA41">
        <f>HYPERLINK("https://klasma.github.io/Logging_2425/klagomål/A 36318-2024 FSC-klagomål.docx", "A 36318-2024")</f>
        <v/>
      </c>
      <c r="AB41">
        <f>HYPERLINK("https://klasma.github.io/Logging_2425/klagomålsmail/A 36318-2024 FSC-klagomål mail.docx", "A 36318-2024")</f>
        <v/>
      </c>
      <c r="AC41">
        <f>HYPERLINK("https://klasma.github.io/Logging_2425/tillsyn/A 36318-2024 tillsynsbegäran.docx", "A 36318-2024")</f>
        <v/>
      </c>
      <c r="AD41">
        <f>HYPERLINK("https://klasma.github.io/Logging_2425/tillsynsmail/A 36318-2024 tillsynsbegäran mail.docx", "A 36318-2024")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46304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46304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46304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46304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46304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46304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46304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46304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46304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46304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46304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46304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46304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46304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46304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46304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46304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46304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46304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46304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46304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46304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46304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46304</v>
      </c>
      <c r="F69" t="inlineStr">
        <is>
          <t>VÄSTERBOTTENS LÄN</t>
        </is>
      </c>
      <c r="G69" t="inlineStr">
        <is>
          <t>DOROTEA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45170</v>
      </c>
      <c r="E70" s="1" t="n">
        <v>46304</v>
      </c>
      <c r="F70" t="inlineStr">
        <is>
          <t>VÄSTERBOTTENS LÄN</t>
        </is>
      </c>
      <c r="G70" t="inlineStr">
        <is>
          <t>DOROTEA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45556</v>
      </c>
      <c r="E72" s="1" t="n">
        <v>46304</v>
      </c>
      <c r="F72" t="inlineStr">
        <is>
          <t>VÄSTERBOTTENS LÄN</t>
        </is>
      </c>
      <c r="G72" t="inlineStr">
        <is>
          <t>DOROTEA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46304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46304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46304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44876</v>
      </c>
      <c r="E76" s="1" t="n">
        <v>46304</v>
      </c>
      <c r="F76" t="inlineStr">
        <is>
          <t>VÄSTERBOTTENS LÄN</t>
        </is>
      </c>
      <c r="G76" t="inlineStr">
        <is>
          <t>DOROTEA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46304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46304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46304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46304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46304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46304</v>
      </c>
      <c r="F82" t="inlineStr">
        <is>
          <t>VÄSTERBOTTENS LÄN</t>
        </is>
      </c>
      <c r="G82" t="inlineStr">
        <is>
          <t>DOROTEA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46304</v>
      </c>
      <c r="F83" t="inlineStr">
        <is>
          <t>VÄSTERBOTTENS LÄN</t>
        </is>
      </c>
      <c r="G83" t="inlineStr">
        <is>
          <t>DOROTEA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45140</v>
      </c>
      <c r="E84" s="1" t="n">
        <v>46304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46304</v>
      </c>
      <c r="F85" t="inlineStr">
        <is>
          <t>VÄSTERBOTTENS LÄN</t>
        </is>
      </c>
      <c r="G85" t="inlineStr">
        <is>
          <t>DOROTEA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45735</v>
      </c>
      <c r="E86" s="1" t="n">
        <v>46304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46304</v>
      </c>
      <c r="F87" t="inlineStr">
        <is>
          <t>VÄSTERBOTTENS LÄN</t>
        </is>
      </c>
      <c r="G87" t="inlineStr">
        <is>
          <t>DOROTEA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25028-2024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45461</v>
      </c>
      <c r="E88" s="1" t="n">
        <v>46304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46304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46304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48006-2023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45198</v>
      </c>
      <c r="E91" s="1" t="n">
        <v>46304</v>
      </c>
      <c r="F91" t="inlineStr">
        <is>
          <t>VÄSTERBOTTENS LÄN</t>
        </is>
      </c>
      <c r="G91" t="inlineStr">
        <is>
          <t>DOROTEA</t>
        </is>
      </c>
      <c r="H91" t="inlineStr">
        <is>
          <t>Övriga statliga verk och myndigheter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46304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46304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46304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11817-2026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46085</v>
      </c>
      <c r="E95" s="1" t="n">
        <v>46304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45847</v>
      </c>
      <c r="E96" s="1" t="n">
        <v>46304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45846</v>
      </c>
      <c r="E97" s="1" t="n">
        <v>46304</v>
      </c>
      <c r="F97" t="inlineStr">
        <is>
          <t>VÄSTERBOTTENS LÄN</t>
        </is>
      </c>
      <c r="G97" t="inlineStr">
        <is>
          <t>DOROTEA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45848</v>
      </c>
      <c r="E98" s="1" t="n">
        <v>46304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45849</v>
      </c>
      <c r="E99" s="1" t="n">
        <v>46304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45852</v>
      </c>
      <c r="E100" s="1" t="n">
        <v>46304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46304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46304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46304</v>
      </c>
      <c r="F103" t="inlineStr">
        <is>
          <t>VÄSTERBOTTENS LÄN</t>
        </is>
      </c>
      <c r="G103" t="inlineStr">
        <is>
          <t>DOROTEA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46304</v>
      </c>
      <c r="F104" t="inlineStr">
        <is>
          <t>VÄSTERBOTTENS LÄN</t>
        </is>
      </c>
      <c r="G104" t="inlineStr">
        <is>
          <t>DOROTEA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46304</v>
      </c>
      <c r="F105" t="inlineStr">
        <is>
          <t>VÄSTERBOTTENS LÄN</t>
        </is>
      </c>
      <c r="G105" t="inlineStr">
        <is>
          <t>DOROTEA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36111-2025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45866</v>
      </c>
      <c r="E106" s="1" t="n">
        <v>46304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45866</v>
      </c>
      <c r="E107" s="1" t="n">
        <v>46304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46965-2024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45586</v>
      </c>
      <c r="E108" s="1" t="n">
        <v>46304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46304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45013</v>
      </c>
      <c r="E110" s="1" t="n">
        <v>46304</v>
      </c>
      <c r="F110" t="inlineStr">
        <is>
          <t>VÄSTERBOTTENS LÄN</t>
        </is>
      </c>
      <c r="G110" t="inlineStr">
        <is>
          <t>DOROTEA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45893</v>
      </c>
      <c r="E111" s="1" t="n">
        <v>46304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46304</v>
      </c>
      <c r="F112" t="inlineStr">
        <is>
          <t>VÄSTERBOTTENS LÄN</t>
        </is>
      </c>
      <c r="G112" t="inlineStr">
        <is>
          <t>DOROTEA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46304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46304</v>
      </c>
      <c r="F114" t="inlineStr">
        <is>
          <t>VÄSTERBOTTENS LÄN</t>
        </is>
      </c>
      <c r="G114" t="inlineStr">
        <is>
          <t>DOROTEA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46304</v>
      </c>
      <c r="F115" t="inlineStr">
        <is>
          <t>VÄSTERBOTTENS LÄN</t>
        </is>
      </c>
      <c r="G115" t="inlineStr">
        <is>
          <t>DOROTEA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46304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45876</v>
      </c>
      <c r="E117" s="1" t="n">
        <v>46304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46304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45876</v>
      </c>
      <c r="E119" s="1" t="n">
        <v>46304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45852</v>
      </c>
      <c r="E120" s="1" t="n">
        <v>46304</v>
      </c>
      <c r="F120" t="inlineStr">
        <is>
          <t>VÄSTERBOTTENS LÄN</t>
        </is>
      </c>
      <c r="G120" t="inlineStr">
        <is>
          <t>DOROTEA</t>
        </is>
      </c>
      <c r="H120" t="inlineStr">
        <is>
          <t>Allmännings- och besparingsskogar</t>
        </is>
      </c>
      <c r="I120" t="n">
        <v>22.1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45852</v>
      </c>
      <c r="E121" s="1" t="n">
        <v>46304</v>
      </c>
      <c r="F121" t="inlineStr">
        <is>
          <t>VÄSTERBOTTENS LÄN</t>
        </is>
      </c>
      <c r="G121" t="inlineStr">
        <is>
          <t>DOROTEA</t>
        </is>
      </c>
      <c r="H121" t="inlineStr">
        <is>
          <t>Allmännings- och besparingsskogar</t>
        </is>
      </c>
      <c r="I121" t="n">
        <v>20.3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46304</v>
      </c>
      <c r="F122" t="inlineStr">
        <is>
          <t>VÄSTERBOTTENS LÄN</t>
        </is>
      </c>
      <c r="G122" t="inlineStr">
        <is>
          <t>DOROTEA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46304</v>
      </c>
      <c r="F123" t="inlineStr">
        <is>
          <t>VÄSTERBOTTENS LÄN</t>
        </is>
      </c>
      <c r="G123" t="inlineStr">
        <is>
          <t>DOROTEA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46304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46304</v>
      </c>
      <c r="F125" t="inlineStr">
        <is>
          <t>VÄSTERBOTTENS LÄN</t>
        </is>
      </c>
      <c r="G125" t="inlineStr">
        <is>
          <t>DOROTEA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46304</v>
      </c>
      <c r="F126" t="inlineStr">
        <is>
          <t>VÄSTERBOTTENS LÄN</t>
        </is>
      </c>
      <c r="G126" t="inlineStr">
        <is>
          <t>DOROTEA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46304</v>
      </c>
      <c r="F127" t="inlineStr">
        <is>
          <t>VÄSTERBOTTENS LÄN</t>
        </is>
      </c>
      <c r="G127" t="inlineStr">
        <is>
          <t>DOROTEA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46304</v>
      </c>
      <c r="F128" t="inlineStr">
        <is>
          <t>VÄSTERBOTTENS LÄN</t>
        </is>
      </c>
      <c r="G128" t="inlineStr">
        <is>
          <t>DOROTEA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46304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46304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45882</v>
      </c>
      <c r="E131" s="1" t="n">
        <v>46304</v>
      </c>
      <c r="F131" t="inlineStr">
        <is>
          <t>VÄSTERBOTTENS LÄN</t>
        </is>
      </c>
      <c r="G131" t="inlineStr">
        <is>
          <t>DOROTEA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45712</v>
      </c>
      <c r="E132" s="1" t="n">
        <v>46304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27305-2024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45471</v>
      </c>
      <c r="E133" s="1" t="n">
        <v>46304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24003-2025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46304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46304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46304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46304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45915</v>
      </c>
      <c r="E138" s="1" t="n">
        <v>46304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46304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46304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46304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46304</v>
      </c>
      <c r="F142" t="inlineStr">
        <is>
          <t>VÄSTERBOTTENS LÄN</t>
        </is>
      </c>
      <c r="G142" t="inlineStr">
        <is>
          <t>DOROTEA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46304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46099</v>
      </c>
      <c r="E144" s="1" t="n">
        <v>46304</v>
      </c>
      <c r="F144" t="inlineStr">
        <is>
          <t>VÄSTERBOTTENS LÄN</t>
        </is>
      </c>
      <c r="G144" t="inlineStr">
        <is>
          <t>DOROTEA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45916</v>
      </c>
      <c r="E145" s="1" t="n">
        <v>46304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46304</v>
      </c>
      <c r="F146" t="inlineStr">
        <is>
          <t>VÄSTERBOTTENS LÄN</t>
        </is>
      </c>
      <c r="G146" t="inlineStr">
        <is>
          <t>DOROTEA</t>
        </is>
      </c>
      <c r="I146" t="n">
        <v>15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46304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Övriga statliga verk och myndigheter</t>
        </is>
      </c>
      <c r="I147" t="n">
        <v>15.2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46304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46304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46304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46304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46304</v>
      </c>
      <c r="F152" t="inlineStr">
        <is>
          <t>VÄSTERBOTTENS LÄN</t>
        </is>
      </c>
      <c r="G152" t="inlineStr">
        <is>
          <t>DOROTEA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45140</v>
      </c>
      <c r="E153" s="1" t="n">
        <v>46304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46304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46304</v>
      </c>
      <c r="F155" t="inlineStr">
        <is>
          <t>VÄSTERBOTTENS LÄN</t>
        </is>
      </c>
      <c r="G155" t="inlineStr">
        <is>
          <t>DOROTEA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46304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46304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46304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46304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45142</v>
      </c>
      <c r="E160" s="1" t="n">
        <v>46304</v>
      </c>
      <c r="F160" t="inlineStr">
        <is>
          <t>VÄSTERBOTTENS LÄN</t>
        </is>
      </c>
      <c r="G160" t="inlineStr">
        <is>
          <t>DOROTEA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46304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46304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46304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33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45483</v>
      </c>
      <c r="E164" s="1" t="n">
        <v>46304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46304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46304</v>
      </c>
      <c r="F166" t="inlineStr">
        <is>
          <t>VÄSTERBOTTENS LÄN</t>
        </is>
      </c>
      <c r="G166" t="inlineStr">
        <is>
          <t>DOROTEA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46304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46304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46304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46304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46304</v>
      </c>
      <c r="F171" t="inlineStr">
        <is>
          <t>VÄSTERBOTTENS LÄN</t>
        </is>
      </c>
      <c r="G171" t="inlineStr">
        <is>
          <t>DOROTEA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19657-2025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45770</v>
      </c>
      <c r="E172" s="1" t="n">
        <v>46304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46304</v>
      </c>
      <c r="F173" t="inlineStr">
        <is>
          <t>VÄSTERBOTTENS LÄN</t>
        </is>
      </c>
      <c r="G173" t="inlineStr">
        <is>
          <t>DOROTEA</t>
        </is>
      </c>
      <c r="H173" t="inlineStr">
        <is>
          <t>Kommuner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46304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46304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46304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46304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46304</v>
      </c>
      <c r="F178" t="inlineStr">
        <is>
          <t>VÄSTERBOTTENS LÄN</t>
        </is>
      </c>
      <c r="G178" t="inlineStr">
        <is>
          <t>DOROTEA</t>
        </is>
      </c>
      <c r="H178" t="inlineStr">
        <is>
          <t>Kommuner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46304</v>
      </c>
      <c r="F179" t="inlineStr">
        <is>
          <t>VÄSTERBOTTENS LÄN</t>
        </is>
      </c>
      <c r="G179" t="inlineStr">
        <is>
          <t>DOROTEA</t>
        </is>
      </c>
      <c r="I179" t="n">
        <v>28.8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46304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60162-2024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46304</v>
      </c>
      <c r="F181" t="inlineStr">
        <is>
          <t>VÄSTERBOTTENS LÄN</t>
        </is>
      </c>
      <c r="G181" t="inlineStr">
        <is>
          <t>DOROTEA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7429-2023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44971</v>
      </c>
      <c r="E182" s="1" t="n">
        <v>46304</v>
      </c>
      <c r="F182" t="inlineStr">
        <is>
          <t>VÄSTERBOTTENS LÄN</t>
        </is>
      </c>
      <c r="G182" t="inlineStr">
        <is>
          <t>DOROTEA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46304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46123</v>
      </c>
      <c r="E184" s="1" t="n">
        <v>46304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46125</v>
      </c>
      <c r="E185" s="1" t="n">
        <v>46304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18.3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46304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46126</v>
      </c>
      <c r="E187" s="1" t="n">
        <v>46304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46304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46304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46304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46304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46304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46304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44925</v>
      </c>
      <c r="E194" s="1" t="n">
        <v>46304</v>
      </c>
      <c r="F194" t="inlineStr">
        <is>
          <t>VÄSTERBOTTENS LÄN</t>
        </is>
      </c>
      <c r="G194" t="inlineStr">
        <is>
          <t>DOROTEA</t>
        </is>
      </c>
      <c r="I194" t="n">
        <v>22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45977</v>
      </c>
      <c r="E195" s="1" t="n">
        <v>46304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46304</v>
      </c>
      <c r="F196" t="inlineStr">
        <is>
          <t>VÄSTERBOTTENS LÄN</t>
        </is>
      </c>
      <c r="G196" t="inlineStr">
        <is>
          <t>DOROTEA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46304</v>
      </c>
      <c r="F197" t="inlineStr">
        <is>
          <t>VÄSTERBOTTENS LÄN</t>
        </is>
      </c>
      <c r="G197" t="inlineStr">
        <is>
          <t>DOROTEA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46304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46304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46304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46304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46304</v>
      </c>
      <c r="F202" t="inlineStr">
        <is>
          <t>VÄSTERBOTTENS LÄN</t>
        </is>
      </c>
      <c r="G202" t="inlineStr">
        <is>
          <t>DOROTEA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46304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46304</v>
      </c>
      <c r="F204" t="inlineStr">
        <is>
          <t>VÄSTERBOTTENS LÄN</t>
        </is>
      </c>
      <c r="G204" t="inlineStr">
        <is>
          <t>DOROTEA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46304</v>
      </c>
      <c r="F205" t="inlineStr">
        <is>
          <t>VÄSTERBOTTENS LÄN</t>
        </is>
      </c>
      <c r="G205" t="inlineStr">
        <is>
          <t>DOROTEA</t>
        </is>
      </c>
      <c r="I205" t="n">
        <v>26.5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45982</v>
      </c>
      <c r="E206" s="1" t="n">
        <v>46304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45642</v>
      </c>
      <c r="E207" s="1" t="n">
        <v>46304</v>
      </c>
      <c r="F207" t="inlineStr">
        <is>
          <t>VÄSTERBOTTENS LÄN</t>
        </is>
      </c>
      <c r="G207" t="inlineStr">
        <is>
          <t>DOROTEA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46304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18.2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46304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46304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45224</v>
      </c>
      <c r="E211" s="1" t="n">
        <v>46304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46304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46304</v>
      </c>
      <c r="F213" t="inlineStr">
        <is>
          <t>VÄSTERBOTTENS LÄN</t>
        </is>
      </c>
      <c r="G213" t="inlineStr">
        <is>
          <t>DOROTEA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46304</v>
      </c>
      <c r="F214" t="inlineStr">
        <is>
          <t>VÄSTERBOTTENS LÄN</t>
        </is>
      </c>
      <c r="G214" t="inlineStr">
        <is>
          <t>DOROTEA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46304</v>
      </c>
      <c r="F215" t="inlineStr">
        <is>
          <t>VÄSTERBOTTENS LÄN</t>
        </is>
      </c>
      <c r="G215" t="inlineStr">
        <is>
          <t>DOROTEA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46304</v>
      </c>
      <c r="F216" t="inlineStr">
        <is>
          <t>VÄSTERBOTTENS LÄN</t>
        </is>
      </c>
      <c r="G216" t="inlineStr">
        <is>
          <t>DOROTEA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45217</v>
      </c>
      <c r="E217" s="1" t="n">
        <v>46304</v>
      </c>
      <c r="F217" t="inlineStr">
        <is>
          <t>VÄSTERBOTTENS LÄN</t>
        </is>
      </c>
      <c r="G217" t="inlineStr">
        <is>
          <t>DOROTEA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46304</v>
      </c>
      <c r="F218" t="inlineStr">
        <is>
          <t>VÄSTERBOTTENS LÄN</t>
        </is>
      </c>
      <c r="G218" t="inlineStr">
        <is>
          <t>DOROTEA</t>
        </is>
      </c>
      <c r="I218" t="n">
        <v>14.8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46304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46304</v>
      </c>
      <c r="F220" t="inlineStr">
        <is>
          <t>VÄSTERBOTTENS LÄN</t>
        </is>
      </c>
      <c r="G220" t="inlineStr">
        <is>
          <t>DOROTEA</t>
        </is>
      </c>
      <c r="I220" t="n">
        <v>14.7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46304</v>
      </c>
      <c r="F221" t="inlineStr">
        <is>
          <t>VÄSTERBOTTENS LÄN</t>
        </is>
      </c>
      <c r="G221" t="inlineStr">
        <is>
          <t>DOROTEA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46304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45862</v>
      </c>
      <c r="E223" s="1" t="n">
        <v>46304</v>
      </c>
      <c r="F223" t="inlineStr">
        <is>
          <t>VÄSTERBOTTENS LÄN</t>
        </is>
      </c>
      <c r="G223" t="inlineStr">
        <is>
          <t>DOROTEA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45996</v>
      </c>
      <c r="E224" s="1" t="n">
        <v>46304</v>
      </c>
      <c r="F224" t="inlineStr">
        <is>
          <t>VÄSTERBOTTENS LÄN</t>
        </is>
      </c>
      <c r="G224" t="inlineStr">
        <is>
          <t>DOROTEA</t>
        </is>
      </c>
      <c r="I224" t="n">
        <v>23.9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44888</v>
      </c>
      <c r="E225" s="1" t="n">
        <v>46304</v>
      </c>
      <c r="F225" t="inlineStr">
        <is>
          <t>VÄSTERBOTTENS LÄN</t>
        </is>
      </c>
      <c r="G225" t="inlineStr">
        <is>
          <t>DOROTEA</t>
        </is>
      </c>
      <c r="I225" t="n">
        <v>15.8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46304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46304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62193-2025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46003</v>
      </c>
      <c r="E228" s="1" t="n">
        <v>46304</v>
      </c>
      <c r="F228" t="inlineStr">
        <is>
          <t>VÄSTERBOTTENS LÄN</t>
        </is>
      </c>
      <c r="G228" t="inlineStr">
        <is>
          <t>DOROTEA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46304</v>
      </c>
      <c r="F229" t="inlineStr">
        <is>
          <t>VÄSTERBOTTENS LÄN</t>
        </is>
      </c>
      <c r="G229" t="inlineStr">
        <is>
          <t>DOROTEA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46304</v>
      </c>
      <c r="F230" t="inlineStr">
        <is>
          <t>VÄSTERBOTTENS LÄN</t>
        </is>
      </c>
      <c r="G230" t="inlineStr">
        <is>
          <t>DOROTEA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46304</v>
      </c>
      <c r="F231" t="inlineStr">
        <is>
          <t>VÄSTERBOTTENS LÄN</t>
        </is>
      </c>
      <c r="G231" t="inlineStr">
        <is>
          <t>DOROTEA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46304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46304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46304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46304</v>
      </c>
      <c r="F235" t="inlineStr">
        <is>
          <t>VÄSTERBOTTENS LÄN</t>
        </is>
      </c>
      <c r="G235" t="inlineStr">
        <is>
          <t>DOROTEA</t>
        </is>
      </c>
      <c r="I235" t="n">
        <v>13.2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46304</v>
      </c>
      <c r="F236" t="inlineStr">
        <is>
          <t>VÄSTERBOTTENS LÄN</t>
        </is>
      </c>
      <c r="G236" t="inlineStr">
        <is>
          <t>DOROTEA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46304</v>
      </c>
      <c r="F237" t="inlineStr">
        <is>
          <t>VÄSTERBOTTENS LÄN</t>
        </is>
      </c>
      <c r="G237" t="inlineStr">
        <is>
          <t>DOROTEA</t>
        </is>
      </c>
      <c r="I237" t="n">
        <v>12.3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46304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46304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46304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46304</v>
      </c>
      <c r="F241" t="inlineStr">
        <is>
          <t>VÄSTERBOTTENS LÄN</t>
        </is>
      </c>
      <c r="G241" t="inlineStr">
        <is>
          <t>DOROTEA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46304</v>
      </c>
      <c r="F242" t="inlineStr">
        <is>
          <t>VÄSTERBOTTENS LÄN</t>
        </is>
      </c>
      <c r="G242" t="inlineStr">
        <is>
          <t>DOROTEA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46304</v>
      </c>
      <c r="F243" t="inlineStr">
        <is>
          <t>VÄSTERBOTTENS LÄN</t>
        </is>
      </c>
      <c r="G243" t="inlineStr">
        <is>
          <t>DOROTEA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46017</v>
      </c>
      <c r="E244" s="1" t="n">
        <v>46304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46304</v>
      </c>
      <c r="F245" t="inlineStr">
        <is>
          <t>VÄSTERBOTTENS LÄN</t>
        </is>
      </c>
      <c r="G245" t="inlineStr">
        <is>
          <t>DOROTEA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44568</v>
      </c>
      <c r="E246" s="1" t="n">
        <v>46304</v>
      </c>
      <c r="F246" t="inlineStr">
        <is>
          <t>VÄSTERBOTTENS LÄN</t>
        </is>
      </c>
      <c r="G246" t="inlineStr">
        <is>
          <t>DOROTEA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46304</v>
      </c>
      <c r="F247" t="inlineStr">
        <is>
          <t>VÄSTERBOTTENS LÄN</t>
        </is>
      </c>
      <c r="G247" t="inlineStr">
        <is>
          <t>DOROTEA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46304</v>
      </c>
      <c r="F248" t="inlineStr">
        <is>
          <t>VÄSTERBOTTENS LÄN</t>
        </is>
      </c>
      <c r="G248" t="inlineStr">
        <is>
          <t>DOROTEA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46304</v>
      </c>
      <c r="F249" t="inlineStr">
        <is>
          <t>VÄSTERBOTTENS LÄN</t>
        </is>
      </c>
      <c r="G249" t="inlineStr">
        <is>
          <t>DOROTEA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46304</v>
      </c>
      <c r="F250" t="inlineStr">
        <is>
          <t>VÄSTERBOTTENS LÄN</t>
        </is>
      </c>
      <c r="G250" t="inlineStr">
        <is>
          <t>DOROTEA</t>
        </is>
      </c>
      <c r="I250" t="n">
        <v>18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46304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46304</v>
      </c>
      <c r="F252" t="inlineStr">
        <is>
          <t>VÄSTERBOTTENS LÄN</t>
        </is>
      </c>
      <c r="G252" t="inlineStr">
        <is>
          <t>DOROTEA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46304</v>
      </c>
      <c r="F253" t="inlineStr">
        <is>
          <t>VÄSTERBOTTENS LÄN</t>
        </is>
      </c>
      <c r="G253" t="inlineStr">
        <is>
          <t>DOROTEA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32821-2024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45516</v>
      </c>
      <c r="E254" s="1" t="n">
        <v>46304</v>
      </c>
      <c r="F254" t="inlineStr">
        <is>
          <t>VÄSTERBOTTENS LÄN</t>
        </is>
      </c>
      <c r="G254" t="inlineStr">
        <is>
          <t>DOROTEA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46304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46304</v>
      </c>
      <c r="F256" t="inlineStr">
        <is>
          <t>VÄSTERBOTTENS LÄN</t>
        </is>
      </c>
      <c r="G256" t="inlineStr">
        <is>
          <t>DOROTEA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44980</v>
      </c>
      <c r="E257" s="1" t="n">
        <v>46304</v>
      </c>
      <c r="F257" t="inlineStr">
        <is>
          <t>VÄSTERBOTTENS LÄN</t>
        </is>
      </c>
      <c r="G257" t="inlineStr">
        <is>
          <t>DOROTEA</t>
        </is>
      </c>
      <c r="I257" t="n">
        <v>18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46304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46304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45475</v>
      </c>
      <c r="E260" s="1" t="n">
        <v>46304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46304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46304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46304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11.9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46304</v>
      </c>
      <c r="F264" t="inlineStr">
        <is>
          <t>VÄSTERBOTTENS LÄN</t>
        </is>
      </c>
      <c r="G264" t="inlineStr">
        <is>
          <t>DOROTEA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46304</v>
      </c>
      <c r="F265" t="inlineStr">
        <is>
          <t>VÄSTERBOTTENS LÄN</t>
        </is>
      </c>
      <c r="G265" t="inlineStr">
        <is>
          <t>DOROTEA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45399</v>
      </c>
      <c r="E266" s="1" t="n">
        <v>46304</v>
      </c>
      <c r="F266" t="inlineStr">
        <is>
          <t>VÄSTERBOTTENS LÄN</t>
        </is>
      </c>
      <c r="G266" t="inlineStr">
        <is>
          <t>DOROTEA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46304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46304</v>
      </c>
      <c r="F268" t="inlineStr">
        <is>
          <t>VÄSTERBOTTENS LÄN</t>
        </is>
      </c>
      <c r="G268" t="inlineStr">
        <is>
          <t>DOROTEA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46304</v>
      </c>
      <c r="F269" t="inlineStr">
        <is>
          <t>VÄSTERBOTTENS LÄN</t>
        </is>
      </c>
      <c r="G269" t="inlineStr">
        <is>
          <t>DOROTEA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44889</v>
      </c>
      <c r="E270" s="1" t="n">
        <v>46304</v>
      </c>
      <c r="F270" t="inlineStr">
        <is>
          <t>VÄSTERBOTTENS LÄN</t>
        </is>
      </c>
      <c r="G270" t="inlineStr">
        <is>
          <t>DOROTEA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46304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46304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45295</v>
      </c>
      <c r="E273" s="1" t="n">
        <v>46304</v>
      </c>
      <c r="F273" t="inlineStr">
        <is>
          <t>VÄSTERBOTTENS LÄN</t>
        </is>
      </c>
      <c r="G273" t="inlineStr">
        <is>
          <t>DOROTEA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46304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45876</v>
      </c>
      <c r="E275" s="1" t="n">
        <v>46304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46304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46054</v>
      </c>
      <c r="E277" s="1" t="n">
        <v>46304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67686-2021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46304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46304</v>
      </c>
      <c r="F279" t="inlineStr">
        <is>
          <t>VÄSTERBOTTENS LÄN</t>
        </is>
      </c>
      <c r="G279" t="inlineStr">
        <is>
          <t>DOROTEA</t>
        </is>
      </c>
      <c r="I279" t="n">
        <v>17.8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46304</v>
      </c>
      <c r="F280" t="inlineStr">
        <is>
          <t>VÄSTERBOTTENS LÄN</t>
        </is>
      </c>
      <c r="G280" t="inlineStr">
        <is>
          <t>DOROTEA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46304</v>
      </c>
      <c r="F281" t="inlineStr">
        <is>
          <t>VÄSTERBOTTENS LÄN</t>
        </is>
      </c>
      <c r="G281" t="inlineStr">
        <is>
          <t>DOROTEA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46304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46304</v>
      </c>
      <c r="F283" t="inlineStr">
        <is>
          <t>VÄSTERBOTTENS LÄN</t>
        </is>
      </c>
      <c r="G283" t="inlineStr">
        <is>
          <t>DOROTEA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45552</v>
      </c>
      <c r="E284" s="1" t="n">
        <v>46304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45149</v>
      </c>
      <c r="E285" s="1" t="n">
        <v>46304</v>
      </c>
      <c r="F285" t="inlineStr">
        <is>
          <t>VÄSTERBOTTENS LÄN</t>
        </is>
      </c>
      <c r="G285" t="inlineStr">
        <is>
          <t>DOROTEA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46304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46304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46304</v>
      </c>
      <c r="F288" t="inlineStr">
        <is>
          <t>VÄSTERBOTTENS LÄN</t>
        </is>
      </c>
      <c r="G288" t="inlineStr">
        <is>
          <t>DOROTEA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46304</v>
      </c>
      <c r="F289" t="inlineStr">
        <is>
          <t>VÄSTERBOTTENS LÄN</t>
        </is>
      </c>
      <c r="G289" t="inlineStr">
        <is>
          <t>DOROTEA</t>
        </is>
      </c>
      <c r="I289" t="n">
        <v>20.1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46304</v>
      </c>
      <c r="F290" t="inlineStr">
        <is>
          <t>VÄSTERBOTTENS LÄN</t>
        </is>
      </c>
      <c r="G290" t="inlineStr">
        <is>
          <t>DOROTEA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46304</v>
      </c>
      <c r="F291" t="inlineStr">
        <is>
          <t>VÄSTERBOTTENS LÄN</t>
        </is>
      </c>
      <c r="G291" t="inlineStr">
        <is>
          <t>DOROTEA</t>
        </is>
      </c>
      <c r="I291" t="n">
        <v>31.7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46304</v>
      </c>
      <c r="F292" t="inlineStr">
        <is>
          <t>VÄSTERBOTTENS LÄN</t>
        </is>
      </c>
      <c r="G292" t="inlineStr">
        <is>
          <t>DOROTEA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46304</v>
      </c>
      <c r="F293" t="inlineStr">
        <is>
          <t>VÄSTERBOTTENS LÄN</t>
        </is>
      </c>
      <c r="G293" t="inlineStr">
        <is>
          <t>DOROTEA</t>
        </is>
      </c>
      <c r="I293" t="n">
        <v>21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45678</v>
      </c>
      <c r="E294" s="1" t="n">
        <v>46304</v>
      </c>
      <c r="F294" t="inlineStr">
        <is>
          <t>VÄSTERBOTTENS LÄN</t>
        </is>
      </c>
      <c r="G294" t="inlineStr">
        <is>
          <t>DOROTEA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45036</v>
      </c>
      <c r="E295" s="1" t="n">
        <v>46304</v>
      </c>
      <c r="F295" t="inlineStr">
        <is>
          <t>VÄSTERBOTTENS LÄN</t>
        </is>
      </c>
      <c r="G295" t="inlineStr">
        <is>
          <t>DOROTEA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36096-2025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45866</v>
      </c>
      <c r="E296" s="1" t="n">
        <v>46304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46304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46304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46304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46304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14163-2024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45392</v>
      </c>
      <c r="E301" s="1" t="n">
        <v>46304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23213-2022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44719</v>
      </c>
      <c r="E302" s="1" t="n">
        <v>46304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45169</v>
      </c>
      <c r="E303" s="1" t="n">
        <v>46304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46304</v>
      </c>
      <c r="F304" t="inlineStr">
        <is>
          <t>VÄSTERBOTTENS LÄN</t>
        </is>
      </c>
      <c r="G304" t="inlineStr">
        <is>
          <t>DOROTEA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46304</v>
      </c>
      <c r="F305" t="inlineStr">
        <is>
          <t>VÄSTERBOTTENS LÄN</t>
        </is>
      </c>
      <c r="G305" t="inlineStr">
        <is>
          <t>DOROTEA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46304</v>
      </c>
      <c r="F306" t="inlineStr">
        <is>
          <t>VÄSTERBOTTENS LÄN</t>
        </is>
      </c>
      <c r="G306" t="inlineStr">
        <is>
          <t>DOROTEA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46149</v>
      </c>
      <c r="E307" s="1" t="n">
        <v>46304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46304</v>
      </c>
      <c r="F308" t="inlineStr">
        <is>
          <t>VÄSTERBOTTENS LÄN</t>
        </is>
      </c>
      <c r="G308" t="inlineStr">
        <is>
          <t>DOROTEA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46304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46304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40434-2023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45169</v>
      </c>
      <c r="E311" s="1" t="n">
        <v>46304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4958-2023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44956</v>
      </c>
      <c r="E312" s="1" t="n">
        <v>46304</v>
      </c>
      <c r="F312" t="inlineStr">
        <is>
          <t>VÄSTERBOTTENS LÄN</t>
        </is>
      </c>
      <c r="G312" t="inlineStr">
        <is>
          <t>DOROTEA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44824</v>
      </c>
      <c r="E313" s="1" t="n">
        <v>46304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46304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46304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46304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46304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27199-2024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45471</v>
      </c>
      <c r="E318" s="1" t="n">
        <v>46304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46304</v>
      </c>
      <c r="F319" t="inlineStr">
        <is>
          <t>VÄSTERBOTTENS LÄN</t>
        </is>
      </c>
      <c r="G319" t="inlineStr">
        <is>
          <t>DOROTEA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46304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Övriga statliga verk och myndigheter</t>
        </is>
      </c>
      <c r="I320" t="n">
        <v>13.9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55888-2022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46304</v>
      </c>
      <c r="F321" t="inlineStr">
        <is>
          <t>VÄSTERBOTTENS LÄN</t>
        </is>
      </c>
      <c r="G321" t="inlineStr">
        <is>
          <t>DOROTEA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45169</v>
      </c>
      <c r="E322" s="1" t="n">
        <v>46304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44960</v>
      </c>
      <c r="E323" s="1" t="n">
        <v>46304</v>
      </c>
      <c r="F323" t="inlineStr">
        <is>
          <t>VÄSTERBOTTENS LÄN</t>
        </is>
      </c>
      <c r="G323" t="inlineStr">
        <is>
          <t>DOROTEA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46304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46304</v>
      </c>
      <c r="F325" t="inlineStr">
        <is>
          <t>VÄSTERBOTTENS LÄN</t>
        </is>
      </c>
      <c r="G325" t="inlineStr">
        <is>
          <t>DOROTEA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46304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46304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46304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45505</v>
      </c>
      <c r="E329" s="1" t="n">
        <v>46304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30461-2024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45491</v>
      </c>
      <c r="E330" s="1" t="n">
        <v>46304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45962</v>
      </c>
      <c r="E331" s="1" t="n">
        <v>46304</v>
      </c>
      <c r="F331" t="inlineStr">
        <is>
          <t>VÄSTERBOTTENS LÄN</t>
        </is>
      </c>
      <c r="G331" t="inlineStr">
        <is>
          <t>DOROTEA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46304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46304</v>
      </c>
      <c r="F333" t="inlineStr">
        <is>
          <t>VÄSTERBOTTENS LÄN</t>
        </is>
      </c>
      <c r="G333" t="inlineStr">
        <is>
          <t>DOROTEA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46304</v>
      </c>
      <c r="F334" t="inlineStr">
        <is>
          <t>VÄSTERBOTTENS LÄN</t>
        </is>
      </c>
      <c r="G334" t="inlineStr">
        <is>
          <t>DOROTEA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74013-2021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44557</v>
      </c>
      <c r="E335" s="1" t="n">
        <v>46304</v>
      </c>
      <c r="F335" t="inlineStr">
        <is>
          <t>VÄSTERBOTTENS LÄN</t>
        </is>
      </c>
      <c r="G335" t="inlineStr">
        <is>
          <t>DOROTEA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46304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46304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46304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50582-2024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45600</v>
      </c>
      <c r="E339" s="1" t="n">
        <v>46304</v>
      </c>
      <c r="F339" t="inlineStr">
        <is>
          <t>VÄSTERBOTTENS LÄN</t>
        </is>
      </c>
      <c r="G339" t="inlineStr">
        <is>
          <t>DOROTEA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45565</v>
      </c>
      <c r="E340" s="1" t="n">
        <v>46304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55919-2023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45239</v>
      </c>
      <c r="E341" s="1" t="n">
        <v>46304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45562</v>
      </c>
      <c r="E342" s="1" t="n">
        <v>46304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46304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46304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46304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46304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47494-2023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45202</v>
      </c>
      <c r="E347" s="1" t="n">
        <v>46304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46304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46304</v>
      </c>
      <c r="F349" t="inlineStr">
        <is>
          <t>VÄSTERBOTTENS LÄN</t>
        </is>
      </c>
      <c r="G349" t="inlineStr">
        <is>
          <t>DOROTEA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46304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46304</v>
      </c>
      <c r="F351" t="inlineStr">
        <is>
          <t>VÄSTERBOTTENS LÄN</t>
        </is>
      </c>
      <c r="G351" t="inlineStr">
        <is>
          <t>DOROTEA</t>
        </is>
      </c>
      <c r="I351" t="n">
        <v>26.2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45565</v>
      </c>
      <c r="E352" s="1" t="n">
        <v>46304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46304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57070-2023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45244</v>
      </c>
      <c r="E354" s="1" t="n">
        <v>46304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46304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46304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46304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45448</v>
      </c>
      <c r="E358" s="1" t="n">
        <v>46304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46304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42889-2024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45566</v>
      </c>
      <c r="E360" s="1" t="n">
        <v>46304</v>
      </c>
      <c r="F360" t="inlineStr">
        <is>
          <t>VÄSTERBOTTENS LÄN</t>
        </is>
      </c>
      <c r="G360" t="inlineStr">
        <is>
          <t>DOROTEA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44942</v>
      </c>
      <c r="E361" s="1" t="n">
        <v>46304</v>
      </c>
      <c r="F361" t="inlineStr">
        <is>
          <t>VÄSTERBOTTENS LÄN</t>
        </is>
      </c>
      <c r="G361" t="inlineStr">
        <is>
          <t>DOROTEA</t>
        </is>
      </c>
      <c r="I361" t="n">
        <v>22.7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46304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45632</v>
      </c>
      <c r="E363" s="1" t="n">
        <v>46304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27738-2026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46191</v>
      </c>
      <c r="E364" s="1" t="n">
        <v>46304</v>
      </c>
      <c r="F364" t="inlineStr">
        <is>
          <t>VÄSTERBOTTENS LÄN</t>
        </is>
      </c>
      <c r="G364" t="inlineStr">
        <is>
          <t>DOROTEA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45519</v>
      </c>
      <c r="E365" s="1" t="n">
        <v>46304</v>
      </c>
      <c r="F365" t="inlineStr">
        <is>
          <t>VÄSTERBOTTENS LÄN</t>
        </is>
      </c>
      <c r="G365" t="inlineStr">
        <is>
          <t>DOROTEA</t>
        </is>
      </c>
      <c r="I365" t="n">
        <v>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28180-2026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46195</v>
      </c>
      <c r="E366" s="1" t="n">
        <v>46304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46304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46304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49.5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46304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46304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45393</v>
      </c>
      <c r="E371" s="1" t="n">
        <v>46304</v>
      </c>
      <c r="F371" t="inlineStr">
        <is>
          <t>VÄSTERBOTTENS LÄN</t>
        </is>
      </c>
      <c r="G371" t="inlineStr">
        <is>
          <t>DOROTEA</t>
        </is>
      </c>
      <c r="I371" t="n">
        <v>10.2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46304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59418-2023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45253</v>
      </c>
      <c r="E373" s="1" t="n">
        <v>46304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46304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46304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42515-2023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46304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27.7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46304</v>
      </c>
      <c r="F377" t="inlineStr">
        <is>
          <t>VÄSTERBOTTENS LÄN</t>
        </is>
      </c>
      <c r="G377" t="inlineStr">
        <is>
          <t>DOROTEA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46304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45223</v>
      </c>
      <c r="E379" s="1" t="n">
        <v>46304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46304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44956</v>
      </c>
      <c r="E381" s="1" t="n">
        <v>46304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44481</v>
      </c>
      <c r="E382" s="1" t="n">
        <v>46304</v>
      </c>
      <c r="F382" t="inlineStr">
        <is>
          <t>VÄSTERBOTTENS LÄN</t>
        </is>
      </c>
      <c r="G382" t="inlineStr">
        <is>
          <t>DOROTEA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46211</v>
      </c>
      <c r="E383" s="1" t="n">
        <v>46304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46212</v>
      </c>
      <c r="E384" s="1" t="n">
        <v>46304</v>
      </c>
      <c r="F384" t="inlineStr">
        <is>
          <t>VÄSTERBOTTENS LÄN</t>
        </is>
      </c>
      <c r="G384" t="inlineStr">
        <is>
          <t>DOROTEA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30885-2026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46304</v>
      </c>
      <c r="F385" t="inlineStr">
        <is>
          <t>VÄSTERBOTTENS LÄN</t>
        </is>
      </c>
      <c r="G385" t="inlineStr">
        <is>
          <t>DOROTEA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46304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46211</v>
      </c>
      <c r="E387" s="1" t="n">
        <v>46304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45253</v>
      </c>
      <c r="E388" s="1" t="n">
        <v>46304</v>
      </c>
      <c r="F388" t="inlineStr">
        <is>
          <t>VÄSTERBOTTENS LÄN</t>
        </is>
      </c>
      <c r="G388" t="inlineStr">
        <is>
          <t>DOROTEA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46304</v>
      </c>
      <c r="F389" t="inlineStr">
        <is>
          <t>VÄSTERBOTTENS LÄN</t>
        </is>
      </c>
      <c r="G389" t="inlineStr">
        <is>
          <t>DOROTEA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46304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46213</v>
      </c>
      <c r="E391" s="1" t="n">
        <v>46304</v>
      </c>
      <c r="F391" t="inlineStr">
        <is>
          <t>VÄSTERBOTTENS LÄN</t>
        </is>
      </c>
      <c r="G391" t="inlineStr">
        <is>
          <t>DOROTEA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31006-2026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46213</v>
      </c>
      <c r="E392" s="1" t="n">
        <v>46304</v>
      </c>
      <c r="F392" t="inlineStr">
        <is>
          <t>VÄSTERBOTTENS LÄN</t>
        </is>
      </c>
      <c r="G392" t="inlineStr">
        <is>
          <t>DOROTEA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46818-2023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46304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46218</v>
      </c>
      <c r="E394" s="1" t="n">
        <v>46304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46218</v>
      </c>
      <c r="E395" s="1" t="n">
        <v>46304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46217</v>
      </c>
      <c r="E396" s="1" t="n">
        <v>46304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46217</v>
      </c>
      <c r="E397" s="1" t="n">
        <v>46304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31259-2026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46218</v>
      </c>
      <c r="E398" s="1" t="n">
        <v>46304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46261</v>
      </c>
      <c r="E399" s="1" t="n">
        <v>46304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46220</v>
      </c>
      <c r="E400" s="1" t="n">
        <v>46304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46262</v>
      </c>
      <c r="E401" s="1" t="n">
        <v>46304</v>
      </c>
      <c r="F401" t="inlineStr">
        <is>
          <t>VÄSTERBOTTENS LÄN</t>
        </is>
      </c>
      <c r="G401" t="inlineStr">
        <is>
          <t>DOROTEA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57955-2021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44484</v>
      </c>
      <c r="E402" s="1" t="n">
        <v>46304</v>
      </c>
      <c r="F402" t="inlineStr">
        <is>
          <t>VÄSTERBOTTENS LÄN</t>
        </is>
      </c>
      <c r="G402" t="inlineStr">
        <is>
          <t>DOROTEA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46304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46304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46304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60145-2021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44494</v>
      </c>
      <c r="E406" s="1" t="n">
        <v>46304</v>
      </c>
      <c r="F406" t="inlineStr">
        <is>
          <t>VÄSTERBOTTENS LÄN</t>
        </is>
      </c>
      <c r="G406" t="inlineStr">
        <is>
          <t>DOROTEA</t>
        </is>
      </c>
      <c r="I406" t="n">
        <v>13.3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46304</v>
      </c>
      <c r="F407" t="inlineStr">
        <is>
          <t>VÄSTERBOTTENS LÄN</t>
        </is>
      </c>
      <c r="G407" t="inlineStr">
        <is>
          <t>DOROTEA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46224</v>
      </c>
      <c r="E408" s="1" t="n">
        <v>46304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46268</v>
      </c>
      <c r="E409" s="1" t="n">
        <v>46304</v>
      </c>
      <c r="F409" t="inlineStr">
        <is>
          <t>VÄSTERBOTTENS LÄN</t>
        </is>
      </c>
      <c r="G409" t="inlineStr">
        <is>
          <t>DOROTEA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46817-2022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44848</v>
      </c>
      <c r="E410" s="1" t="n">
        <v>46304</v>
      </c>
      <c r="F410" t="inlineStr">
        <is>
          <t>VÄSTERBOTTENS LÄN</t>
        </is>
      </c>
      <c r="G410" t="inlineStr">
        <is>
          <t>DOROTEA</t>
        </is>
      </c>
      <c r="I410" t="n">
        <v>29.8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13035-2024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45385</v>
      </c>
      <c r="E411" s="1" t="n">
        <v>46304</v>
      </c>
      <c r="F411" t="inlineStr">
        <is>
          <t>VÄSTERBOTTENS LÄN</t>
        </is>
      </c>
      <c r="G411" t="inlineStr">
        <is>
          <t>DOROTEA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46966-2024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45586</v>
      </c>
      <c r="E412" s="1" t="n">
        <v>46304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45075</v>
      </c>
      <c r="E413" s="1" t="n">
        <v>46304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28717-2022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44748</v>
      </c>
      <c r="E414" s="1" t="n">
        <v>46304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45488</v>
      </c>
      <c r="E415" s="1" t="n">
        <v>46304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43092-2023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45182</v>
      </c>
      <c r="E416" s="1" t="n">
        <v>46304</v>
      </c>
      <c r="F416" t="inlineStr">
        <is>
          <t>VÄSTERBOTTENS LÄN</t>
        </is>
      </c>
      <c r="G416" t="inlineStr">
        <is>
          <t>DOROTEA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46304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46304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46304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45572</v>
      </c>
      <c r="E420" s="1" t="n">
        <v>46304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28856-2024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45478</v>
      </c>
      <c r="E421" s="1" t="n">
        <v>46304</v>
      </c>
      <c r="F421" t="inlineStr">
        <is>
          <t>VÄSTERBOTTENS LÄN</t>
        </is>
      </c>
      <c r="G421" t="inlineStr">
        <is>
          <t>DOROTEA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46304</v>
      </c>
      <c r="F422" t="inlineStr">
        <is>
          <t>VÄSTERBOTTENS LÄN</t>
        </is>
      </c>
      <c r="G422" t="inlineStr">
        <is>
          <t>DOROTEA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42104-2024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45562</v>
      </c>
      <c r="E423" s="1" t="n">
        <v>46304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46282</v>
      </c>
      <c r="E424" s="1" t="n">
        <v>46304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46304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13451-2022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44645</v>
      </c>
      <c r="E426" s="1" t="n">
        <v>46304</v>
      </c>
      <c r="F426" t="inlineStr">
        <is>
          <t>VÄSTERBOTTENS LÄN</t>
        </is>
      </c>
      <c r="G426" t="inlineStr">
        <is>
          <t>DOROTEA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46304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45140</v>
      </c>
      <c r="E428" s="1" t="n">
        <v>46304</v>
      </c>
      <c r="F428" t="inlineStr">
        <is>
          <t>VÄSTERBOTTENS LÄN</t>
        </is>
      </c>
      <c r="G428" t="inlineStr">
        <is>
          <t>DOROTEA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29737-2024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45485</v>
      </c>
      <c r="E429" s="1" t="n">
        <v>46304</v>
      </c>
      <c r="F429" t="inlineStr">
        <is>
          <t>VÄSTERBOTTENS LÄN</t>
        </is>
      </c>
      <c r="G429" t="inlineStr">
        <is>
          <t>DOROTEA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46304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45551</v>
      </c>
      <c r="E431" s="1" t="n">
        <v>46304</v>
      </c>
      <c r="F431" t="inlineStr">
        <is>
          <t>VÄSTERBOTTENS LÄN</t>
        </is>
      </c>
      <c r="G431" t="inlineStr">
        <is>
          <t>DOROTEA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39088-2026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46304</v>
      </c>
      <c r="F432" t="inlineStr">
        <is>
          <t>VÄSTERBOTTENS LÄN</t>
        </is>
      </c>
      <c r="G432" t="inlineStr">
        <is>
          <t>DOROTEA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45517</v>
      </c>
      <c r="E433" s="1" t="n">
        <v>46304</v>
      </c>
      <c r="F433" t="inlineStr">
        <is>
          <t>VÄSTERBOTTENS LÄN</t>
        </is>
      </c>
      <c r="G433" t="inlineStr">
        <is>
          <t>DOROTEA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53380-2024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46304</v>
      </c>
      <c r="F434" t="inlineStr">
        <is>
          <t>VÄSTERBOTTENS LÄN</t>
        </is>
      </c>
      <c r="G434" t="inlineStr">
        <is>
          <t>DOROTEA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46304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35925-2026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46304</v>
      </c>
      <c r="F436" t="inlineStr">
        <is>
          <t>VÄSTERBOTTENS LÄN</t>
        </is>
      </c>
      <c r="G436" t="inlineStr">
        <is>
          <t>DOROTEA</t>
        </is>
      </c>
      <c r="H436" t="inlineStr">
        <is>
          <t>Allmännings- och besparingsskogar</t>
        </is>
      </c>
      <c r="I436" t="n">
        <v>16.4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46304</v>
      </c>
      <c r="F437" t="inlineStr">
        <is>
          <t>VÄSTERBOTTENS LÄN</t>
        </is>
      </c>
      <c r="G437" t="inlineStr">
        <is>
          <t>DOROTEA</t>
        </is>
      </c>
      <c r="H437" t="inlineStr">
        <is>
          <t>Allmännings- och besparingsskogar</t>
        </is>
      </c>
      <c r="I437" t="n">
        <v>12.6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25356-2025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45800</v>
      </c>
      <c r="E438" s="1" t="n">
        <v>46304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46304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45805</v>
      </c>
      <c r="E440" s="1" t="n">
        <v>46304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46293</v>
      </c>
      <c r="E441" s="1" t="n">
        <v>46304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46247</v>
      </c>
      <c r="E442" s="1" t="n">
        <v>46304</v>
      </c>
      <c r="F442" t="inlineStr">
        <is>
          <t>VÄSTERBOTTENS LÄN</t>
        </is>
      </c>
      <c r="G442" t="inlineStr">
        <is>
          <t>DOROTEA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45807</v>
      </c>
      <c r="E443" s="1" t="n">
        <v>46304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45807</v>
      </c>
      <c r="E444" s="1" t="n">
        <v>46304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45664</v>
      </c>
      <c r="E445" s="1" t="n">
        <v>46304</v>
      </c>
      <c r="F445" t="inlineStr">
        <is>
          <t>VÄSTERBOTTENS LÄN</t>
        </is>
      </c>
      <c r="G445" t="inlineStr">
        <is>
          <t>DOROTEA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46304</v>
      </c>
      <c r="F446" t="inlineStr">
        <is>
          <t>VÄSTERBOTTENS LÄN</t>
        </is>
      </c>
      <c r="G446" t="inlineStr">
        <is>
          <t>DOROTEA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45811</v>
      </c>
      <c r="E447" s="1" t="n">
        <v>46304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46304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46304</v>
      </c>
      <c r="F449" t="inlineStr">
        <is>
          <t>VÄSTERBOTTENS LÄN</t>
        </is>
      </c>
      <c r="G449" t="inlineStr">
        <is>
          <t>DOROTEA</t>
        </is>
      </c>
      <c r="I449" t="n">
        <v>11.1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29258-2025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46304</v>
      </c>
      <c r="F450" t="inlineStr">
        <is>
          <t>VÄSTERBOTTENS LÄN</t>
        </is>
      </c>
      <c r="G450" t="inlineStr">
        <is>
          <t>DOROTEA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46295</v>
      </c>
      <c r="E451" s="1" t="n">
        <v>46304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31532-2025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45833</v>
      </c>
      <c r="E452" s="1" t="n">
        <v>46304</v>
      </c>
      <c r="F452" t="inlineStr">
        <is>
          <t>VÄSTERBOTTENS LÄN</t>
        </is>
      </c>
      <c r="G452" t="inlineStr">
        <is>
          <t>DOROTEA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46304</v>
      </c>
      <c r="F453" t="inlineStr">
        <is>
          <t>VÄSTERBOTTENS LÄN</t>
        </is>
      </c>
      <c r="G453" t="inlineStr">
        <is>
          <t>DOROTEA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46304</v>
      </c>
      <c r="F454" t="inlineStr">
        <is>
          <t>VÄSTERBOTTENS LÄN</t>
        </is>
      </c>
      <c r="G454" t="inlineStr">
        <is>
          <t>DOROTEA</t>
        </is>
      </c>
      <c r="I454" t="n">
        <v>11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46304</v>
      </c>
      <c r="F455" t="inlineStr">
        <is>
          <t>VÄSTERBOTTENS LÄN</t>
        </is>
      </c>
      <c r="G455" t="inlineStr">
        <is>
          <t>DOROTEA</t>
        </is>
      </c>
      <c r="I455" t="n">
        <v>13.6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46304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46304</v>
      </c>
      <c r="F457" t="inlineStr">
        <is>
          <t>VÄSTERBOTTENS LÄN</t>
        </is>
      </c>
      <c r="G457" t="inlineStr">
        <is>
          <t>DOROTEA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46304</v>
      </c>
      <c r="F458" t="inlineStr">
        <is>
          <t>VÄSTERBOTTENS LÄN</t>
        </is>
      </c>
      <c r="G458" t="inlineStr">
        <is>
          <t>DOROTEA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46300</v>
      </c>
      <c r="E459" s="1" t="n">
        <v>46304</v>
      </c>
      <c r="F459" t="inlineStr">
        <is>
          <t>VÄSTERBOTTENS LÄN</t>
        </is>
      </c>
      <c r="G459" t="inlineStr">
        <is>
          <t>DOROTEA</t>
        </is>
      </c>
      <c r="I459" t="n">
        <v>13.1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41157-2026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46300</v>
      </c>
      <c r="E460" s="1" t="n">
        <v>46304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46261</v>
      </c>
      <c r="E461" s="1" t="n">
        <v>46304</v>
      </c>
      <c r="F461" t="inlineStr">
        <is>
          <t>VÄSTERBOTTENS LÄN</t>
        </is>
      </c>
      <c r="G461" t="inlineStr">
        <is>
          <t>DOROTEA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46304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46261</v>
      </c>
      <c r="E463" s="1" t="n">
        <v>46304</v>
      </c>
      <c r="F463" t="inlineStr">
        <is>
          <t>VÄSTERBOTTENS LÄN</t>
        </is>
      </c>
      <c r="G463" t="inlineStr">
        <is>
          <t>DOROTEA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46304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46304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46304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46304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46304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46304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46304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46304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46304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2026-10-09T02:03:12Z</dcterms:created>
  <dcterms:modified xmlns:dcterms="http://purl.org/dc/terms/" xmlns:xsi="http://www.w3.org/2001/XMLSchema-instance" xsi:type="dcterms:W3CDTF">2026-10-09T02:03:12Z</dcterms:modified>
</cp:coreProperties>
</file>