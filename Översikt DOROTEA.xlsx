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46280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3</v>
      </c>
      <c r="K2" t="n">
        <v>4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15</v>
      </c>
      <c r="T2" t="n">
        <v>38</v>
      </c>
      <c r="U2" t="n">
        <v>32</v>
      </c>
      <c r="V2" s="2" t="inlineStr">
        <is>
          <t>Garnlav
Ostticka
Harticka
Lunglav
Bårdlav
Spindelblomster
Stuplav
Vedticka
Ekbräken
Hultbräken
Linnea
Majbräken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46280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46280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46280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46280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46280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46280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46280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46280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46280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46280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46280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30755-2026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46212</v>
      </c>
      <c r="E14" s="1" t="n">
        <v>46280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2.5</v>
      </c>
      <c r="J14" t="n">
        <v>1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Gammelgransskål
Rynkskinn
Plattlummer
Skinnlav
Stuplav</t>
        </is>
      </c>
      <c r="W14">
        <f>HYPERLINK("https://klasma.github.io/Logging_2425/artfynd/A 30755-2026 artfynd.xlsx", "A 30755-2026")</f>
        <v/>
      </c>
      <c r="X14">
        <f>HYPERLINK("https://klasma.github.io/Logging_2425/kartor/A 30755-2026 karta.png", "A 30755-2026")</f>
        <v/>
      </c>
      <c r="Y14">
        <f>HYPERLINK("https://klasma.github.io/Logging_2425/kartor_geotiff/A 30755-2026 georefererad karta.tif", "A 30755-2026")</f>
        <v/>
      </c>
      <c r="AA14">
        <f>HYPERLINK("https://klasma.github.io/Logging_2425/klagomål/A 30755-2026 FSC-klagomål.docx", "A 30755-2026")</f>
        <v/>
      </c>
      <c r="AB14">
        <f>HYPERLINK("https://klasma.github.io/Logging_2425/klagomålsmail/A 30755-2026 FSC-klagomål mail.docx", "A 30755-2026")</f>
        <v/>
      </c>
      <c r="AC14">
        <f>HYPERLINK("https://klasma.github.io/Logging_2425/tillsyn/A 30755-2026 tillsynsbegäran.docx", "A 30755-2026")</f>
        <v/>
      </c>
      <c r="AD14">
        <f>HYPERLINK("https://klasma.github.io/Logging_2425/tillsynsmail/A 30755-2026 tillsynsbegäran mail.docx", "A 30755-2026")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46280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46280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46280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46280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46280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46280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46280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46280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46280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46280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46280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46280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4554-2026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46047</v>
      </c>
      <c r="E27" s="1" t="n">
        <v>46280</v>
      </c>
      <c r="F27" t="inlineStr">
        <is>
          <t>VÄSTERBOTTENS LÄN</t>
        </is>
      </c>
      <c r="G27" t="inlineStr">
        <is>
          <t>DOROTEA</t>
        </is>
      </c>
      <c r="I27" t="n">
        <v>6.1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Violettkantad guldvinge
Kricka</t>
        </is>
      </c>
      <c r="W27">
        <f>HYPERLINK("https://klasma.github.io/Logging_2425/artfynd/A 4554-2026 artfynd.xlsx", "A 4554-2026")</f>
        <v/>
      </c>
      <c r="X27">
        <f>HYPERLINK("https://klasma.github.io/Logging_2425/kartor/A 4554-2026 karta.png", "A 4554-2026")</f>
        <v/>
      </c>
      <c r="Y27">
        <f>HYPERLINK("https://klasma.github.io/Logging_2425/kartor_geotiff/A 4554-2026 georefererad karta.tif", "A 4554-2026")</f>
        <v/>
      </c>
      <c r="AA27">
        <f>HYPERLINK("https://klasma.github.io/Logging_2425/klagomål/A 4554-2026 FSC-klagomål.docx", "A 4554-2026")</f>
        <v/>
      </c>
      <c r="AB27">
        <f>HYPERLINK("https://klasma.github.io/Logging_2425/klagomålsmail/A 4554-2026 FSC-klagomål mail.docx", "A 4554-2026")</f>
        <v/>
      </c>
      <c r="AC27">
        <f>HYPERLINK("https://klasma.github.io/Logging_2425/tillsyn/A 4554-2026 tillsynsbegäran.docx", "A 4554-2026")</f>
        <v/>
      </c>
      <c r="AD27">
        <f>HYPERLINK("https://klasma.github.io/Logging_2425/tillsynsmail/A 4554-2026 tillsynsbegäran mail.docx", "A 4554-2026")</f>
        <v/>
      </c>
      <c r="AE27">
        <f>HYPERLINK("https://klasma.github.io/Logging_2425/fåglar/A 4554-2026 prioriterade fågelarter.docx", "A 4554-2026")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46280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46280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46280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27234-2024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46280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Rynkskinn
Skrovellav</t>
        </is>
      </c>
      <c r="W31">
        <f>HYPERLINK("https://klasma.github.io/Logging_2425/artfynd/A 27234-2024 artfynd.xlsx", "A 27234-2024")</f>
        <v/>
      </c>
      <c r="X31">
        <f>HYPERLINK("https://klasma.github.io/Logging_2425/kartor/A 27234-2024 karta.png", "A 27234-2024")</f>
        <v/>
      </c>
      <c r="Y31">
        <f>HYPERLINK("https://klasma.github.io/Logging_2425/kartor_geotiff/A 27234-2024 georefererad karta.tif", "A 27234-2024")</f>
        <v/>
      </c>
      <c r="AA31">
        <f>HYPERLINK("https://klasma.github.io/Logging_2425/klagomål/A 27234-2024 FSC-klagomål.docx", "A 27234-2024")</f>
        <v/>
      </c>
      <c r="AB31">
        <f>HYPERLINK("https://klasma.github.io/Logging_2425/klagomålsmail/A 27234-2024 FSC-klagomål mail.docx", "A 27234-2024")</f>
        <v/>
      </c>
      <c r="AC31">
        <f>HYPERLINK("https://klasma.github.io/Logging_2425/tillsyn/A 27234-2024 tillsynsbegäran.docx", "A 27234-2024")</f>
        <v/>
      </c>
      <c r="AD31">
        <f>HYPERLINK("https://klasma.github.io/Logging_2425/tillsynsmail/A 27234-2024 tillsynsbegäran mail.docx", "A 27234-2024")</f>
        <v/>
      </c>
    </row>
    <row r="32" ht="15" customHeight="1">
      <c r="A32" t="inlineStr">
        <is>
          <t>A 40013-2024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45553</v>
      </c>
      <c r="E32" s="1" t="n">
        <v>46280</v>
      </c>
      <c r="F32" t="inlineStr">
        <is>
          <t>VÄSTERBOTTENS LÄN</t>
        </is>
      </c>
      <c r="G32" t="inlineStr">
        <is>
          <t>DOROTEA</t>
        </is>
      </c>
      <c r="H32" t="inlineStr">
        <is>
          <t>Övriga statliga verk och myndigheter</t>
        </is>
      </c>
      <c r="I32" t="n">
        <v>1.5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Tretåig hackspett
Tjäder</t>
        </is>
      </c>
      <c r="W32">
        <f>HYPERLINK("https://klasma.github.io/Logging_2425/artfynd/A 40013-2024 artfynd.xlsx", "A 40013-2024")</f>
        <v/>
      </c>
      <c r="X32">
        <f>HYPERLINK("https://klasma.github.io/Logging_2425/kartor/A 40013-2024 karta.png", "A 40013-2024")</f>
        <v/>
      </c>
      <c r="Y32">
        <f>HYPERLINK("https://klasma.github.io/Logging_2425/kartor_geotiff/A 40013-2024 georefererad karta.tif", "A 40013-2024")</f>
        <v/>
      </c>
      <c r="AA32">
        <f>HYPERLINK("https://klasma.github.io/Logging_2425/klagomål/A 40013-2024 FSC-klagomål.docx", "A 40013-2024")</f>
        <v/>
      </c>
      <c r="AB32">
        <f>HYPERLINK("https://klasma.github.io/Logging_2425/klagomålsmail/A 40013-2024 FSC-klagomål mail.docx", "A 40013-2024")</f>
        <v/>
      </c>
      <c r="AC32">
        <f>HYPERLINK("https://klasma.github.io/Logging_2425/tillsyn/A 40013-2024 tillsynsbegäran.docx", "A 40013-2024")</f>
        <v/>
      </c>
      <c r="AD32">
        <f>HYPERLINK("https://klasma.github.io/Logging_2425/tillsynsmail/A 40013-2024 tillsynsbegäran mail.docx", "A 40013-2024")</f>
        <v/>
      </c>
      <c r="AE32">
        <f>HYPERLINK("https://klasma.github.io/Logging_2425/fåglar/A 40013-2024 prioriterade fågelarter.docx", "A 40013-2024")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46280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46280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46280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46280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46280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46280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46280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46280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46280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48089-2022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44855</v>
      </c>
      <c r="E42" s="1" t="n">
        <v>46280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9.199999999999999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Gammelgransskål</t>
        </is>
      </c>
      <c r="W42">
        <f>HYPERLINK("https://klasma.github.io/Logging_2425/artfynd/A 48089-2022 artfynd.xlsx", "A 48089-2022")</f>
        <v/>
      </c>
      <c r="X42">
        <f>HYPERLINK("https://klasma.github.io/Logging_2425/kartor/A 48089-2022 karta.png", "A 48089-2022")</f>
        <v/>
      </c>
      <c r="Y42">
        <f>HYPERLINK("https://klasma.github.io/Logging_2425/kartor_geotiff/A 48089-2022 georefererad karta.tif", "A 48089-2022")</f>
        <v/>
      </c>
      <c r="AA42">
        <f>HYPERLINK("https://klasma.github.io/Logging_2425/klagomål/A 48089-2022 FSC-klagomål.docx", "A 48089-2022")</f>
        <v/>
      </c>
      <c r="AB42">
        <f>HYPERLINK("https://klasma.github.io/Logging_2425/klagomålsmail/A 48089-2022 FSC-klagomål mail.docx", "A 48089-2022")</f>
        <v/>
      </c>
      <c r="AC42">
        <f>HYPERLINK("https://klasma.github.io/Logging_2425/tillsyn/A 48089-2022 tillsynsbegäran.docx", "A 48089-2022")</f>
        <v/>
      </c>
      <c r="AD42">
        <f>HYPERLINK("https://klasma.github.io/Logging_2425/tillsynsmail/A 48089-2022 tillsynsbegäran mail.docx", "A 48089-2022")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46280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46280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46280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46280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25980-2026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46280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40.2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25980-2026 artfynd.xlsx", "A 25980-2026")</f>
        <v/>
      </c>
      <c r="X47">
        <f>HYPERLINK("https://klasma.github.io/Logging_2425/kartor/A 25980-2026 karta.png", "A 25980-2026")</f>
        <v/>
      </c>
      <c r="Y47">
        <f>HYPERLINK("https://klasma.github.io/Logging_2425/kartor_geotiff/A 25980-2026 georefererad karta.tif", "A 25980-2026")</f>
        <v/>
      </c>
      <c r="AA47">
        <f>HYPERLINK("https://klasma.github.io/Logging_2425/klagomål/A 25980-2026 FSC-klagomål.docx", "A 25980-2026")</f>
        <v/>
      </c>
      <c r="AB47">
        <f>HYPERLINK("https://klasma.github.io/Logging_2425/klagomålsmail/A 25980-2026 FSC-klagomål mail.docx", "A 25980-2026")</f>
        <v/>
      </c>
      <c r="AC47">
        <f>HYPERLINK("https://klasma.github.io/Logging_2425/tillsyn/A 25980-2026 tillsynsbegäran.docx", "A 25980-2026")</f>
        <v/>
      </c>
      <c r="AD47">
        <f>HYPERLINK("https://klasma.github.io/Logging_2425/tillsynsmail/A 25980-2026 tillsynsbegäran mail.docx", "A 25980-2026")</f>
        <v/>
      </c>
    </row>
    <row r="48" ht="15" customHeight="1">
      <c r="A48" t="inlineStr">
        <is>
          <t>A 32331-2026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46238</v>
      </c>
      <c r="E48" s="1" t="n">
        <v>46280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Skrovellav</t>
        </is>
      </c>
      <c r="W48">
        <f>HYPERLINK("https://klasma.github.io/Logging_2425/artfynd/A 32331-2026 artfynd.xlsx", "A 32331-2026")</f>
        <v/>
      </c>
      <c r="X48">
        <f>HYPERLINK("https://klasma.github.io/Logging_2425/kartor/A 32331-2026 karta.png", "A 32331-2026")</f>
        <v/>
      </c>
      <c r="Y48">
        <f>HYPERLINK("https://klasma.github.io/Logging_2425/kartor_geotiff/A 32331-2026 georefererad karta.tif", "A 32331-2026")</f>
        <v/>
      </c>
      <c r="AA48">
        <f>HYPERLINK("https://klasma.github.io/Logging_2425/klagomål/A 32331-2026 FSC-klagomål.docx", "A 32331-2026")</f>
        <v/>
      </c>
      <c r="AB48">
        <f>HYPERLINK("https://klasma.github.io/Logging_2425/klagomålsmail/A 32331-2026 FSC-klagomål mail.docx", "A 32331-2026")</f>
        <v/>
      </c>
      <c r="AC48">
        <f>HYPERLINK("https://klasma.github.io/Logging_2425/tillsyn/A 32331-2026 tillsynsbegäran.docx", "A 32331-2026")</f>
        <v/>
      </c>
      <c r="AD48">
        <f>HYPERLINK("https://klasma.github.io/Logging_2425/tillsynsmail/A 32331-2026 tillsynsbegäran mail.docx", "A 32331-2026")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46280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35297-2026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46280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5.5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35297-2026 artfynd.xlsx", "A 35297-2026")</f>
        <v/>
      </c>
      <c r="X50">
        <f>HYPERLINK("https://klasma.github.io/Logging_2425/kartor/A 35297-2026 karta.png", "A 35297-2026")</f>
        <v/>
      </c>
      <c r="Y50">
        <f>HYPERLINK("https://klasma.github.io/Logging_2425/kartor_geotiff/A 35297-2026 georefererad karta.tif", "A 35297-2026")</f>
        <v/>
      </c>
      <c r="AA50">
        <f>HYPERLINK("https://klasma.github.io/Logging_2425/klagomål/A 35297-2026 FSC-klagomål.docx", "A 35297-2026")</f>
        <v/>
      </c>
      <c r="AB50">
        <f>HYPERLINK("https://klasma.github.io/Logging_2425/klagomålsmail/A 35297-2026 FSC-klagomål mail.docx", "A 35297-2026")</f>
        <v/>
      </c>
      <c r="AC50">
        <f>HYPERLINK("https://klasma.github.io/Logging_2425/tillsyn/A 35297-2026 tillsynsbegäran.docx", "A 35297-2026")</f>
        <v/>
      </c>
      <c r="AD50">
        <f>HYPERLINK("https://klasma.github.io/Logging_2425/tillsynsmail/A 35297-2026 tillsynsbegäran mail.docx", "A 35297-2026")</f>
        <v/>
      </c>
    </row>
    <row r="51" ht="15" customHeight="1">
      <c r="A51" t="inlineStr">
        <is>
          <t>A 12005-2023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46280</v>
      </c>
      <c r="F51" t="inlineStr">
        <is>
          <t>VÄSTERBOTTENS LÄN</t>
        </is>
      </c>
      <c r="G51" t="inlineStr">
        <is>
          <t>DOROTEA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HYPERLINK("https://klasma.github.io/Logging_2425/artfynd/A 12005-2023 artfynd.xlsx", "A 12005-2023")</f>
        <v/>
      </c>
      <c r="X51">
        <f>HYPERLINK("https://klasma.github.io/Logging_2425/kartor/A 12005-2023 karta.png", "A 12005-2023")</f>
        <v/>
      </c>
      <c r="Y51">
        <f>HYPERLINK("https://klasma.github.io/Logging_2425/kartor_geotiff/A 12005-2023 georefererad karta.tif", "A 12005-2023")</f>
        <v/>
      </c>
      <c r="AA51">
        <f>HYPERLINK("https://klasma.github.io/Logging_2425/klagomål/A 12005-2023 FSC-klagomål.docx", "A 12005-2023")</f>
        <v/>
      </c>
      <c r="AB51">
        <f>HYPERLINK("https://klasma.github.io/Logging_2425/klagomålsmail/A 12005-2023 FSC-klagomål mail.docx", "A 12005-2023")</f>
        <v/>
      </c>
      <c r="AC51">
        <f>HYPERLINK("https://klasma.github.io/Logging_2425/tillsyn/A 12005-2023 tillsynsbegäran.docx", "A 12005-2023")</f>
        <v/>
      </c>
      <c r="AD51">
        <f>HYPERLINK("https://klasma.github.io/Logging_2425/tillsynsmail/A 12005-2023 tillsynsbegäran mail.docx", "A 12005-2023")</f>
        <v/>
      </c>
    </row>
    <row r="52" ht="15" customHeight="1">
      <c r="A52" t="inlineStr">
        <is>
          <t>A 57060-2024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46280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57060-2024 artfynd.xlsx", "A 57060-2024")</f>
        <v/>
      </c>
      <c r="X52">
        <f>HYPERLINK("https://klasma.github.io/Logging_2425/kartor/A 57060-2024 karta.png", "A 57060-2024")</f>
        <v/>
      </c>
      <c r="Y52">
        <f>HYPERLINK("https://klasma.github.io/Logging_2425/kartor_geotiff/A 57060-2024 georefererad karta.tif", "A 57060-2024")</f>
        <v/>
      </c>
      <c r="AA52">
        <f>HYPERLINK("https://klasma.github.io/Logging_2425/klagomål/A 57060-2024 FSC-klagomål.docx", "A 57060-2024")</f>
        <v/>
      </c>
      <c r="AB52">
        <f>HYPERLINK("https://klasma.github.io/Logging_2425/klagomålsmail/A 57060-2024 FSC-klagomål mail.docx", "A 57060-2024")</f>
        <v/>
      </c>
      <c r="AC52">
        <f>HYPERLINK("https://klasma.github.io/Logging_2425/tillsyn/A 57060-2024 tillsynsbegäran.docx", "A 57060-2024")</f>
        <v/>
      </c>
      <c r="AD52">
        <f>HYPERLINK("https://klasma.github.io/Logging_2425/tillsynsmail/A 57060-2024 tillsynsbegäran mail.docx", "A 57060-2024")</f>
        <v/>
      </c>
    </row>
    <row r="53" ht="15" customHeight="1">
      <c r="A53" t="inlineStr">
        <is>
          <t>A 20600-2023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45057</v>
      </c>
      <c r="E53" s="1" t="n">
        <v>46280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Korallrot</t>
        </is>
      </c>
      <c r="W53">
        <f>HYPERLINK("https://klasma.github.io/Logging_2425/artfynd/A 20600-2023 artfynd.xlsx", "A 20600-2023")</f>
        <v/>
      </c>
      <c r="X53">
        <f>HYPERLINK("https://klasma.github.io/Logging_2425/kartor/A 20600-2023 karta.png", "A 20600-2023")</f>
        <v/>
      </c>
      <c r="Y53">
        <f>HYPERLINK("https://klasma.github.io/Logging_2425/kartor_geotiff/A 20600-2023 georefererad karta.tif", "A 20600-2023")</f>
        <v/>
      </c>
      <c r="AA53">
        <f>HYPERLINK("https://klasma.github.io/Logging_2425/klagomål/A 20600-2023 FSC-klagomål.docx", "A 20600-2023")</f>
        <v/>
      </c>
      <c r="AB53">
        <f>HYPERLINK("https://klasma.github.io/Logging_2425/klagomålsmail/A 20600-2023 FSC-klagomål mail.docx", "A 20600-2023")</f>
        <v/>
      </c>
      <c r="AC53">
        <f>HYPERLINK("https://klasma.github.io/Logging_2425/tillsyn/A 20600-2023 tillsynsbegäran.docx", "A 20600-2023")</f>
        <v/>
      </c>
      <c r="AD53">
        <f>HYPERLINK("https://klasma.github.io/Logging_2425/tillsynsmail/A 20600-2023 tillsynsbegäran mail.docx", "A 20600-2023")</f>
        <v/>
      </c>
    </row>
    <row r="54" ht="15" customHeight="1">
      <c r="A54" t="inlineStr">
        <is>
          <t>A 57058-2024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46280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57058-2024 artfynd.xlsx", "A 57058-2024")</f>
        <v/>
      </c>
      <c r="X54">
        <f>HYPERLINK("https://klasma.github.io/Logging_2425/kartor/A 57058-2024 karta.png", "A 57058-2024")</f>
        <v/>
      </c>
      <c r="Y54">
        <f>HYPERLINK("https://klasma.github.io/Logging_2425/kartor_geotiff/A 57058-2024 georefererad karta.tif", "A 57058-2024")</f>
        <v/>
      </c>
      <c r="AA54">
        <f>HYPERLINK("https://klasma.github.io/Logging_2425/klagomål/A 57058-2024 FSC-klagomål.docx", "A 57058-2024")</f>
        <v/>
      </c>
      <c r="AB54">
        <f>HYPERLINK("https://klasma.github.io/Logging_2425/klagomålsmail/A 57058-2024 FSC-klagomål mail.docx", "A 57058-2024")</f>
        <v/>
      </c>
      <c r="AC54">
        <f>HYPERLINK("https://klasma.github.io/Logging_2425/tillsyn/A 57058-2024 tillsynsbegäran.docx", "A 57058-2024")</f>
        <v/>
      </c>
      <c r="AD54">
        <f>HYPERLINK("https://klasma.github.io/Logging_2425/tillsynsmail/A 57058-2024 tillsynsbegäran mail.docx", "A 57058-2024")</f>
        <v/>
      </c>
    </row>
    <row r="55" ht="15" customHeight="1">
      <c r="A55" t="inlineStr">
        <is>
          <t>A 46815-2023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45198</v>
      </c>
      <c r="E55" s="1" t="n">
        <v>46280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3.7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46815-2023 artfynd.xlsx", "A 46815-2023")</f>
        <v/>
      </c>
      <c r="X55">
        <f>HYPERLINK("https://klasma.github.io/Logging_2425/kartor/A 46815-2023 karta.png", "A 46815-2023")</f>
        <v/>
      </c>
      <c r="Y55">
        <f>HYPERLINK("https://klasma.github.io/Logging_2425/kartor_geotiff/A 46815-2023 georefererad karta.tif", "A 46815-2023")</f>
        <v/>
      </c>
      <c r="AA55">
        <f>HYPERLINK("https://klasma.github.io/Logging_2425/klagomål/A 46815-2023 FSC-klagomål.docx", "A 46815-2023")</f>
        <v/>
      </c>
      <c r="AB55">
        <f>HYPERLINK("https://klasma.github.io/Logging_2425/klagomålsmail/A 46815-2023 FSC-klagomål mail.docx", "A 46815-2023")</f>
        <v/>
      </c>
      <c r="AC55">
        <f>HYPERLINK("https://klasma.github.io/Logging_2425/tillsyn/A 46815-2023 tillsynsbegäran.docx", "A 46815-2023")</f>
        <v/>
      </c>
      <c r="AD55">
        <f>HYPERLINK("https://klasma.github.io/Logging_2425/tillsynsmail/A 46815-2023 tillsynsbegäran mail.docx", "A 46815-2023")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46280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46280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46280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46280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46280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46280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46280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46280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46280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46280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46280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46280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46280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46280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45170</v>
      </c>
      <c r="E70" s="1" t="n">
        <v>46280</v>
      </c>
      <c r="F70" t="inlineStr">
        <is>
          <t>VÄSTERBOTTENS LÄN</t>
        </is>
      </c>
      <c r="G70" t="inlineStr">
        <is>
          <t>DOROTEA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46280</v>
      </c>
      <c r="F71" t="inlineStr">
        <is>
          <t>VÄSTERBOTTENS LÄN</t>
        </is>
      </c>
      <c r="G71" t="inlineStr">
        <is>
          <t>DOROTEA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46280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46280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46280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46280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46280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46280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46280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46280</v>
      </c>
      <c r="F79" t="inlineStr">
        <is>
          <t>VÄSTERBOTTENS LÄN</t>
        </is>
      </c>
      <c r="G79" t="inlineStr">
        <is>
          <t>DOROTEA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34820-2023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45140</v>
      </c>
      <c r="E80" s="1" t="n">
        <v>46280</v>
      </c>
      <c r="F80" t="inlineStr">
        <is>
          <t>VÄSTERBOTTENS LÄN</t>
        </is>
      </c>
      <c r="G80" t="inlineStr">
        <is>
          <t>DOROTEA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29737-2024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45485</v>
      </c>
      <c r="E81" s="1" t="n">
        <v>46280</v>
      </c>
      <c r="F81" t="inlineStr">
        <is>
          <t>VÄSTERBOTTENS LÄN</t>
        </is>
      </c>
      <c r="G81" t="inlineStr">
        <is>
          <t>DOROTEA</t>
        </is>
      </c>
      <c r="I81" t="n">
        <v>10.2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46280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46280</v>
      </c>
      <c r="F83" t="inlineStr">
        <is>
          <t>VÄSTERBOTTENS LÄN</t>
        </is>
      </c>
      <c r="G83" t="inlineStr">
        <is>
          <t>DOROTEA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46280</v>
      </c>
      <c r="F84" t="inlineStr">
        <is>
          <t>VÄSTERBOTTENS LÄN</t>
        </is>
      </c>
      <c r="G84" t="inlineStr">
        <is>
          <t>DOROTEA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46007</v>
      </c>
      <c r="E85" s="1" t="n">
        <v>46280</v>
      </c>
      <c r="F85" t="inlineStr">
        <is>
          <t>VÄSTERBOTTENS LÄN</t>
        </is>
      </c>
      <c r="G85" t="inlineStr">
        <is>
          <t>DOROTEA</t>
        </is>
      </c>
      <c r="I85" t="n">
        <v>16.7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33113-2024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45517</v>
      </c>
      <c r="E86" s="1" t="n">
        <v>46280</v>
      </c>
      <c r="F86" t="inlineStr">
        <is>
          <t>VÄSTERBOTTENS LÄN</t>
        </is>
      </c>
      <c r="G86" t="inlineStr">
        <is>
          <t>DOROTEA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46280</v>
      </c>
      <c r="F87" t="inlineStr">
        <is>
          <t>VÄSTERBOTTENS LÄN</t>
        </is>
      </c>
      <c r="G87" t="inlineStr">
        <is>
          <t>DOROTEA</t>
        </is>
      </c>
      <c r="I87" t="n">
        <v>13.2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17132-2025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45755</v>
      </c>
      <c r="E88" s="1" t="n">
        <v>46280</v>
      </c>
      <c r="F88" t="inlineStr">
        <is>
          <t>VÄSTERBOTTENS LÄN</t>
        </is>
      </c>
      <c r="G88" t="inlineStr">
        <is>
          <t>DOROTEA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45614</v>
      </c>
      <c r="E89" s="1" t="n">
        <v>46280</v>
      </c>
      <c r="F89" t="inlineStr">
        <is>
          <t>VÄSTERBOTTENS LÄN</t>
        </is>
      </c>
      <c r="G89" t="inlineStr">
        <is>
          <t>DOROTEA</t>
        </is>
      </c>
      <c r="I89" t="n">
        <v>12.8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62424-2025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46280</v>
      </c>
      <c r="F90" t="inlineStr">
        <is>
          <t>VÄSTERBOTTENS LÄN</t>
        </is>
      </c>
      <c r="G90" t="inlineStr">
        <is>
          <t>DOROTEA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22450-2024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46280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45125</v>
      </c>
      <c r="E92" s="1" t="n">
        <v>46280</v>
      </c>
      <c r="F92" t="inlineStr">
        <is>
          <t>VÄSTERBOTTENS LÄN</t>
        </is>
      </c>
      <c r="G92" t="inlineStr">
        <is>
          <t>DOROTEA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46280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46280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45803</v>
      </c>
      <c r="E95" s="1" t="n">
        <v>46280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25356-2025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46280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30373-2024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45491</v>
      </c>
      <c r="E97" s="1" t="n">
        <v>46280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13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46280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46280</v>
      </c>
      <c r="F99" t="inlineStr">
        <is>
          <t>VÄSTERBOTTENS LÄN</t>
        </is>
      </c>
      <c r="G99" t="inlineStr">
        <is>
          <t>DOROTEA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45807</v>
      </c>
      <c r="E100" s="1" t="n">
        <v>46280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46280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45664</v>
      </c>
      <c r="E102" s="1" t="n">
        <v>46280</v>
      </c>
      <c r="F102" t="inlineStr">
        <is>
          <t>VÄSTERBOTTENS LÄN</t>
        </is>
      </c>
      <c r="G102" t="inlineStr">
        <is>
          <t>DOROTEA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14759-2025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46280</v>
      </c>
      <c r="F103" t="inlineStr">
        <is>
          <t>VÄSTERBOTTENS LÄN</t>
        </is>
      </c>
      <c r="G103" t="inlineStr">
        <is>
          <t>DOROTEA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26904-2025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46280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46017</v>
      </c>
      <c r="E105" s="1" t="n">
        <v>46280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8.699999999999999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45520</v>
      </c>
      <c r="E106" s="1" t="n">
        <v>46280</v>
      </c>
      <c r="F106" t="inlineStr">
        <is>
          <t>VÄSTERBOTTENS LÄN</t>
        </is>
      </c>
      <c r="G106" t="inlineStr">
        <is>
          <t>DOROTEA</t>
        </is>
      </c>
      <c r="I106" t="n">
        <v>11.1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46280</v>
      </c>
      <c r="F107" t="inlineStr">
        <is>
          <t>VÄSTERBOTTENS LÄN</t>
        </is>
      </c>
      <c r="G107" t="inlineStr">
        <is>
          <t>DOROTEA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46280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46280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57376-2022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44889</v>
      </c>
      <c r="E110" s="1" t="n">
        <v>46280</v>
      </c>
      <c r="F110" t="inlineStr">
        <is>
          <t>VÄSTERBOTTENS LÄN</t>
        </is>
      </c>
      <c r="G110" t="inlineStr">
        <is>
          <t>DOROTEA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46030</v>
      </c>
      <c r="E111" s="1" t="n">
        <v>46280</v>
      </c>
      <c r="F111" t="inlineStr">
        <is>
          <t>VÄSTERBOTTENS LÄN</t>
        </is>
      </c>
      <c r="G111" t="inlineStr">
        <is>
          <t>DOROTEA</t>
        </is>
      </c>
      <c r="I111" t="n">
        <v>18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45893</v>
      </c>
      <c r="E112" s="1" t="n">
        <v>46280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46280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45714</v>
      </c>
      <c r="E114" s="1" t="n">
        <v>46280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46280</v>
      </c>
      <c r="F115" t="inlineStr">
        <is>
          <t>VÄSTERBOTTENS LÄN</t>
        </is>
      </c>
      <c r="G115" t="inlineStr">
        <is>
          <t>DOROTEA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46280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46280</v>
      </c>
      <c r="F117" t="inlineStr">
        <is>
          <t>VÄSTERBOTTENS LÄN</t>
        </is>
      </c>
      <c r="G117" t="inlineStr">
        <is>
          <t>DOROTEA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46038</v>
      </c>
      <c r="E118" s="1" t="n">
        <v>46280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46280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46280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46043</v>
      </c>
      <c r="E121" s="1" t="n">
        <v>46280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46042</v>
      </c>
      <c r="E122" s="1" t="n">
        <v>46280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12.9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46280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46280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46280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46280</v>
      </c>
      <c r="F126" t="inlineStr">
        <is>
          <t>VÄSTERBOTTENS LÄN</t>
        </is>
      </c>
      <c r="G126" t="inlineStr">
        <is>
          <t>DOROTEA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46280</v>
      </c>
      <c r="F127" t="inlineStr">
        <is>
          <t>VÄSTERBOTTENS LÄN</t>
        </is>
      </c>
      <c r="G127" t="inlineStr">
        <is>
          <t>DOROTEA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46280</v>
      </c>
      <c r="F128" t="inlineStr">
        <is>
          <t>VÄSTERBOTTENS LÄN</t>
        </is>
      </c>
      <c r="G128" t="inlineStr">
        <is>
          <t>DOROTEA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46280</v>
      </c>
      <c r="F129" t="inlineStr">
        <is>
          <t>VÄSTERBOTTENS LÄN</t>
        </is>
      </c>
      <c r="G129" t="inlineStr">
        <is>
          <t>DOROTEA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46091</v>
      </c>
      <c r="E130" s="1" t="n">
        <v>46280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46280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46280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46280</v>
      </c>
      <c r="F133" t="inlineStr">
        <is>
          <t>VÄSTERBOTTENS LÄN</t>
        </is>
      </c>
      <c r="G133" t="inlineStr">
        <is>
          <t>DOROTEA</t>
        </is>
      </c>
      <c r="I133" t="n">
        <v>11.8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46280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46280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46280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46280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46280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46280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44282-2025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45916</v>
      </c>
      <c r="E140" s="1" t="n">
        <v>46280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46280</v>
      </c>
      <c r="F141" t="inlineStr">
        <is>
          <t>VÄSTERBOTTENS LÄN</t>
        </is>
      </c>
      <c r="G141" t="inlineStr">
        <is>
          <t>DOROTEA</t>
        </is>
      </c>
      <c r="H141" t="inlineStr">
        <is>
          <t>Övriga statliga verk och myndigheter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46055</v>
      </c>
      <c r="E142" s="1" t="n">
        <v>46280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46280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46054</v>
      </c>
      <c r="E144" s="1" t="n">
        <v>46280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46280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46280</v>
      </c>
      <c r="F146" t="inlineStr">
        <is>
          <t>VÄSTERBOTTENS LÄN</t>
        </is>
      </c>
      <c r="G146" t="inlineStr">
        <is>
          <t>DOROTEA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46280</v>
      </c>
      <c r="F147" t="inlineStr">
        <is>
          <t>VÄSTERBOTTENS LÄN</t>
        </is>
      </c>
      <c r="G147" t="inlineStr">
        <is>
          <t>DOROTEA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46280</v>
      </c>
      <c r="F148" t="inlineStr">
        <is>
          <t>VÄSTERBOTTENS LÄN</t>
        </is>
      </c>
      <c r="G148" t="inlineStr">
        <is>
          <t>DOROTEA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46280</v>
      </c>
      <c r="F149" t="inlineStr">
        <is>
          <t>VÄSTERBOTTENS LÄN</t>
        </is>
      </c>
      <c r="G149" t="inlineStr">
        <is>
          <t>DOROTEA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45847</v>
      </c>
      <c r="E150" s="1" t="n">
        <v>46280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34279-2025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45846</v>
      </c>
      <c r="E151" s="1" t="n">
        <v>46280</v>
      </c>
      <c r="F151" t="inlineStr">
        <is>
          <t>VÄSTERBOTTENS LÄN</t>
        </is>
      </c>
      <c r="G151" t="inlineStr">
        <is>
          <t>DOROTEA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38700-2024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45547</v>
      </c>
      <c r="E152" s="1" t="n">
        <v>46280</v>
      </c>
      <c r="F152" t="inlineStr">
        <is>
          <t>VÄSTERBOTTENS LÄN</t>
        </is>
      </c>
      <c r="G152" t="inlineStr">
        <is>
          <t>DOROTEA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45735</v>
      </c>
      <c r="E153" s="1" t="n">
        <v>46280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46063</v>
      </c>
      <c r="E154" s="1" t="n">
        <v>46280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46280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45849</v>
      </c>
      <c r="E156" s="1" t="n">
        <v>46280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44860</v>
      </c>
      <c r="E157" s="1" t="n">
        <v>46280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Sveaskog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25028-2024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45461</v>
      </c>
      <c r="E158" s="1" t="n">
        <v>46280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45852</v>
      </c>
      <c r="E159" s="1" t="n">
        <v>46280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45036</v>
      </c>
      <c r="E160" s="1" t="n">
        <v>46280</v>
      </c>
      <c r="F160" t="inlineStr">
        <is>
          <t>VÄSTERBOTTENS LÄN</t>
        </is>
      </c>
      <c r="G160" t="inlineStr">
        <is>
          <t>DOROTEA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45742</v>
      </c>
      <c r="E161" s="1" t="n">
        <v>46280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46280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45855</v>
      </c>
      <c r="E163" s="1" t="n">
        <v>46280</v>
      </c>
      <c r="F163" t="inlineStr">
        <is>
          <t>VÄSTERBOTTENS LÄN</t>
        </is>
      </c>
      <c r="G163" t="inlineStr">
        <is>
          <t>DOROTEA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45855</v>
      </c>
      <c r="E164" s="1" t="n">
        <v>46280</v>
      </c>
      <c r="F164" t="inlineStr">
        <is>
          <t>VÄSTERBOTTENS LÄN</t>
        </is>
      </c>
      <c r="G164" t="inlineStr">
        <is>
          <t>DOROTEA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45855</v>
      </c>
      <c r="E165" s="1" t="n">
        <v>46280</v>
      </c>
      <c r="F165" t="inlineStr">
        <is>
          <t>VÄSTERBOTTENS LÄN</t>
        </is>
      </c>
      <c r="G165" t="inlineStr">
        <is>
          <t>DOROTEA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45351</v>
      </c>
      <c r="E166" s="1" t="n">
        <v>46280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36111-2025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45866</v>
      </c>
      <c r="E167" s="1" t="n">
        <v>46280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46280</v>
      </c>
      <c r="F168" t="inlineStr">
        <is>
          <t>VÄSTERBOTTENS LÄN</t>
        </is>
      </c>
      <c r="G168" t="inlineStr">
        <is>
          <t>DOROTEA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46280</v>
      </c>
      <c r="F169" t="inlineStr">
        <is>
          <t>VÄSTERBOTTENS LÄN</t>
        </is>
      </c>
      <c r="G169" t="inlineStr">
        <is>
          <t>DOROTEA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45866</v>
      </c>
      <c r="E170" s="1" t="n">
        <v>46280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46280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46072</v>
      </c>
      <c r="E172" s="1" t="n">
        <v>46280</v>
      </c>
      <c r="F172" t="inlineStr">
        <is>
          <t>VÄSTERBOTTENS LÄN</t>
        </is>
      </c>
      <c r="G172" t="inlineStr">
        <is>
          <t>DOROTEA</t>
        </is>
      </c>
      <c r="I172" t="n">
        <v>20.1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46280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46280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45874</v>
      </c>
      <c r="E175" s="1" t="n">
        <v>46280</v>
      </c>
      <c r="F175" t="inlineStr">
        <is>
          <t>VÄSTERBOTTENS LÄN</t>
        </is>
      </c>
      <c r="G175" t="inlineStr">
        <is>
          <t>DOROTEA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48006-2023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45198</v>
      </c>
      <c r="E176" s="1" t="n">
        <v>46280</v>
      </c>
      <c r="F176" t="inlineStr">
        <is>
          <t>VÄSTERBOTTENS LÄN</t>
        </is>
      </c>
      <c r="G176" t="inlineStr">
        <is>
          <t>DOROTEA</t>
        </is>
      </c>
      <c r="H176" t="inlineStr">
        <is>
          <t>Övriga statliga verk och myndigheter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45874</v>
      </c>
      <c r="E177" s="1" t="n">
        <v>46280</v>
      </c>
      <c r="F177" t="inlineStr">
        <is>
          <t>VÄSTERBOTTENS LÄN</t>
        </is>
      </c>
      <c r="G177" t="inlineStr">
        <is>
          <t>DOROTEA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45875</v>
      </c>
      <c r="E178" s="1" t="n">
        <v>46280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45876</v>
      </c>
      <c r="E179" s="1" t="n">
        <v>46280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37476-2025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45877</v>
      </c>
      <c r="E180" s="1" t="n">
        <v>46280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46280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45882</v>
      </c>
      <c r="E182" s="1" t="n">
        <v>46280</v>
      </c>
      <c r="F182" t="inlineStr">
        <is>
          <t>VÄSTERBOTTENS LÄN</t>
        </is>
      </c>
      <c r="G182" t="inlineStr">
        <is>
          <t>DOROTEA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45539</v>
      </c>
      <c r="E183" s="1" t="n">
        <v>46280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45882</v>
      </c>
      <c r="E184" s="1" t="n">
        <v>46280</v>
      </c>
      <c r="F184" t="inlineStr">
        <is>
          <t>VÄSTERBOTTENS LÄN</t>
        </is>
      </c>
      <c r="G184" t="inlineStr">
        <is>
          <t>DOROTEA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45228</v>
      </c>
      <c r="E185" s="1" t="n">
        <v>46280</v>
      </c>
      <c r="F185" t="inlineStr">
        <is>
          <t>VÄSTERBOTTENS LÄN</t>
        </is>
      </c>
      <c r="G185" t="inlineStr">
        <is>
          <t>DOROTEA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45228</v>
      </c>
      <c r="E186" s="1" t="n">
        <v>46280</v>
      </c>
      <c r="F186" t="inlineStr">
        <is>
          <t>VÄSTERBOTTENS LÄN</t>
        </is>
      </c>
      <c r="G186" t="inlineStr">
        <is>
          <t>DOROTEA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45882</v>
      </c>
      <c r="E187" s="1" t="n">
        <v>46280</v>
      </c>
      <c r="F187" t="inlineStr">
        <is>
          <t>VÄSTERBOTTENS LÄN</t>
        </is>
      </c>
      <c r="G187" t="inlineStr">
        <is>
          <t>DOROTEA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45882</v>
      </c>
      <c r="E188" s="1" t="n">
        <v>46280</v>
      </c>
      <c r="F188" t="inlineStr">
        <is>
          <t>VÄSTERBOTTENS LÄN</t>
        </is>
      </c>
      <c r="G188" t="inlineStr">
        <is>
          <t>DOROTEA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45574</v>
      </c>
      <c r="E189" s="1" t="n">
        <v>46280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38227-2025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45883</v>
      </c>
      <c r="E190" s="1" t="n">
        <v>46280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46280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46280</v>
      </c>
      <c r="F192" t="inlineStr">
        <is>
          <t>VÄSTERBOTTENS LÄN</t>
        </is>
      </c>
      <c r="G192" t="inlineStr">
        <is>
          <t>DOROTEA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45712</v>
      </c>
      <c r="E193" s="1" t="n">
        <v>46280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46086</v>
      </c>
      <c r="E194" s="1" t="n">
        <v>46280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11817-2026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46280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45463</v>
      </c>
      <c r="E196" s="1" t="n">
        <v>46280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44582</v>
      </c>
      <c r="E197" s="1" t="n">
        <v>46280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46965-2024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45586</v>
      </c>
      <c r="E198" s="1" t="n">
        <v>46280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45013</v>
      </c>
      <c r="E199" s="1" t="n">
        <v>46280</v>
      </c>
      <c r="F199" t="inlineStr">
        <is>
          <t>VÄSTERBOTTENS LÄN</t>
        </is>
      </c>
      <c r="G199" t="inlineStr">
        <is>
          <t>DOROTEA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44742</v>
      </c>
      <c r="E200" s="1" t="n">
        <v>46280</v>
      </c>
      <c r="F200" t="inlineStr">
        <is>
          <t>VÄSTERBOTTENS LÄN</t>
        </is>
      </c>
      <c r="G200" t="inlineStr">
        <is>
          <t>DOROTEA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45852</v>
      </c>
      <c r="E201" s="1" t="n">
        <v>46280</v>
      </c>
      <c r="F201" t="inlineStr">
        <is>
          <t>VÄSTERBOTTENS LÄN</t>
        </is>
      </c>
      <c r="G201" t="inlineStr">
        <is>
          <t>DOROTEA</t>
        </is>
      </c>
      <c r="H201" t="inlineStr">
        <is>
          <t>Allmännings- och besparingsskogar</t>
        </is>
      </c>
      <c r="I201" t="n">
        <v>22.1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45852</v>
      </c>
      <c r="E202" s="1" t="n">
        <v>46280</v>
      </c>
      <c r="F202" t="inlineStr">
        <is>
          <t>VÄSTERBOTTENS LÄN</t>
        </is>
      </c>
      <c r="G202" t="inlineStr">
        <is>
          <t>DOROTEA</t>
        </is>
      </c>
      <c r="H202" t="inlineStr">
        <is>
          <t>Allmännings- och besparingsskogar</t>
        </is>
      </c>
      <c r="I202" t="n">
        <v>20.3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45755</v>
      </c>
      <c r="E203" s="1" t="n">
        <v>46280</v>
      </c>
      <c r="F203" t="inlineStr">
        <is>
          <t>VÄSTERBOTTENS LÄN</t>
        </is>
      </c>
      <c r="G203" t="inlineStr">
        <is>
          <t>DOROTEA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46280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45796</v>
      </c>
      <c r="E205" s="1" t="n">
        <v>46280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46280</v>
      </c>
      <c r="F206" t="inlineStr">
        <is>
          <t>VÄSTERBOTTENS LÄN</t>
        </is>
      </c>
      <c r="G206" t="inlineStr">
        <is>
          <t>DOROTEA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46104</v>
      </c>
      <c r="E207" s="1" t="n">
        <v>46280</v>
      </c>
      <c r="F207" t="inlineStr">
        <is>
          <t>VÄSTERBOTTENS LÄN</t>
        </is>
      </c>
      <c r="G207" t="inlineStr">
        <is>
          <t>DOROTEA</t>
        </is>
      </c>
      <c r="I207" t="n">
        <v>7.8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46280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46280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46280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46280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46280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46280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33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46114</v>
      </c>
      <c r="E214" s="1" t="n">
        <v>46280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16896-2026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46280</v>
      </c>
      <c r="F215" t="inlineStr">
        <is>
          <t>VÄSTERBOTTENS LÄN</t>
        </is>
      </c>
      <c r="G215" t="inlineStr">
        <is>
          <t>DOROTEA</t>
        </is>
      </c>
      <c r="H215" t="inlineStr">
        <is>
          <t>Kommuner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45356</v>
      </c>
      <c r="E216" s="1" t="n">
        <v>46280</v>
      </c>
      <c r="F216" t="inlineStr">
        <is>
          <t>VÄSTERBOTTENS LÄN</t>
        </is>
      </c>
      <c r="G216" t="inlineStr">
        <is>
          <t>DOROTEA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46280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46280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8.6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46280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27305-2024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45471</v>
      </c>
      <c r="E220" s="1" t="n">
        <v>46280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46126</v>
      </c>
      <c r="E221" s="1" t="n">
        <v>46280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46280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46280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46123</v>
      </c>
      <c r="E224" s="1" t="n">
        <v>46280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46280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18.3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46126</v>
      </c>
      <c r="E226" s="1" t="n">
        <v>46280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46280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46280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19298-2026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46133</v>
      </c>
      <c r="E229" s="1" t="n">
        <v>46280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46280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46280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45975</v>
      </c>
      <c r="E232" s="1" t="n">
        <v>46280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45975</v>
      </c>
      <c r="E233" s="1" t="n">
        <v>46280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45331</v>
      </c>
      <c r="E234" s="1" t="n">
        <v>46280</v>
      </c>
      <c r="F234" t="inlineStr">
        <is>
          <t>VÄSTERBOTTENS LÄN</t>
        </is>
      </c>
      <c r="G234" t="inlineStr">
        <is>
          <t>DOROTEA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45977</v>
      </c>
      <c r="E235" s="1" t="n">
        <v>46280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46280</v>
      </c>
      <c r="F236" t="inlineStr">
        <is>
          <t>VÄSTERBOTTENS LÄN</t>
        </is>
      </c>
      <c r="G236" t="inlineStr">
        <is>
          <t>DOROTEA</t>
        </is>
      </c>
      <c r="I236" t="n">
        <v>14.7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45978</v>
      </c>
      <c r="E237" s="1" t="n">
        <v>46280</v>
      </c>
      <c r="F237" t="inlineStr">
        <is>
          <t>VÄSTERBOTTENS LÄN</t>
        </is>
      </c>
      <c r="G237" t="inlineStr">
        <is>
          <t>DOROTEA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46280</v>
      </c>
      <c r="F238" t="inlineStr">
        <is>
          <t>VÄSTERBOTTENS LÄN</t>
        </is>
      </c>
      <c r="G238" t="inlineStr">
        <is>
          <t>DOROTEA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46280</v>
      </c>
      <c r="F239" t="inlineStr">
        <is>
          <t>VÄSTERBOTTENS LÄN</t>
        </is>
      </c>
      <c r="G239" t="inlineStr">
        <is>
          <t>DOROTEA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57431-2022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44889</v>
      </c>
      <c r="E240" s="1" t="n">
        <v>46280</v>
      </c>
      <c r="F240" t="inlineStr">
        <is>
          <t>VÄSTERBOTTENS LÄN</t>
        </is>
      </c>
      <c r="G240" t="inlineStr">
        <is>
          <t>DOROTEA</t>
        </is>
      </c>
      <c r="I240" t="n">
        <v>15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46280</v>
      </c>
      <c r="F241" t="inlineStr">
        <is>
          <t>VÄSTERBOTTENS LÄN</t>
        </is>
      </c>
      <c r="G241" t="inlineStr">
        <is>
          <t>DOROTEA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57380-2025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46280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46280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46280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7.4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45981</v>
      </c>
      <c r="E245" s="1" t="n">
        <v>46280</v>
      </c>
      <c r="F245" t="inlineStr">
        <is>
          <t>VÄSTERBOTTENS LÄN</t>
        </is>
      </c>
      <c r="G245" t="inlineStr">
        <is>
          <t>DOROTEA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46280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46280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44888</v>
      </c>
      <c r="E248" s="1" t="n">
        <v>46280</v>
      </c>
      <c r="F248" t="inlineStr">
        <is>
          <t>VÄSTERBOTTENS LÄN</t>
        </is>
      </c>
      <c r="G248" t="inlineStr">
        <is>
          <t>DOROTEA</t>
        </is>
      </c>
      <c r="I248" t="n">
        <v>15.8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45982</v>
      </c>
      <c r="E249" s="1" t="n">
        <v>46280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18.2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45705</v>
      </c>
      <c r="E250" s="1" t="n">
        <v>46280</v>
      </c>
      <c r="F250" t="inlineStr">
        <is>
          <t>VÄSTERBOTTENS LÄN</t>
        </is>
      </c>
      <c r="G250" t="inlineStr">
        <is>
          <t>DOROTEA</t>
        </is>
      </c>
      <c r="I250" t="n">
        <v>13.3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45986</v>
      </c>
      <c r="E251" s="1" t="n">
        <v>46280</v>
      </c>
      <c r="F251" t="inlineStr">
        <is>
          <t>VÄSTERBOTTENS LÄN</t>
        </is>
      </c>
      <c r="G251" t="inlineStr">
        <is>
          <t>DOROTEA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46280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45351</v>
      </c>
      <c r="E253" s="1" t="n">
        <v>46280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46280</v>
      </c>
      <c r="F254" t="inlineStr">
        <is>
          <t>VÄSTERBOTTENS LÄN</t>
        </is>
      </c>
      <c r="G254" t="inlineStr">
        <is>
          <t>DOROTEA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45988</v>
      </c>
      <c r="E255" s="1" t="n">
        <v>46280</v>
      </c>
      <c r="F255" t="inlineStr">
        <is>
          <t>VÄSTERBOTTENS LÄN</t>
        </is>
      </c>
      <c r="G255" t="inlineStr">
        <is>
          <t>DOROTEA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46280</v>
      </c>
      <c r="F256" t="inlineStr">
        <is>
          <t>VÄSTERBOTTENS LÄN</t>
        </is>
      </c>
      <c r="G256" t="inlineStr">
        <is>
          <t>DOROTEA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46136</v>
      </c>
      <c r="E257" s="1" t="n">
        <v>46280</v>
      </c>
      <c r="F257" t="inlineStr">
        <is>
          <t>VÄSTERBOTTENS LÄN</t>
        </is>
      </c>
      <c r="G257" t="inlineStr">
        <is>
          <t>DOROTEA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46280</v>
      </c>
      <c r="F258" t="inlineStr">
        <is>
          <t>VÄSTERBOTTENS LÄN</t>
        </is>
      </c>
      <c r="G258" t="inlineStr">
        <is>
          <t>DOROTEA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45140</v>
      </c>
      <c r="E259" s="1" t="n">
        <v>46280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35937-2025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45862</v>
      </c>
      <c r="E260" s="1" t="n">
        <v>46280</v>
      </c>
      <c r="F260" t="inlineStr">
        <is>
          <t>VÄSTERBOTTENS LÄN</t>
        </is>
      </c>
      <c r="G260" t="inlineStr">
        <is>
          <t>DOROTEA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46280</v>
      </c>
      <c r="F261" t="inlineStr">
        <is>
          <t>VÄSTERBOTTENS LÄN</t>
        </is>
      </c>
      <c r="G261" t="inlineStr">
        <is>
          <t>DOROTEA</t>
        </is>
      </c>
      <c r="I261" t="n">
        <v>23.9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46010</v>
      </c>
      <c r="E262" s="1" t="n">
        <v>46280</v>
      </c>
      <c r="F262" t="inlineStr">
        <is>
          <t>VÄSTERBOTTENS LÄN</t>
        </is>
      </c>
      <c r="G262" t="inlineStr">
        <is>
          <t>DOROTEA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46280</v>
      </c>
      <c r="F263" t="inlineStr">
        <is>
          <t>VÄSTERBOTTENS LÄN</t>
        </is>
      </c>
      <c r="G263" t="inlineStr">
        <is>
          <t>DOROTEA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59329-2025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45988</v>
      </c>
      <c r="E264" s="1" t="n">
        <v>46280</v>
      </c>
      <c r="F264" t="inlineStr">
        <is>
          <t>VÄSTERBOTTENS LÄN</t>
        </is>
      </c>
      <c r="G264" t="inlineStr">
        <is>
          <t>DOROTEA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46280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62193-2025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46003</v>
      </c>
      <c r="E266" s="1" t="n">
        <v>46280</v>
      </c>
      <c r="F266" t="inlineStr">
        <is>
          <t>VÄSTERBOTTENS LÄN</t>
        </is>
      </c>
      <c r="G266" t="inlineStr">
        <is>
          <t>DOROTEA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45142</v>
      </c>
      <c r="E267" s="1" t="n">
        <v>46280</v>
      </c>
      <c r="F267" t="inlineStr">
        <is>
          <t>VÄSTERBOTTENS LÄN</t>
        </is>
      </c>
      <c r="G267" t="inlineStr">
        <is>
          <t>DOROTEA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46280</v>
      </c>
      <c r="F268" t="inlineStr">
        <is>
          <t>VÄSTERBOTTENS LÄN</t>
        </is>
      </c>
      <c r="G268" t="inlineStr">
        <is>
          <t>DOROTEA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46280</v>
      </c>
      <c r="F269" t="inlineStr">
        <is>
          <t>VÄSTERBOTTENS LÄN</t>
        </is>
      </c>
      <c r="G269" t="inlineStr">
        <is>
          <t>DOROTEA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45611</v>
      </c>
      <c r="E270" s="1" t="n">
        <v>46280</v>
      </c>
      <c r="F270" t="inlineStr">
        <is>
          <t>VÄSTERBOTTENS LÄN</t>
        </is>
      </c>
      <c r="G270" t="inlineStr">
        <is>
          <t>DOROTEA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29454-2024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45483</v>
      </c>
      <c r="E271" s="1" t="n">
        <v>46280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45757</v>
      </c>
      <c r="E272" s="1" t="n">
        <v>46280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45098</v>
      </c>
      <c r="E273" s="1" t="n">
        <v>46280</v>
      </c>
      <c r="F273" t="inlineStr">
        <is>
          <t>VÄSTERBOTTENS LÄN</t>
        </is>
      </c>
      <c r="G273" t="inlineStr">
        <is>
          <t>DOROTEA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20286-2026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46280</v>
      </c>
      <c r="F274" t="inlineStr">
        <is>
          <t>VÄSTERBOTTENS LÄN</t>
        </is>
      </c>
      <c r="G274" t="inlineStr">
        <is>
          <t>DOROTEA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45295</v>
      </c>
      <c r="E275" s="1" t="n">
        <v>46280</v>
      </c>
      <c r="F275" t="inlineStr">
        <is>
          <t>VÄSTERBOTTENS LÄN</t>
        </is>
      </c>
      <c r="G275" t="inlineStr">
        <is>
          <t>DOROTEA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46280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37282-2025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45876</v>
      </c>
      <c r="E277" s="1" t="n">
        <v>46280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46136</v>
      </c>
      <c r="E278" s="1" t="n">
        <v>46280</v>
      </c>
      <c r="F278" t="inlineStr">
        <is>
          <t>VÄSTERBOTTENS LÄN</t>
        </is>
      </c>
      <c r="G278" t="inlineStr">
        <is>
          <t>DOROTEA</t>
        </is>
      </c>
      <c r="I278" t="n">
        <v>17.8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8095-2023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46280</v>
      </c>
      <c r="F279" t="inlineStr">
        <is>
          <t>VÄSTERBOTTENS LÄN</t>
        </is>
      </c>
      <c r="G279" t="inlineStr">
        <is>
          <t>DOROTEA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46280</v>
      </c>
      <c r="F280" t="inlineStr">
        <is>
          <t>VÄSTERBOTTENS LÄN</t>
        </is>
      </c>
      <c r="G280" t="inlineStr">
        <is>
          <t>DOROTEA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45770</v>
      </c>
      <c r="E281" s="1" t="n">
        <v>46280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46140</v>
      </c>
      <c r="E282" s="1" t="n">
        <v>46280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46280</v>
      </c>
      <c r="F283" t="inlineStr">
        <is>
          <t>VÄSTERBOTTENS LÄN</t>
        </is>
      </c>
      <c r="G283" t="inlineStr">
        <is>
          <t>DOROTEA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53272-2024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45614</v>
      </c>
      <c r="E284" s="1" t="n">
        <v>46280</v>
      </c>
      <c r="F284" t="inlineStr">
        <is>
          <t>VÄSTERBOTTENS LÄN</t>
        </is>
      </c>
      <c r="G284" t="inlineStr">
        <is>
          <t>DOROTEA</t>
        </is>
      </c>
      <c r="I284" t="n">
        <v>31.7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46280</v>
      </c>
      <c r="F285" t="inlineStr">
        <is>
          <t>VÄSTERBOTTENS LÄN</t>
        </is>
      </c>
      <c r="G285" t="inlineStr">
        <is>
          <t>DOROTEA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46280</v>
      </c>
      <c r="F286" t="inlineStr">
        <is>
          <t>VÄSTERBOTTENS LÄN</t>
        </is>
      </c>
      <c r="G286" t="inlineStr">
        <is>
          <t>DOROTEA</t>
        </is>
      </c>
      <c r="I286" t="n">
        <v>21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46280</v>
      </c>
      <c r="F287" t="inlineStr">
        <is>
          <t>VÄSTERBOTTENS LÄN</t>
        </is>
      </c>
      <c r="G287" t="inlineStr">
        <is>
          <t>DOROTEA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36096-2025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45866</v>
      </c>
      <c r="E288" s="1" t="n">
        <v>46280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46280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46280</v>
      </c>
      <c r="F290" t="inlineStr">
        <is>
          <t>VÄSTERBOTTENS LÄN</t>
        </is>
      </c>
      <c r="G290" t="inlineStr">
        <is>
          <t>DOROTEA</t>
        </is>
      </c>
      <c r="H290" t="inlineStr">
        <is>
          <t>Kommuner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45253</v>
      </c>
      <c r="E291" s="1" t="n">
        <v>46280</v>
      </c>
      <c r="F291" t="inlineStr">
        <is>
          <t>VÄSTERBOTTENS LÄN</t>
        </is>
      </c>
      <c r="G291" t="inlineStr">
        <is>
          <t>DOROTEA</t>
        </is>
      </c>
      <c r="I291" t="n">
        <v>28.8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46280</v>
      </c>
      <c r="F292" t="inlineStr">
        <is>
          <t>VÄSTERBOTTENS LÄN</t>
        </is>
      </c>
      <c r="G292" t="inlineStr">
        <is>
          <t>DOROTEA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7429-2023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44971</v>
      </c>
      <c r="E293" s="1" t="n">
        <v>46280</v>
      </c>
      <c r="F293" t="inlineStr">
        <is>
          <t>VÄSTERBOTTENS LÄN</t>
        </is>
      </c>
      <c r="G293" t="inlineStr">
        <is>
          <t>DOROTEA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46280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46147</v>
      </c>
      <c r="E295" s="1" t="n">
        <v>46280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21199-2026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46146</v>
      </c>
      <c r="E296" s="1" t="n">
        <v>46280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46147</v>
      </c>
      <c r="E297" s="1" t="n">
        <v>46280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46189</v>
      </c>
      <c r="E298" s="1" t="n">
        <v>46280</v>
      </c>
      <c r="F298" t="inlineStr">
        <is>
          <t>VÄSTERBOTTENS LÄN</t>
        </is>
      </c>
      <c r="G298" t="inlineStr">
        <is>
          <t>DOROTEA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46189</v>
      </c>
      <c r="E299" s="1" t="n">
        <v>46280</v>
      </c>
      <c r="F299" t="inlineStr">
        <is>
          <t>VÄSTERBOTTENS LÄN</t>
        </is>
      </c>
      <c r="G299" t="inlineStr">
        <is>
          <t>DOROTEA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46280</v>
      </c>
      <c r="F300" t="inlineStr">
        <is>
          <t>VÄSTERBOTTENS LÄN</t>
        </is>
      </c>
      <c r="G300" t="inlineStr">
        <is>
          <t>DOROTEA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46149</v>
      </c>
      <c r="E301" s="1" t="n">
        <v>46280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45747</v>
      </c>
      <c r="E302" s="1" t="n">
        <v>46280</v>
      </c>
      <c r="F302" t="inlineStr">
        <is>
          <t>VÄSTERBOTTENS LÄN</t>
        </is>
      </c>
      <c r="G302" t="inlineStr">
        <is>
          <t>DOROTEA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10402-2025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45720</v>
      </c>
      <c r="E303" s="1" t="n">
        <v>46280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21902-2026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46280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12.8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46280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46280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46280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44925</v>
      </c>
      <c r="E308" s="1" t="n">
        <v>46280</v>
      </c>
      <c r="F308" t="inlineStr">
        <is>
          <t>VÄSTERBOTTENS LÄN</t>
        </is>
      </c>
      <c r="G308" t="inlineStr">
        <is>
          <t>DOROTEA</t>
        </is>
      </c>
      <c r="I308" t="n">
        <v>22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46280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55888-2022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44888</v>
      </c>
      <c r="E310" s="1" t="n">
        <v>46280</v>
      </c>
      <c r="F310" t="inlineStr">
        <is>
          <t>VÄSTERBOTTENS LÄN</t>
        </is>
      </c>
      <c r="G310" t="inlineStr">
        <is>
          <t>DOROTEA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6621-2023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46280</v>
      </c>
      <c r="F311" t="inlineStr">
        <is>
          <t>VÄSTERBOTTENS LÄN</t>
        </is>
      </c>
      <c r="G311" t="inlineStr">
        <is>
          <t>DOROTEA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45882</v>
      </c>
      <c r="E312" s="1" t="n">
        <v>46280</v>
      </c>
      <c r="F312" t="inlineStr">
        <is>
          <t>VÄSTERBOTTENS LÄN</t>
        </is>
      </c>
      <c r="G312" t="inlineStr">
        <is>
          <t>DOROTEA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46280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45161</v>
      </c>
      <c r="E314" s="1" t="n">
        <v>46280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45505</v>
      </c>
      <c r="E315" s="1" t="n">
        <v>46280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46160</v>
      </c>
      <c r="E316" s="1" t="n">
        <v>46280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30461-2024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45491</v>
      </c>
      <c r="E317" s="1" t="n">
        <v>46280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45962</v>
      </c>
      <c r="E318" s="1" t="n">
        <v>46280</v>
      </c>
      <c r="F318" t="inlineStr">
        <is>
          <t>VÄSTERBOTTENS LÄN</t>
        </is>
      </c>
      <c r="G318" t="inlineStr">
        <is>
          <t>DOROTEA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46280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46280</v>
      </c>
      <c r="F320" t="inlineStr">
        <is>
          <t>VÄSTERBOTTENS LÄN</t>
        </is>
      </c>
      <c r="G320" t="inlineStr">
        <is>
          <t>DOROTEA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46280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23324-2026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46162</v>
      </c>
      <c r="E322" s="1" t="n">
        <v>46280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50582-2024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45600</v>
      </c>
      <c r="E323" s="1" t="n">
        <v>46280</v>
      </c>
      <c r="F323" t="inlineStr">
        <is>
          <t>VÄSTERBOTTENS LÄN</t>
        </is>
      </c>
      <c r="G323" t="inlineStr">
        <is>
          <t>DOROTEA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45069</v>
      </c>
      <c r="E324" s="1" t="n">
        <v>46280</v>
      </c>
      <c r="F324" t="inlineStr">
        <is>
          <t>VÄSTERBOTTENS LÄN</t>
        </is>
      </c>
      <c r="G324" t="inlineStr">
        <is>
          <t>DOROTEA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46280</v>
      </c>
      <c r="F325" t="inlineStr">
        <is>
          <t>VÄSTERBOTTENS LÄN</t>
        </is>
      </c>
      <c r="G325" t="inlineStr">
        <is>
          <t>DOROTEA</t>
        </is>
      </c>
      <c r="I325" t="n">
        <v>26.5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45642</v>
      </c>
      <c r="E326" s="1" t="n">
        <v>46280</v>
      </c>
      <c r="F326" t="inlineStr">
        <is>
          <t>VÄSTERBOTTENS LÄN</t>
        </is>
      </c>
      <c r="G326" t="inlineStr">
        <is>
          <t>DOROTEA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46280</v>
      </c>
      <c r="F327" t="inlineStr">
        <is>
          <t>VÄSTERBOTTENS LÄN</t>
        </is>
      </c>
      <c r="G327" t="inlineStr">
        <is>
          <t>DOROTEA</t>
        </is>
      </c>
      <c r="I327" t="n">
        <v>7.9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9103-2023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44979</v>
      </c>
      <c r="E328" s="1" t="n">
        <v>46280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46280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46280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46280</v>
      </c>
      <c r="F331" t="inlineStr">
        <is>
          <t>VÄSTERBOTTENS LÄN</t>
        </is>
      </c>
      <c r="G331" t="inlineStr">
        <is>
          <t>DOROTEA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46280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52393-2023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45224</v>
      </c>
      <c r="E333" s="1" t="n">
        <v>46280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45713</v>
      </c>
      <c r="E334" s="1" t="n">
        <v>46280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46280</v>
      </c>
      <c r="F335" t="inlineStr">
        <is>
          <t>VÄSTERBOTTENS LÄN</t>
        </is>
      </c>
      <c r="G335" t="inlineStr">
        <is>
          <t>DOROTEA</t>
        </is>
      </c>
      <c r="I335" t="n">
        <v>26.2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26124-2026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46280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26237-2026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46280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46280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46280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27738-2026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46191</v>
      </c>
      <c r="E340" s="1" t="n">
        <v>46280</v>
      </c>
      <c r="F340" t="inlineStr">
        <is>
          <t>VÄSTERBOTTENS LÄN</t>
        </is>
      </c>
      <c r="G340" t="inlineStr">
        <is>
          <t>DOROTEA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46195</v>
      </c>
      <c r="E341" s="1" t="n">
        <v>46280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28176-2026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46195</v>
      </c>
      <c r="E342" s="1" t="n">
        <v>46280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46280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49.5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46280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45217</v>
      </c>
      <c r="E345" s="1" t="n">
        <v>46280</v>
      </c>
      <c r="F345" t="inlineStr">
        <is>
          <t>VÄSTERBOTTENS LÄN</t>
        </is>
      </c>
      <c r="G345" t="inlineStr">
        <is>
          <t>DOROTEA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44974</v>
      </c>
      <c r="E346" s="1" t="n">
        <v>46280</v>
      </c>
      <c r="F346" t="inlineStr">
        <is>
          <t>VÄSTERBOTTENS LÄN</t>
        </is>
      </c>
      <c r="G346" t="inlineStr">
        <is>
          <t>DOROTEA</t>
        </is>
      </c>
      <c r="I346" t="n">
        <v>14.8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44956</v>
      </c>
      <c r="E347" s="1" t="n">
        <v>46280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46280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28741-2026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46198</v>
      </c>
      <c r="E349" s="1" t="n">
        <v>46280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46280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46247</v>
      </c>
      <c r="E351" s="1" t="n">
        <v>46280</v>
      </c>
      <c r="F351" t="inlineStr">
        <is>
          <t>VÄSTERBOTTENS LÄN</t>
        </is>
      </c>
      <c r="G351" t="inlineStr">
        <is>
          <t>DOROTEA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46209</v>
      </c>
      <c r="E352" s="1" t="n">
        <v>46280</v>
      </c>
      <c r="F352" t="inlineStr">
        <is>
          <t>VÄSTERBOTTENS LÄN</t>
        </is>
      </c>
      <c r="G352" t="inlineStr">
        <is>
          <t>DOROTEA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30078-2026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46280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46248</v>
      </c>
      <c r="E354" s="1" t="n">
        <v>46280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46206</v>
      </c>
      <c r="E355" s="1" t="n">
        <v>46280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34149-2026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46280</v>
      </c>
      <c r="F356" t="inlineStr">
        <is>
          <t>VÄSTERBOTTENS LÄN</t>
        </is>
      </c>
      <c r="G356" t="inlineStr">
        <is>
          <t>DOROTEA</t>
        </is>
      </c>
      <c r="I356" t="n">
        <v>11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46280</v>
      </c>
      <c r="F357" t="inlineStr">
        <is>
          <t>VÄSTERBOTTENS LÄN</t>
        </is>
      </c>
      <c r="G357" t="inlineStr">
        <is>
          <t>DOROTEA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34189-2026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46280</v>
      </c>
      <c r="F358" t="inlineStr">
        <is>
          <t>VÄSTERBOTTENS LÄN</t>
        </is>
      </c>
      <c r="G358" t="inlineStr">
        <is>
          <t>DOROTEA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46280</v>
      </c>
      <c r="F359" t="inlineStr">
        <is>
          <t>VÄSTERBOTTENS LÄN</t>
        </is>
      </c>
      <c r="G359" t="inlineStr">
        <is>
          <t>DOROTEA</t>
        </is>
      </c>
      <c r="I359" t="n">
        <v>13.6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41771-2024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45561</v>
      </c>
      <c r="E360" s="1" t="n">
        <v>46280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46211</v>
      </c>
      <c r="E361" s="1" t="n">
        <v>46280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60153-2024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45642</v>
      </c>
      <c r="E362" s="1" t="n">
        <v>46280</v>
      </c>
      <c r="F362" t="inlineStr">
        <is>
          <t>VÄSTERBOTTENS LÄN</t>
        </is>
      </c>
      <c r="G362" t="inlineStr">
        <is>
          <t>DOROTEA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45642</v>
      </c>
      <c r="E363" s="1" t="n">
        <v>46280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46212</v>
      </c>
      <c r="E364" s="1" t="n">
        <v>46280</v>
      </c>
      <c r="F364" t="inlineStr">
        <is>
          <t>VÄSTERBOTTENS LÄN</t>
        </is>
      </c>
      <c r="G364" t="inlineStr">
        <is>
          <t>DOROTEA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46280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46212</v>
      </c>
      <c r="E366" s="1" t="n">
        <v>46280</v>
      </c>
      <c r="F366" t="inlineStr">
        <is>
          <t>VÄSTERBOTTENS LÄN</t>
        </is>
      </c>
      <c r="G366" t="inlineStr">
        <is>
          <t>DOROTEA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46280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30740-2026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46211</v>
      </c>
      <c r="E368" s="1" t="n">
        <v>46280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46213</v>
      </c>
      <c r="E369" s="1" t="n">
        <v>46280</v>
      </c>
      <c r="F369" t="inlineStr">
        <is>
          <t>VÄSTERBOTTENS LÄN</t>
        </is>
      </c>
      <c r="G369" t="inlineStr">
        <is>
          <t>DOROTEA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46213</v>
      </c>
      <c r="E370" s="1" t="n">
        <v>46280</v>
      </c>
      <c r="F370" t="inlineStr">
        <is>
          <t>VÄSTERBOTTENS LÄN</t>
        </is>
      </c>
      <c r="G370" t="inlineStr">
        <is>
          <t>DOROTEA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31260-2026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46218</v>
      </c>
      <c r="E371" s="1" t="n">
        <v>46280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46261</v>
      </c>
      <c r="E372" s="1" t="n">
        <v>46280</v>
      </c>
      <c r="F372" t="inlineStr">
        <is>
          <t>VÄSTERBOTTENS LÄN</t>
        </is>
      </c>
      <c r="G372" t="inlineStr">
        <is>
          <t>DOROTEA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31302-2026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46218</v>
      </c>
      <c r="E373" s="1" t="n">
        <v>46280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31181-2026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46217</v>
      </c>
      <c r="E374" s="1" t="n">
        <v>46280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46261</v>
      </c>
      <c r="E375" s="1" t="n">
        <v>46280</v>
      </c>
      <c r="F375" t="inlineStr">
        <is>
          <t>VÄSTERBOTTENS LÄN</t>
        </is>
      </c>
      <c r="G375" t="inlineStr">
        <is>
          <t>DOROTEA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46217</v>
      </c>
      <c r="E376" s="1" t="n">
        <v>46280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46218</v>
      </c>
      <c r="E377" s="1" t="n">
        <v>46280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35296-2026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46261</v>
      </c>
      <c r="E378" s="1" t="n">
        <v>46280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46261</v>
      </c>
      <c r="E379" s="1" t="n">
        <v>46280</v>
      </c>
      <c r="F379" t="inlineStr">
        <is>
          <t>VÄSTERBOTTENS LÄN</t>
        </is>
      </c>
      <c r="G379" t="inlineStr">
        <is>
          <t>DOROTEA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46261</v>
      </c>
      <c r="E380" s="1" t="n">
        <v>46280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46220</v>
      </c>
      <c r="E381" s="1" t="n">
        <v>46280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10.1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46262</v>
      </c>
      <c r="E382" s="1" t="n">
        <v>46280</v>
      </c>
      <c r="F382" t="inlineStr">
        <is>
          <t>VÄSTERBOTTENS LÄN</t>
        </is>
      </c>
      <c r="G382" t="inlineStr">
        <is>
          <t>DOROTEA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44568</v>
      </c>
      <c r="E383" s="1" t="n">
        <v>46280</v>
      </c>
      <c r="F383" t="inlineStr">
        <is>
          <t>VÄSTERBOTTENS LÄN</t>
        </is>
      </c>
      <c r="G383" t="inlineStr">
        <is>
          <t>DOROTEA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12118-2025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45729</v>
      </c>
      <c r="E384" s="1" t="n">
        <v>46280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46224</v>
      </c>
      <c r="E385" s="1" t="n">
        <v>46280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46224</v>
      </c>
      <c r="E386" s="1" t="n">
        <v>46280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46224</v>
      </c>
      <c r="E387" s="1" t="n">
        <v>46280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36255-2026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46268</v>
      </c>
      <c r="E388" s="1" t="n">
        <v>46280</v>
      </c>
      <c r="F388" t="inlineStr">
        <is>
          <t>VÄSTERBOTTENS LÄN</t>
        </is>
      </c>
      <c r="G388" t="inlineStr">
        <is>
          <t>DOROTEA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32821-2024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45516</v>
      </c>
      <c r="E389" s="1" t="n">
        <v>46280</v>
      </c>
      <c r="F389" t="inlineStr">
        <is>
          <t>VÄSTERBOTTENS LÄN</t>
        </is>
      </c>
      <c r="G389" t="inlineStr">
        <is>
          <t>DOROTEA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10360-2023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44980</v>
      </c>
      <c r="E390" s="1" t="n">
        <v>46280</v>
      </c>
      <c r="F390" t="inlineStr">
        <is>
          <t>VÄSTERBOTTENS LÄN</t>
        </is>
      </c>
      <c r="G390" t="inlineStr">
        <is>
          <t>DOROTEA</t>
        </is>
      </c>
      <c r="I390" t="n">
        <v>18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45475</v>
      </c>
      <c r="E391" s="1" t="n">
        <v>46280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13.2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22946-2024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45448</v>
      </c>
      <c r="E392" s="1" t="n">
        <v>46280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45071</v>
      </c>
      <c r="E393" s="1" t="n">
        <v>46280</v>
      </c>
      <c r="F393" t="inlineStr">
        <is>
          <t>VÄSTERBOTTENS LÄN</t>
        </is>
      </c>
      <c r="G393" t="inlineStr">
        <is>
          <t>DOROTEA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15057-2024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45399</v>
      </c>
      <c r="E394" s="1" t="n">
        <v>46280</v>
      </c>
      <c r="F394" t="inlineStr">
        <is>
          <t>VÄSTERBOTTENS LÄN</t>
        </is>
      </c>
      <c r="G394" t="inlineStr">
        <is>
          <t>DOROTEA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57236-2022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44889</v>
      </c>
      <c r="E395" s="1" t="n">
        <v>46280</v>
      </c>
      <c r="F395" t="inlineStr">
        <is>
          <t>VÄSTERBOTTENS LÄN</t>
        </is>
      </c>
      <c r="G395" t="inlineStr">
        <is>
          <t>DOROTEA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67686-2021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44524</v>
      </c>
      <c r="E396" s="1" t="n">
        <v>46280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37826-2026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46279</v>
      </c>
      <c r="E397" s="1" t="n">
        <v>46280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45552</v>
      </c>
      <c r="E398" s="1" t="n">
        <v>46280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45149</v>
      </c>
      <c r="E399" s="1" t="n">
        <v>46280</v>
      </c>
      <c r="F399" t="inlineStr">
        <is>
          <t>VÄSTERBOTTENS LÄN</t>
        </is>
      </c>
      <c r="G399" t="inlineStr">
        <is>
          <t>DOROTEA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9102-2023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44979</v>
      </c>
      <c r="E400" s="1" t="n">
        <v>46280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30456-2022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44761</v>
      </c>
      <c r="E401" s="1" t="n">
        <v>46280</v>
      </c>
      <c r="F401" t="inlineStr">
        <is>
          <t>VÄSTERBOTTENS LÄN</t>
        </is>
      </c>
      <c r="G401" t="inlineStr">
        <is>
          <t>DOROTEA</t>
        </is>
      </c>
      <c r="I401" t="n">
        <v>10.6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45036</v>
      </c>
      <c r="E402" s="1" t="n">
        <v>46280</v>
      </c>
      <c r="F402" t="inlineStr">
        <is>
          <t>VÄSTERBOTTENS LÄN</t>
        </is>
      </c>
      <c r="G402" t="inlineStr">
        <is>
          <t>DOROTEA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14163-2024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45392</v>
      </c>
      <c r="E403" s="1" t="n">
        <v>46280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23213-2022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44719</v>
      </c>
      <c r="E404" s="1" t="n">
        <v>46280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40435-2023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45169</v>
      </c>
      <c r="E405" s="1" t="n">
        <v>46280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40434-2023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45169</v>
      </c>
      <c r="E406" s="1" t="n">
        <v>46280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4958-2023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44956</v>
      </c>
      <c r="E407" s="1" t="n">
        <v>46280</v>
      </c>
      <c r="F407" t="inlineStr">
        <is>
          <t>VÄSTERBOTTENS LÄN</t>
        </is>
      </c>
      <c r="G407" t="inlineStr">
        <is>
          <t>DOROTEA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41353-2022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44824</v>
      </c>
      <c r="E408" s="1" t="n">
        <v>46280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60304-2022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44910</v>
      </c>
      <c r="E409" s="1" t="n">
        <v>46280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27199-2024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45471</v>
      </c>
      <c r="E410" s="1" t="n">
        <v>46280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39471-2024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45551</v>
      </c>
      <c r="E411" s="1" t="n">
        <v>46280</v>
      </c>
      <c r="F411" t="inlineStr">
        <is>
          <t>VÄSTERBOTTENS LÄN</t>
        </is>
      </c>
      <c r="G411" t="inlineStr">
        <is>
          <t>DOROTEA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20759-2023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45055</v>
      </c>
      <c r="E412" s="1" t="n">
        <v>46280</v>
      </c>
      <c r="F412" t="inlineStr">
        <is>
          <t>VÄSTERBOTTENS LÄN</t>
        </is>
      </c>
      <c r="G412" t="inlineStr">
        <is>
          <t>DOROTEA</t>
        </is>
      </c>
      <c r="H412" t="inlineStr">
        <is>
          <t>Övriga statliga verk och myndigheter</t>
        </is>
      </c>
      <c r="I412" t="n">
        <v>13.9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40438-2023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45169</v>
      </c>
      <c r="E413" s="1" t="n">
        <v>46280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45315</v>
      </c>
      <c r="E414" s="1" t="n">
        <v>46280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19726-2025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45771</v>
      </c>
      <c r="E415" s="1" t="n">
        <v>46280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46280</v>
      </c>
      <c r="F416" t="inlineStr">
        <is>
          <t>VÄSTERBOTTENS LÄN</t>
        </is>
      </c>
      <c r="G416" t="inlineStr">
        <is>
          <t>DOROTEA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74013-2021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44557</v>
      </c>
      <c r="E417" s="1" t="n">
        <v>46280</v>
      </c>
      <c r="F417" t="inlineStr">
        <is>
          <t>VÄSTERBOTTENS LÄN</t>
        </is>
      </c>
      <c r="G417" t="inlineStr">
        <is>
          <t>DOROTEA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57794-2023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46280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42484-2024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45565</v>
      </c>
      <c r="E419" s="1" t="n">
        <v>46280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55919-2023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45239</v>
      </c>
      <c r="E420" s="1" t="n">
        <v>46280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42228-2024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45562</v>
      </c>
      <c r="E421" s="1" t="n">
        <v>46280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7.7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45223</v>
      </c>
      <c r="E422" s="1" t="n">
        <v>46280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47494-2023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45202</v>
      </c>
      <c r="E423" s="1" t="n">
        <v>46280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22942-2024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45448</v>
      </c>
      <c r="E424" s="1" t="n">
        <v>46280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17783-2023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45036</v>
      </c>
      <c r="E425" s="1" t="n">
        <v>46280</v>
      </c>
      <c r="F425" t="inlineStr">
        <is>
          <t>VÄSTERBOTTENS LÄN</t>
        </is>
      </c>
      <c r="G425" t="inlineStr">
        <is>
          <t>DOROTEA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42473-2024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45565</v>
      </c>
      <c r="E426" s="1" t="n">
        <v>46280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57070-2023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45244</v>
      </c>
      <c r="E427" s="1" t="n">
        <v>46280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45636</v>
      </c>
      <c r="E428" s="1" t="n">
        <v>46280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22944-2024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45448</v>
      </c>
      <c r="E429" s="1" t="n">
        <v>46280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13170-2025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45735</v>
      </c>
      <c r="E430" s="1" t="n">
        <v>46280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42889-2024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46280</v>
      </c>
      <c r="F431" t="inlineStr">
        <is>
          <t>VÄSTERBOTTENS LÄN</t>
        </is>
      </c>
      <c r="G431" t="inlineStr">
        <is>
          <t>DOROTEA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44942</v>
      </c>
      <c r="E432" s="1" t="n">
        <v>46280</v>
      </c>
      <c r="F432" t="inlineStr">
        <is>
          <t>VÄSTERBOTTENS LÄN</t>
        </is>
      </c>
      <c r="G432" t="inlineStr">
        <is>
          <t>DOROTEA</t>
        </is>
      </c>
      <c r="I432" t="n">
        <v>22.7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58313-2024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46280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33372-2024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45519</v>
      </c>
      <c r="E434" s="1" t="n">
        <v>46280</v>
      </c>
      <c r="F434" t="inlineStr">
        <is>
          <t>VÄSTERBOTTENS LÄN</t>
        </is>
      </c>
      <c r="G434" t="inlineStr">
        <is>
          <t>DOROTEA</t>
        </is>
      </c>
      <c r="I434" t="n">
        <v>8.9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14320-2024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45393</v>
      </c>
      <c r="E435" s="1" t="n">
        <v>46280</v>
      </c>
      <c r="F435" t="inlineStr">
        <is>
          <t>VÄSTERBOTTENS LÄN</t>
        </is>
      </c>
      <c r="G435" t="inlineStr">
        <is>
          <t>DOROTEA</t>
        </is>
      </c>
      <c r="I435" t="n">
        <v>10.2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59418-2023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45253</v>
      </c>
      <c r="E436" s="1" t="n">
        <v>46280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7.6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45111</v>
      </c>
      <c r="E437" s="1" t="n">
        <v>46280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42515-2023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46280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27.7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46280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4617-2023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44956</v>
      </c>
      <c r="E440" s="1" t="n">
        <v>46280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56807-2021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44481</v>
      </c>
      <c r="E441" s="1" t="n">
        <v>46280</v>
      </c>
      <c r="F441" t="inlineStr">
        <is>
          <t>VÄSTERBOTTENS LÄN</t>
        </is>
      </c>
      <c r="G441" t="inlineStr">
        <is>
          <t>DOROTEA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59395-2023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46280</v>
      </c>
      <c r="F442" t="inlineStr">
        <is>
          <t>VÄSTERBOTTENS LÄN</t>
        </is>
      </c>
      <c r="G442" t="inlineStr">
        <is>
          <t>DOROTEA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45253</v>
      </c>
      <c r="E443" s="1" t="n">
        <v>46280</v>
      </c>
      <c r="F443" t="inlineStr">
        <is>
          <t>VÄSTERBOTTENS LÄN</t>
        </is>
      </c>
      <c r="G443" t="inlineStr">
        <is>
          <t>DOROTEA</t>
        </is>
      </c>
      <c r="I443" t="n">
        <v>8.5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35990-2023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45148</v>
      </c>
      <c r="E444" s="1" t="n">
        <v>46280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46818-2023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45198</v>
      </c>
      <c r="E445" s="1" t="n">
        <v>46280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57955-2021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44484</v>
      </c>
      <c r="E446" s="1" t="n">
        <v>46280</v>
      </c>
      <c r="F446" t="inlineStr">
        <is>
          <t>VÄSTERBOTTENS LÄN</t>
        </is>
      </c>
      <c r="G446" t="inlineStr">
        <is>
          <t>DOROTEA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57071-2023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46280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60145-2021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44494</v>
      </c>
      <c r="E448" s="1" t="n">
        <v>46280</v>
      </c>
      <c r="F448" t="inlineStr">
        <is>
          <t>VÄSTERBOTTENS LÄN</t>
        </is>
      </c>
      <c r="G448" t="inlineStr">
        <is>
          <t>DOROTEA</t>
        </is>
      </c>
      <c r="I448" t="n">
        <v>13.3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28549-2023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46280</v>
      </c>
      <c r="F449" t="inlineStr">
        <is>
          <t>VÄSTERBOTTENS LÄN</t>
        </is>
      </c>
      <c r="G449" t="inlineStr">
        <is>
          <t>DOROTEA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46817-2022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44848</v>
      </c>
      <c r="E450" s="1" t="n">
        <v>46280</v>
      </c>
      <c r="F450" t="inlineStr">
        <is>
          <t>VÄSTERBOTTENS LÄN</t>
        </is>
      </c>
      <c r="G450" t="inlineStr">
        <is>
          <t>DOROTEA</t>
        </is>
      </c>
      <c r="I450" t="n">
        <v>29.8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45385</v>
      </c>
      <c r="E451" s="1" t="n">
        <v>46280</v>
      </c>
      <c r="F451" t="inlineStr">
        <is>
          <t>VÄSTERBOTTENS LÄN</t>
        </is>
      </c>
      <c r="G451" t="inlineStr">
        <is>
          <t>DOROTEA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46966-2024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45586</v>
      </c>
      <c r="E452" s="1" t="n">
        <v>46280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Sveaskog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45075</v>
      </c>
      <c r="E453" s="1" t="n">
        <v>46280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28717-2022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44748</v>
      </c>
      <c r="E454" s="1" t="n">
        <v>46280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45488</v>
      </c>
      <c r="E455" s="1" t="n">
        <v>46280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43092-2023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45182</v>
      </c>
      <c r="E456" s="1" t="n">
        <v>46280</v>
      </c>
      <c r="F456" t="inlineStr">
        <is>
          <t>VÄSTERBOTTENS LÄN</t>
        </is>
      </c>
      <c r="G456" t="inlineStr">
        <is>
          <t>DOROTEA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45734</v>
      </c>
      <c r="E457" s="1" t="n">
        <v>46280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43944-2024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46280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45478</v>
      </c>
      <c r="E459" s="1" t="n">
        <v>46280</v>
      </c>
      <c r="F459" t="inlineStr">
        <is>
          <t>VÄSTERBOTTENS LÄN</t>
        </is>
      </c>
      <c r="G459" t="inlineStr">
        <is>
          <t>DOROTEA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53382-2024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45614</v>
      </c>
      <c r="E460" s="1" t="n">
        <v>46280</v>
      </c>
      <c r="F460" t="inlineStr">
        <is>
          <t>VÄSTERBOTTENS LÄN</t>
        </is>
      </c>
      <c r="G460" t="inlineStr">
        <is>
          <t>DOROTEA</t>
        </is>
      </c>
      <c r="I460" t="n">
        <v>11.2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42104-2024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45562</v>
      </c>
      <c r="E461" s="1" t="n">
        <v>46280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22774-2025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45789</v>
      </c>
      <c r="E462" s="1" t="n">
        <v>46280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13451-2022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44645</v>
      </c>
      <c r="E463" s="1" t="n">
        <v>46280</v>
      </c>
      <c r="F463" t="inlineStr">
        <is>
          <t>VÄSTERBOTTENS LÄN</t>
        </is>
      </c>
      <c r="G463" t="inlineStr">
        <is>
          <t>DOROTEA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19889-2025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45771</v>
      </c>
      <c r="E464" s="1" t="n">
        <v>46280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46280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46280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46280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46280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46280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46280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1763-2026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46189</v>
      </c>
      <c r="E471" s="1" t="n">
        <v>46280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2407-2026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46279</v>
      </c>
      <c r="E472" s="1" t="n">
        <v>46280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2026-09-15T08:13:50Z</dcterms:created>
  <dcterms:modified xmlns:dcterms="http://purl.org/dc/terms/" xmlns:xsi="http://www.w3.org/2001/XMLSchema-instance" xsi:type="dcterms:W3CDTF">2026-09-15T08:13:50Z</dcterms:modified>
</cp:coreProperties>
</file>