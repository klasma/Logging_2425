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46297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4</v>
      </c>
      <c r="K2" t="n">
        <v>5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22</v>
      </c>
      <c r="T2" t="n">
        <v>54</v>
      </c>
      <c r="U2" t="n">
        <v>48</v>
      </c>
      <c r="V2" s="2" t="inlineStr">
        <is>
          <t>Garnlav
Ostticka
Doftskinn
Gammelgransskål
Harticka
Lunglav
Rynkskinn
Skrovellav
Vitgrynig nållav
Bårdlav
Skinnlav
Spindelblomster
Stuplav
Vedticka
Ekbräken
Hultbräken
Linnea
Majbräken
Spillkråka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  <c r="AE2">
        <f>HYPERLINK("https://klasma.github.io/Logging_2425/fåglar/A 28716-2023 prioriterade fågelarter.docx", "A 28716-2023")</f>
        <v/>
      </c>
    </row>
    <row r="3" ht="15" customHeight="1">
      <c r="A3" t="inlineStr">
        <is>
          <t>A 17180-2024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45412</v>
      </c>
      <c r="E3" s="1" t="n">
        <v>46297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5.6</v>
      </c>
      <c r="J3" t="n">
        <v>4</v>
      </c>
      <c r="K3" t="n">
        <v>5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14</v>
      </c>
      <c r="T3" t="n">
        <v>29</v>
      </c>
      <c r="U3" t="n">
        <v>29</v>
      </c>
      <c r="V3" s="2" t="inlineStr">
        <is>
          <t>Garnlav
Knärot
Harticka
Liten svartspik
Lunglav
Skrovellav
Ullticka
Vitgrynig nållav
Guckusko
Kransrams
Luddlav
Spindelblomster
Stor aspticka
Fläcknycklar</t>
        </is>
      </c>
      <c r="W3">
        <f>HYPERLINK("https://klasma.github.io/Logging_2425/artfynd/A 17180-2024 artfynd.xlsx", "A 17180-2024")</f>
        <v/>
      </c>
      <c r="X3">
        <f>HYPERLINK("https://klasma.github.io/Logging_2425/kartor/A 17180-2024 karta.png", "A 17180-2024")</f>
        <v/>
      </c>
      <c r="Y3">
        <f>HYPERLINK("https://klasma.github.io/Logging_2425/kartor_geotiff/A 17180-2024 georefererad karta.tif", "A 17180-2024")</f>
        <v/>
      </c>
      <c r="Z3">
        <f>HYPERLINK("https://klasma.github.io/Logging_2425/knärot/A 17180-2024 karta knärot.png", "A 17180-2024")</f>
        <v/>
      </c>
      <c r="AA3">
        <f>HYPERLINK("https://klasma.github.io/Logging_2425/klagomål/A 17180-2024 FSC-klagomål.docx", "A 17180-2024")</f>
        <v/>
      </c>
      <c r="AB3">
        <f>HYPERLINK("https://klasma.github.io/Logging_2425/klagomålsmail/A 17180-2024 FSC-klagomål mail.docx", "A 17180-2024")</f>
        <v/>
      </c>
      <c r="AC3">
        <f>HYPERLINK("https://klasma.github.io/Logging_2425/tillsyn/A 17180-2024 tillsynsbegäran.docx", "A 17180-2024")</f>
        <v/>
      </c>
      <c r="AD3">
        <f>HYPERLINK("https://klasma.github.io/Logging_2425/tillsynsmail/A 17180-2024 tillsynsbegäran mail.docx", "A 17180-2024")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46297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46297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46297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19331-2024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45428</v>
      </c>
      <c r="E7" s="1" t="n">
        <v>46297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21.7</v>
      </c>
      <c r="J7" t="n">
        <v>1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72</v>
      </c>
      <c r="U7" t="n">
        <v>71</v>
      </c>
      <c r="V7" s="2" t="inlineStr">
        <is>
          <t>Garnlav
Lunglav
Skrovellav
Tretåig hackspett
Bårdlav
Luddlav
Stuplav</t>
        </is>
      </c>
      <c r="W7">
        <f>HYPERLINK("https://klasma.github.io/Logging_2425/artfynd/A 19331-2024 artfynd.xlsx", "A 19331-2024")</f>
        <v/>
      </c>
      <c r="X7">
        <f>HYPERLINK("https://klasma.github.io/Logging_2425/kartor/A 19331-2024 karta.png", "A 19331-2024")</f>
        <v/>
      </c>
      <c r="Y7">
        <f>HYPERLINK("https://klasma.github.io/Logging_2425/kartor_geotiff/A 19331-2024 georefererad karta.tif", "A 19331-2024")</f>
        <v/>
      </c>
      <c r="AA7">
        <f>HYPERLINK("https://klasma.github.io/Logging_2425/klagomål/A 19331-2024 FSC-klagomål.docx", "A 19331-2024")</f>
        <v/>
      </c>
      <c r="AB7">
        <f>HYPERLINK("https://klasma.github.io/Logging_2425/klagomålsmail/A 19331-2024 FSC-klagomål mail.docx", "A 19331-2024")</f>
        <v/>
      </c>
      <c r="AC7">
        <f>HYPERLINK("https://klasma.github.io/Logging_2425/tillsyn/A 19331-2024 tillsynsbegäran.docx", "A 19331-2024")</f>
        <v/>
      </c>
      <c r="AD7">
        <f>HYPERLINK("https://klasma.github.io/Logging_2425/tillsynsmail/A 19331-2024 tillsynsbegäran mail.docx", "A 19331-2024")</f>
        <v/>
      </c>
      <c r="AE7">
        <f>HYPERLINK("https://klasma.github.io/Logging_2425/fåglar/A 19331-2024 prioriterade fågelarter.docx", "A 19331-2024")</f>
        <v/>
      </c>
    </row>
    <row r="8" ht="15" customHeight="1">
      <c r="A8" t="inlineStr">
        <is>
          <t>A 57059-2024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45629</v>
      </c>
      <c r="E8" s="1" t="n">
        <v>46297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7.5</v>
      </c>
      <c r="J8" t="n">
        <v>0</v>
      </c>
      <c r="K8" t="n">
        <v>2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Harticka
Lunglav
Skrovellav
Vitgrynig nållav
Barkticka
Luddlav</t>
        </is>
      </c>
      <c r="W8">
        <f>HYPERLINK("https://klasma.github.io/Logging_2425/artfynd/A 57059-2024 artfynd.xlsx", "A 57059-2024")</f>
        <v/>
      </c>
      <c r="X8">
        <f>HYPERLINK("https://klasma.github.io/Logging_2425/kartor/A 57059-2024 karta.png", "A 57059-2024")</f>
        <v/>
      </c>
      <c r="Y8">
        <f>HYPERLINK("https://klasma.github.io/Logging_2425/kartor_geotiff/A 57059-2024 georefererad karta.tif", "A 57059-2024")</f>
        <v/>
      </c>
      <c r="AA8">
        <f>HYPERLINK("https://klasma.github.io/Logging_2425/klagomål/A 57059-2024 FSC-klagomål.docx", "A 57059-2024")</f>
        <v/>
      </c>
      <c r="AB8">
        <f>HYPERLINK("https://klasma.github.io/Logging_2425/klagomålsmail/A 57059-2024 FSC-klagomål mail.docx", "A 57059-2024")</f>
        <v/>
      </c>
      <c r="AC8">
        <f>HYPERLINK("https://klasma.github.io/Logging_2425/tillsyn/A 57059-2024 tillsynsbegäran.docx", "A 57059-2024")</f>
        <v/>
      </c>
      <c r="AD8">
        <f>HYPERLINK("https://klasma.github.io/Logging_2425/tillsynsmail/A 57059-2024 tillsynsbegäran mail.docx", "A 57059-2024")</f>
        <v/>
      </c>
    </row>
    <row r="9" ht="15" customHeight="1">
      <c r="A9" t="inlineStr">
        <is>
          <t>A 33655-2023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45119</v>
      </c>
      <c r="E9" s="1" t="n">
        <v>46297</v>
      </c>
      <c r="F9" t="inlineStr">
        <is>
          <t>VÄSTERBOTTENS LÄN</t>
        </is>
      </c>
      <c r="G9" t="inlineStr">
        <is>
          <t>DOROTEA</t>
        </is>
      </c>
      <c r="H9" t="inlineStr">
        <is>
          <t>Allmännings- och besparingsskogar</t>
        </is>
      </c>
      <c r="I9" t="n">
        <v>21.4</v>
      </c>
      <c r="J9" t="n">
        <v>0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6</v>
      </c>
      <c r="T9" t="n">
        <v>12</v>
      </c>
      <c r="U9" t="n">
        <v>12</v>
      </c>
      <c r="V9" s="2" t="inlineStr">
        <is>
          <t>Garnlav
Fjällig taggsvamp s.str.
Harticka
Rosenticka
Ullticka
Trådticka</t>
        </is>
      </c>
      <c r="W9">
        <f>HYPERLINK("https://klasma.github.io/Logging_2425/artfynd/A 33655-2023 artfynd.xlsx", "A 33655-2023")</f>
        <v/>
      </c>
      <c r="X9">
        <f>HYPERLINK("https://klasma.github.io/Logging_2425/kartor/A 33655-2023 karta.png", "A 33655-2023")</f>
        <v/>
      </c>
      <c r="Y9">
        <f>HYPERLINK("https://klasma.github.io/Logging_2425/kartor_geotiff/A 33655-2023 georefererad karta.tif", "A 33655-2023")</f>
        <v/>
      </c>
      <c r="AA9">
        <f>HYPERLINK("https://klasma.github.io/Logging_2425/klagomål/A 33655-2023 FSC-klagomål.docx", "A 33655-2023")</f>
        <v/>
      </c>
      <c r="AB9">
        <f>HYPERLINK("https://klasma.github.io/Logging_2425/klagomålsmail/A 33655-2023 FSC-klagomål mail.docx", "A 33655-2023")</f>
        <v/>
      </c>
      <c r="AC9">
        <f>HYPERLINK("https://klasma.github.io/Logging_2425/tillsyn/A 33655-2023 tillsynsbegäran.docx", "A 33655-2023")</f>
        <v/>
      </c>
      <c r="AD9">
        <f>HYPERLINK("https://klasma.github.io/Logging_2425/tillsynsmail/A 33655-2023 tillsynsbegäran mail.docx", "A 33655-2023")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46297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46297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46297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47955-2022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44853</v>
      </c>
      <c r="E13" s="1" t="n">
        <v>46297</v>
      </c>
      <c r="F13" t="inlineStr">
        <is>
          <t>VÄSTERBOTTENS LÄN</t>
        </is>
      </c>
      <c r="G13" t="inlineStr">
        <is>
          <t>DOROTEA</t>
        </is>
      </c>
      <c r="I13" t="n">
        <v>16.3</v>
      </c>
      <c r="J13" t="n">
        <v>1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7</v>
      </c>
      <c r="U13" t="n">
        <v>7</v>
      </c>
      <c r="V13" s="2" t="inlineStr">
        <is>
          <t>Gränsticka
Doftskinn
Harticka
Tretåig hackspett
Ullticka</t>
        </is>
      </c>
      <c r="W13">
        <f>HYPERLINK("https://klasma.github.io/Logging_2425/artfynd/A 47955-2022 artfynd.xlsx", "A 47955-2022")</f>
        <v/>
      </c>
      <c r="X13">
        <f>HYPERLINK("https://klasma.github.io/Logging_2425/kartor/A 47955-2022 karta.png", "A 47955-2022")</f>
        <v/>
      </c>
      <c r="Y13">
        <f>HYPERLINK("https://klasma.github.io/Logging_2425/kartor_geotiff/A 47955-2022 georefererad karta.tif", "A 47955-2022")</f>
        <v/>
      </c>
      <c r="AA13">
        <f>HYPERLINK("https://klasma.github.io/Logging_2425/klagomål/A 47955-2022 FSC-klagomål.docx", "A 47955-2022")</f>
        <v/>
      </c>
      <c r="AB13">
        <f>HYPERLINK("https://klasma.github.io/Logging_2425/klagomålsmail/A 47955-2022 FSC-klagomål mail.docx", "A 47955-2022")</f>
        <v/>
      </c>
      <c r="AC13">
        <f>HYPERLINK("https://klasma.github.io/Logging_2425/tillsyn/A 47955-2022 tillsynsbegäran.docx", "A 47955-2022")</f>
        <v/>
      </c>
      <c r="AD13">
        <f>HYPERLINK("https://klasma.github.io/Logging_2425/tillsynsmail/A 47955-2022 tillsynsbegäran mail.docx", "A 47955-2022")</f>
        <v/>
      </c>
      <c r="AE13">
        <f>HYPERLINK("https://klasma.github.io/Logging_2425/fåglar/A 47955-2022 prioriterade fågelarter.docx", "A 47955-2022")</f>
        <v/>
      </c>
    </row>
    <row r="14" ht="15" customHeight="1">
      <c r="A14" t="inlineStr">
        <is>
          <t>A 52738-2023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45225</v>
      </c>
      <c r="E14" s="1" t="n">
        <v>46297</v>
      </c>
      <c r="F14" t="inlineStr">
        <is>
          <t>VÄSTERBOTTENS LÄN</t>
        </is>
      </c>
      <c r="G14" t="inlineStr">
        <is>
          <t>DOROTEA</t>
        </is>
      </c>
      <c r="H14" t="inlineStr">
        <is>
          <t>SCA</t>
        </is>
      </c>
      <c r="I14" t="n">
        <v>8.800000000000001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7</v>
      </c>
      <c r="U14" t="n">
        <v>5</v>
      </c>
      <c r="V14" s="2" t="inlineStr">
        <is>
          <t>Doftticka
Vitgrynig nållav
Trådticka
Tjäder
Orre</t>
        </is>
      </c>
      <c r="W14">
        <f>HYPERLINK("https://klasma.github.io/Logging_2425/artfynd/A 52738-2023 artfynd.xlsx", "A 52738-2023")</f>
        <v/>
      </c>
      <c r="X14">
        <f>HYPERLINK("https://klasma.github.io/Logging_2425/kartor/A 52738-2023 karta.png", "A 52738-2023")</f>
        <v/>
      </c>
      <c r="Y14">
        <f>HYPERLINK("https://klasma.github.io/Logging_2425/kartor_geotiff/A 52738-2023 georefererad karta.tif", "A 52738-2023")</f>
        <v/>
      </c>
      <c r="AA14">
        <f>HYPERLINK("https://klasma.github.io/Logging_2425/klagomål/A 52738-2023 FSC-klagomål.docx", "A 52738-2023")</f>
        <v/>
      </c>
      <c r="AB14">
        <f>HYPERLINK("https://klasma.github.io/Logging_2425/klagomålsmail/A 52738-2023 FSC-klagomål mail.docx", "A 52738-2023")</f>
        <v/>
      </c>
      <c r="AC14">
        <f>HYPERLINK("https://klasma.github.io/Logging_2425/tillsyn/A 52738-2023 tillsynsbegäran.docx", "A 52738-2023")</f>
        <v/>
      </c>
      <c r="AD14">
        <f>HYPERLINK("https://klasma.github.io/Logging_2425/tillsynsmail/A 52738-2023 tillsynsbegäran mail.docx", "A 52738-2023")</f>
        <v/>
      </c>
      <c r="AE14">
        <f>HYPERLINK("https://klasma.github.io/Logging_2425/fåglar/A 52738-2023 prioriterade fågelarter.docx", "A 52738-2023")</f>
        <v/>
      </c>
    </row>
    <row r="15" ht="15" customHeight="1">
      <c r="A15" t="inlineStr">
        <is>
          <t>A 30755-2026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46297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2.5</v>
      </c>
      <c r="J15" t="n">
        <v>1</v>
      </c>
      <c r="K15" t="n">
        <v>3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Gammelgransskål
Rynkskinn
Plattlummer
Skinnlav
Stuplav</t>
        </is>
      </c>
      <c r="W15">
        <f>HYPERLINK("https://klasma.github.io/Logging_2425/artfynd/A 30755-2026 artfynd.xlsx", "A 30755-2026")</f>
        <v/>
      </c>
      <c r="X15">
        <f>HYPERLINK("https://klasma.github.io/Logging_2425/kartor/A 30755-2026 karta.png", "A 30755-2026")</f>
        <v/>
      </c>
      <c r="Y15">
        <f>HYPERLINK("https://klasma.github.io/Logging_2425/kartor_geotiff/A 30755-2026 georefererad karta.tif", "A 30755-2026")</f>
        <v/>
      </c>
      <c r="AA15">
        <f>HYPERLINK("https://klasma.github.io/Logging_2425/klagomål/A 30755-2026 FSC-klagomål.docx", "A 30755-2026")</f>
        <v/>
      </c>
      <c r="AB15">
        <f>HYPERLINK("https://klasma.github.io/Logging_2425/klagomålsmail/A 30755-2026 FSC-klagomål mail.docx", "A 30755-2026")</f>
        <v/>
      </c>
      <c r="AC15">
        <f>HYPERLINK("https://klasma.github.io/Logging_2425/tillsyn/A 30755-2026 tillsynsbegäran.docx", "A 30755-2026")</f>
        <v/>
      </c>
      <c r="AD15">
        <f>HYPERLINK("https://klasma.github.io/Logging_2425/tillsynsmail/A 30755-2026 tillsynsbegäran mail.docx", "A 30755-2026")</f>
        <v/>
      </c>
    </row>
    <row r="16" ht="15" customHeight="1">
      <c r="A16" t="inlineStr">
        <is>
          <t>A 28671-2026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46198</v>
      </c>
      <c r="E16" s="1" t="n">
        <v>46297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27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Ostticka
Rosenticka
Skinnlav
Stuplav</t>
        </is>
      </c>
      <c r="W16">
        <f>HYPERLINK("https://klasma.github.io/Logging_2425/artfynd/A 28671-2026 artfynd.xlsx", "A 28671-2026")</f>
        <v/>
      </c>
      <c r="X16">
        <f>HYPERLINK("https://klasma.github.io/Logging_2425/kartor/A 28671-2026 karta.png", "A 28671-2026")</f>
        <v/>
      </c>
      <c r="Y16">
        <f>HYPERLINK("https://klasma.github.io/Logging_2425/kartor_geotiff/A 28671-2026 georefererad karta.tif", "A 28671-2026")</f>
        <v/>
      </c>
      <c r="AA16">
        <f>HYPERLINK("https://klasma.github.io/Logging_2425/klagomål/A 28671-2026 FSC-klagomål.docx", "A 28671-2026")</f>
        <v/>
      </c>
      <c r="AB16">
        <f>HYPERLINK("https://klasma.github.io/Logging_2425/klagomålsmail/A 28671-2026 FSC-klagomål mail.docx", "A 28671-2026")</f>
        <v/>
      </c>
      <c r="AC16">
        <f>HYPERLINK("https://klasma.github.io/Logging_2425/tillsyn/A 28671-2026 tillsynsbegäran.docx", "A 28671-2026")</f>
        <v/>
      </c>
      <c r="AD16">
        <f>HYPERLINK("https://klasma.github.io/Logging_2425/tillsynsmail/A 28671-2026 tillsynsbegäran mail.docx", "A 28671-2026")</f>
        <v/>
      </c>
    </row>
    <row r="17" ht="15" customHeight="1">
      <c r="A17" t="inlineStr">
        <is>
          <t>A 47493-2023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45202</v>
      </c>
      <c r="E17" s="1" t="n">
        <v>46297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4.9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Ostticka
Lunglav
Tretåig hackspett
Ullticka</t>
        </is>
      </c>
      <c r="W17">
        <f>HYPERLINK("https://klasma.github.io/Logging_2425/artfynd/A 47493-2023 artfynd.xlsx", "A 47493-2023")</f>
        <v/>
      </c>
      <c r="X17">
        <f>HYPERLINK("https://klasma.github.io/Logging_2425/kartor/A 47493-2023 karta.png", "A 47493-2023")</f>
        <v/>
      </c>
      <c r="Y17">
        <f>HYPERLINK("https://klasma.github.io/Logging_2425/kartor_geotiff/A 47493-2023 georefererad karta.tif", "A 47493-2023")</f>
        <v/>
      </c>
      <c r="AA17">
        <f>HYPERLINK("https://klasma.github.io/Logging_2425/klagomål/A 47493-2023 FSC-klagomål.docx", "A 47493-2023")</f>
        <v/>
      </c>
      <c r="AB17">
        <f>HYPERLINK("https://klasma.github.io/Logging_2425/klagomålsmail/A 47493-2023 FSC-klagomål mail.docx", "A 47493-2023")</f>
        <v/>
      </c>
      <c r="AC17">
        <f>HYPERLINK("https://klasma.github.io/Logging_2425/tillsyn/A 47493-2023 tillsynsbegäran.docx", "A 47493-2023")</f>
        <v/>
      </c>
      <c r="AD17">
        <f>HYPERLINK("https://klasma.github.io/Logging_2425/tillsynsmail/A 47493-2023 tillsynsbegäran mail.docx", "A 47493-2023")</f>
        <v/>
      </c>
      <c r="AE17">
        <f>HYPERLINK("https://klasma.github.io/Logging_2425/fåglar/A 47493-2023 prioriterade fågelarter.docx", "A 47493-2023")</f>
        <v/>
      </c>
    </row>
    <row r="18" ht="15" customHeight="1">
      <c r="A18" t="inlineStr">
        <is>
          <t>S 1152-2025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45756</v>
      </c>
      <c r="E18" s="1" t="n">
        <v>46297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19.2</v>
      </c>
      <c r="J18" t="n">
        <v>0</v>
      </c>
      <c r="K18" t="n">
        <v>0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Dvärgbägarlav
Kortskaftad ärgspik
Lunglav
Vedtrappmossa</t>
        </is>
      </c>
      <c r="W18">
        <f>HYPERLINK("https://klasma.github.io/Logging_2425/artfynd/S 1152-2025 artfynd.xlsx", "S 1152-2025")</f>
        <v/>
      </c>
      <c r="X18">
        <f>HYPERLINK("https://klasma.github.io/Logging_2425/kartor/S 1152-2025 karta.png", "S 1152-2025")</f>
        <v/>
      </c>
      <c r="Y18">
        <f>HYPERLINK("https://klasma.github.io/Logging_2425/kartor_geotiff/S 1152-2025 georefererad karta.tif", "S 1152-2025")</f>
        <v/>
      </c>
      <c r="AA18">
        <f>HYPERLINK("https://klasma.github.io/Logging_2425/klagomål/S 1152-2025 FSC-klagomål.docx", "S 1152-2025")</f>
        <v/>
      </c>
      <c r="AB18">
        <f>HYPERLINK("https://klasma.github.io/Logging_2425/klagomålsmail/S 1152-2025 FSC-klagomål mail.docx", "S 1152-2025")</f>
        <v/>
      </c>
      <c r="AC18">
        <f>HYPERLINK("https://klasma.github.io/Logging_2425/tillsyn/S 1152-2025 tillsynsbegäran.docx", "S 1152-2025")</f>
        <v/>
      </c>
      <c r="AD18">
        <f>HYPERLINK("https://klasma.github.io/Logging_2425/tillsynsmail/S 1152-2025 tillsynsbegäran mail.docx", "S 1152-2025")</f>
        <v/>
      </c>
    </row>
    <row r="19" ht="15" customHeight="1">
      <c r="A19" t="inlineStr">
        <is>
          <t>A 28909-2025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45820</v>
      </c>
      <c r="E19" s="1" t="n">
        <v>46297</v>
      </c>
      <c r="F19" t="inlineStr">
        <is>
          <t>VÄSTERBOTTENS LÄN</t>
        </is>
      </c>
      <c r="G19" t="inlineStr">
        <is>
          <t>DOROTEA</t>
        </is>
      </c>
      <c r="H19" t="inlineStr">
        <is>
          <t>Kyrkan</t>
        </is>
      </c>
      <c r="I19" t="n">
        <v>5.5</v>
      </c>
      <c r="J19" t="n">
        <v>1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8</v>
      </c>
      <c r="U19" t="n">
        <v>8</v>
      </c>
      <c r="V19" s="2" t="inlineStr">
        <is>
          <t>Kolflarnlav
Mörk kolflarnlav
Tretåig hackspett</t>
        </is>
      </c>
      <c r="W19">
        <f>HYPERLINK("https://klasma.github.io/Logging_2425/artfynd/A 28909-2025 artfynd.xlsx", "A 28909-2025")</f>
        <v/>
      </c>
      <c r="X19">
        <f>HYPERLINK("https://klasma.github.io/Logging_2425/kartor/A 28909-2025 karta.png", "A 28909-2025")</f>
        <v/>
      </c>
      <c r="Y19">
        <f>HYPERLINK("https://klasma.github.io/Logging_2425/kartor_geotiff/A 28909-2025 georefererad karta.tif", "A 28909-2025")</f>
        <v/>
      </c>
      <c r="AA19">
        <f>HYPERLINK("https://klasma.github.io/Logging_2425/klagomål/A 28909-2025 FSC-klagomål.docx", "A 28909-2025")</f>
        <v/>
      </c>
      <c r="AB19">
        <f>HYPERLINK("https://klasma.github.io/Logging_2425/klagomålsmail/A 28909-2025 FSC-klagomål mail.docx", "A 28909-2025")</f>
        <v/>
      </c>
      <c r="AC19">
        <f>HYPERLINK("https://klasma.github.io/Logging_2425/tillsyn/A 28909-2025 tillsynsbegäran.docx", "A 28909-2025")</f>
        <v/>
      </c>
      <c r="AD19">
        <f>HYPERLINK("https://klasma.github.io/Logging_2425/tillsynsmail/A 28909-2025 tillsynsbegäran mail.docx", "A 28909-2025")</f>
        <v/>
      </c>
      <c r="AE19">
        <f>HYPERLINK("https://klasma.github.io/Logging_2425/fåglar/A 28909-2025 prioriterade fågelarter.docx", "A 28909-2025")</f>
        <v/>
      </c>
    </row>
    <row r="20" ht="15" customHeight="1">
      <c r="A20" t="inlineStr">
        <is>
          <t>A 57783-2025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45981</v>
      </c>
      <c r="E20" s="1" t="n">
        <v>46297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8.5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Gammelgransskål
Tretåig hackspett</t>
        </is>
      </c>
      <c r="W20">
        <f>HYPERLINK("https://klasma.github.io/Logging_2425/artfynd/A 57783-2025 artfynd.xlsx", "A 57783-2025")</f>
        <v/>
      </c>
      <c r="X20">
        <f>HYPERLINK("https://klasma.github.io/Logging_2425/kartor/A 57783-2025 karta.png", "A 57783-2025")</f>
        <v/>
      </c>
      <c r="Y20">
        <f>HYPERLINK("https://klasma.github.io/Logging_2425/kartor_geotiff/A 57783-2025 georefererad karta.tif", "A 57783-2025")</f>
        <v/>
      </c>
      <c r="AA20">
        <f>HYPERLINK("https://klasma.github.io/Logging_2425/klagomål/A 57783-2025 FSC-klagomål.docx", "A 57783-2025")</f>
        <v/>
      </c>
      <c r="AB20">
        <f>HYPERLINK("https://klasma.github.io/Logging_2425/klagomålsmail/A 57783-2025 FSC-klagomål mail.docx", "A 57783-2025")</f>
        <v/>
      </c>
      <c r="AC20">
        <f>HYPERLINK("https://klasma.github.io/Logging_2425/tillsyn/A 57783-2025 tillsynsbegäran.docx", "A 57783-2025")</f>
        <v/>
      </c>
      <c r="AD20">
        <f>HYPERLINK("https://klasma.github.io/Logging_2425/tillsynsmail/A 57783-2025 tillsynsbegäran mail.docx", "A 57783-2025")</f>
        <v/>
      </c>
      <c r="AE20">
        <f>HYPERLINK("https://klasma.github.io/Logging_2425/fåglar/A 57783-2025 prioriterade fågelarter.docx", "A 57783-2025")</f>
        <v/>
      </c>
    </row>
    <row r="21" ht="15" customHeight="1">
      <c r="A21" t="inlineStr">
        <is>
          <t>A 4828-2023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44957</v>
      </c>
      <c r="E21" s="1" t="n">
        <v>46297</v>
      </c>
      <c r="F21" t="inlineStr">
        <is>
          <t>VÄSTERBOTTENS LÄN</t>
        </is>
      </c>
      <c r="G21" t="inlineStr">
        <is>
          <t>DOROTEA</t>
        </is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Garnlav
Vitgrynig nållav
Spindelblomster</t>
        </is>
      </c>
      <c r="W21">
        <f>HYPERLINK("https://klasma.github.io/Logging_2425/artfynd/A 4828-2023 artfynd.xlsx", "A 4828-2023")</f>
        <v/>
      </c>
      <c r="X21">
        <f>HYPERLINK("https://klasma.github.io/Logging_2425/kartor/A 4828-2023 karta.png", "A 4828-2023")</f>
        <v/>
      </c>
      <c r="Y21">
        <f>HYPERLINK("https://klasma.github.io/Logging_2425/kartor_geotiff/A 4828-2023 georefererad karta.tif", "A 4828-2023")</f>
        <v/>
      </c>
      <c r="AA21">
        <f>HYPERLINK("https://klasma.github.io/Logging_2425/klagomål/A 4828-2023 FSC-klagomål.docx", "A 4828-2023")</f>
        <v/>
      </c>
      <c r="AB21">
        <f>HYPERLINK("https://klasma.github.io/Logging_2425/klagomålsmail/A 4828-2023 FSC-klagomål mail.docx", "A 4828-2023")</f>
        <v/>
      </c>
      <c r="AC21">
        <f>HYPERLINK("https://klasma.github.io/Logging_2425/tillsyn/A 4828-2023 tillsynsbegäran.docx", "A 4828-2023")</f>
        <v/>
      </c>
      <c r="AD21">
        <f>HYPERLINK("https://klasma.github.io/Logging_2425/tillsynsmail/A 4828-2023 tillsynsbegäran mail.docx", "A 4828-2023")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46297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S 2006-2025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45834</v>
      </c>
      <c r="E23" s="1" t="n">
        <v>46297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1.3</v>
      </c>
      <c r="J23" t="n">
        <v>0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Garnlav
Kransrams
Stuplav</t>
        </is>
      </c>
      <c r="W23">
        <f>HYPERLINK("https://klasma.github.io/Logging_2425/artfynd/S 2006-2025 artfynd.xlsx", "S 2006-2025")</f>
        <v/>
      </c>
      <c r="X23">
        <f>HYPERLINK("https://klasma.github.io/Logging_2425/kartor/S 2006-2025 karta.png", "S 2006-2025")</f>
        <v/>
      </c>
      <c r="Y23">
        <f>HYPERLINK("https://klasma.github.io/Logging_2425/kartor_geotiff/S 2006-2025 georefererad karta.tif", "S 2006-2025")</f>
        <v/>
      </c>
      <c r="AA23">
        <f>HYPERLINK("https://klasma.github.io/Logging_2425/klagomål/S 2006-2025 FSC-klagomål.docx", "S 2006-2025")</f>
        <v/>
      </c>
      <c r="AB23">
        <f>HYPERLINK("https://klasma.github.io/Logging_2425/klagomålsmail/S 2006-2025 FSC-klagomål mail.docx", "S 2006-2025")</f>
        <v/>
      </c>
      <c r="AC23">
        <f>HYPERLINK("https://klasma.github.io/Logging_2425/tillsyn/S 2006-2025 tillsynsbegäran.docx", "S 2006-2025")</f>
        <v/>
      </c>
      <c r="AD23">
        <f>HYPERLINK("https://klasma.github.io/Logging_2425/tillsynsmail/S 2006-2025 tillsynsbegäran mail.docx", "S 2006-2025")</f>
        <v/>
      </c>
    </row>
    <row r="24" ht="15" customHeight="1">
      <c r="A24" t="inlineStr">
        <is>
          <t>S 2410-2026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46279</v>
      </c>
      <c r="E24" s="1" t="n">
        <v>46297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8.800000000000001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Gammelgransskål
Lunglav
Vitgrynig nållav</t>
        </is>
      </c>
      <c r="W24">
        <f>HYPERLINK("https://klasma.github.io/Logging_2425/artfynd/S 2410-2026 artfynd.xlsx", "S 2410-2026")</f>
        <v/>
      </c>
      <c r="X24">
        <f>HYPERLINK("https://klasma.github.io/Logging_2425/kartor/S 2410-2026 karta.png", "S 2410-2026")</f>
        <v/>
      </c>
      <c r="Y24">
        <f>HYPERLINK("https://klasma.github.io/Logging_2425/kartor_geotiff/S 2410-2026 georefererad karta.tif", "S 2410-2026")</f>
        <v/>
      </c>
      <c r="AA24">
        <f>HYPERLINK("https://klasma.github.io/Logging_2425/klagomål/S 2410-2026 FSC-klagomål.docx", "S 2410-2026")</f>
        <v/>
      </c>
      <c r="AB24">
        <f>HYPERLINK("https://klasma.github.io/Logging_2425/klagomålsmail/S 2410-2026 FSC-klagomål mail.docx", "S 2410-2026")</f>
        <v/>
      </c>
      <c r="AC24">
        <f>HYPERLINK("https://klasma.github.io/Logging_2425/tillsyn/S 2410-2026 tillsynsbegäran.docx", "S 2410-2026")</f>
        <v/>
      </c>
      <c r="AD24">
        <f>HYPERLINK("https://klasma.github.io/Logging_2425/tillsynsmail/S 2410-2026 tillsynsbegäran mail.docx", "S 2410-2026")</f>
        <v/>
      </c>
    </row>
    <row r="25" ht="15" customHeight="1">
      <c r="A25" t="inlineStr">
        <is>
          <t>A 4554-2026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46047</v>
      </c>
      <c r="E25" s="1" t="n">
        <v>46297</v>
      </c>
      <c r="F25" t="inlineStr">
        <is>
          <t>VÄSTERBOTTENS LÄN</t>
        </is>
      </c>
      <c r="G25" t="inlineStr">
        <is>
          <t>DOROTEA</t>
        </is>
      </c>
      <c r="I25" t="n">
        <v>6.1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Violettkantad guldvinge
Kricka</t>
        </is>
      </c>
      <c r="W25">
        <f>HYPERLINK("https://klasma.github.io/Logging_2425/artfynd/A 4554-2026 artfynd.xlsx", "A 4554-2026")</f>
        <v/>
      </c>
      <c r="X25">
        <f>HYPERLINK("https://klasma.github.io/Logging_2425/kartor/A 4554-2026 karta.png", "A 4554-2026")</f>
        <v/>
      </c>
      <c r="Y25">
        <f>HYPERLINK("https://klasma.github.io/Logging_2425/kartor_geotiff/A 4554-2026 georefererad karta.tif", "A 4554-2026")</f>
        <v/>
      </c>
      <c r="AA25">
        <f>HYPERLINK("https://klasma.github.io/Logging_2425/klagomål/A 4554-2026 FSC-klagomål.docx", "A 4554-2026")</f>
        <v/>
      </c>
      <c r="AB25">
        <f>HYPERLINK("https://klasma.github.io/Logging_2425/klagomålsmail/A 4554-2026 FSC-klagomål mail.docx", "A 4554-2026")</f>
        <v/>
      </c>
      <c r="AC25">
        <f>HYPERLINK("https://klasma.github.io/Logging_2425/tillsyn/A 4554-2026 tillsynsbegäran.docx", "A 4554-2026")</f>
        <v/>
      </c>
      <c r="AD25">
        <f>HYPERLINK("https://klasma.github.io/Logging_2425/tillsynsmail/A 4554-2026 tillsynsbegäran mail.docx", "A 4554-2026")</f>
        <v/>
      </c>
      <c r="AE25">
        <f>HYPERLINK("https://klasma.github.io/Logging_2425/fåglar/A 4554-2026 prioriterade fågelarter.docx", "A 4554-2026")</f>
        <v/>
      </c>
    </row>
    <row r="26" ht="15" customHeight="1">
      <c r="A26" t="inlineStr">
        <is>
          <t>A 17825-2024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45418</v>
      </c>
      <c r="E26" s="1" t="n">
        <v>46297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24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17825-2024 artfynd.xlsx", "A 17825-2024")</f>
        <v/>
      </c>
      <c r="X26">
        <f>HYPERLINK("https://klasma.github.io/Logging_2425/kartor/A 17825-2024 karta.png", "A 17825-2024")</f>
        <v/>
      </c>
      <c r="Y26">
        <f>HYPERLINK("https://klasma.github.io/Logging_2425/kartor_geotiff/A 17825-2024 georefererad karta.tif", "A 17825-2024")</f>
        <v/>
      </c>
      <c r="AA26">
        <f>HYPERLINK("https://klasma.github.io/Logging_2425/klagomål/A 17825-2024 FSC-klagomål.docx", "A 17825-2024")</f>
        <v/>
      </c>
      <c r="AB26">
        <f>HYPERLINK("https://klasma.github.io/Logging_2425/klagomålsmail/A 17825-2024 FSC-klagomål mail.docx", "A 17825-2024")</f>
        <v/>
      </c>
      <c r="AC26">
        <f>HYPERLINK("https://klasma.github.io/Logging_2425/tillsyn/A 17825-2024 tillsynsbegäran.docx", "A 17825-2024")</f>
        <v/>
      </c>
      <c r="AD26">
        <f>HYPERLINK("https://klasma.github.io/Logging_2425/tillsynsmail/A 17825-2024 tillsynsbegäran mail.docx", "A 17825-2024")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46297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40013-2024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45553</v>
      </c>
      <c r="E28" s="1" t="n">
        <v>46297</v>
      </c>
      <c r="F28" t="inlineStr">
        <is>
          <t>VÄSTERBOTTENS LÄN</t>
        </is>
      </c>
      <c r="G28" t="inlineStr">
        <is>
          <t>DOROTEA</t>
        </is>
      </c>
      <c r="H28" t="inlineStr">
        <is>
          <t>Övriga statliga verk och myndigheter</t>
        </is>
      </c>
      <c r="I28" t="n">
        <v>1.5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Tretåig hackspett
Tjäder</t>
        </is>
      </c>
      <c r="W28">
        <f>HYPERLINK("https://klasma.github.io/Logging_2425/artfynd/A 40013-2024 artfynd.xlsx", "A 40013-2024")</f>
        <v/>
      </c>
      <c r="X28">
        <f>HYPERLINK("https://klasma.github.io/Logging_2425/kartor/A 40013-2024 karta.png", "A 40013-2024")</f>
        <v/>
      </c>
      <c r="Y28">
        <f>HYPERLINK("https://klasma.github.io/Logging_2425/kartor_geotiff/A 40013-2024 georefererad karta.tif", "A 40013-2024")</f>
        <v/>
      </c>
      <c r="AA28">
        <f>HYPERLINK("https://klasma.github.io/Logging_2425/klagomål/A 40013-2024 FSC-klagomål.docx", "A 40013-2024")</f>
        <v/>
      </c>
      <c r="AB28">
        <f>HYPERLINK("https://klasma.github.io/Logging_2425/klagomålsmail/A 40013-2024 FSC-klagomål mail.docx", "A 40013-2024")</f>
        <v/>
      </c>
      <c r="AC28">
        <f>HYPERLINK("https://klasma.github.io/Logging_2425/tillsyn/A 40013-2024 tillsynsbegäran.docx", "A 40013-2024")</f>
        <v/>
      </c>
      <c r="AD28">
        <f>HYPERLINK("https://klasma.github.io/Logging_2425/tillsynsmail/A 40013-2024 tillsynsbegäran mail.docx", "A 40013-2024")</f>
        <v/>
      </c>
      <c r="AE28">
        <f>HYPERLINK("https://klasma.github.io/Logging_2425/fåglar/A 40013-2024 prioriterade fågelarter.docx", "A 40013-2024")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46297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58736-2022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44902</v>
      </c>
      <c r="E30" s="1" t="n">
        <v>46297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3.4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Lunglav
Skrovellav</t>
        </is>
      </c>
      <c r="W30">
        <f>HYPERLINK("https://klasma.github.io/Logging_2425/artfynd/A 58736-2022 artfynd.xlsx", "A 58736-2022")</f>
        <v/>
      </c>
      <c r="X30">
        <f>HYPERLINK("https://klasma.github.io/Logging_2425/kartor/A 58736-2022 karta.png", "A 58736-2022")</f>
        <v/>
      </c>
      <c r="Y30">
        <f>HYPERLINK("https://klasma.github.io/Logging_2425/kartor_geotiff/A 58736-2022 georefererad karta.tif", "A 58736-2022")</f>
        <v/>
      </c>
      <c r="AA30">
        <f>HYPERLINK("https://klasma.github.io/Logging_2425/klagomål/A 58736-2022 FSC-klagomål.docx", "A 58736-2022")</f>
        <v/>
      </c>
      <c r="AB30">
        <f>HYPERLINK("https://klasma.github.io/Logging_2425/klagomålsmail/A 58736-2022 FSC-klagomål mail.docx", "A 58736-2022")</f>
        <v/>
      </c>
      <c r="AC30">
        <f>HYPERLINK("https://klasma.github.io/Logging_2425/tillsyn/A 58736-2022 tillsynsbegäran.docx", "A 58736-2022")</f>
        <v/>
      </c>
      <c r="AD30">
        <f>HYPERLINK("https://klasma.github.io/Logging_2425/tillsynsmail/A 58736-2022 tillsynsbegäran mail.docx", "A 58736-2022")</f>
        <v/>
      </c>
    </row>
    <row r="31" ht="15" customHeight="1">
      <c r="A31" t="inlineStr">
        <is>
          <t>A 35336-2026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46261</v>
      </c>
      <c r="E31" s="1" t="n">
        <v>46297</v>
      </c>
      <c r="F31" t="inlineStr">
        <is>
          <t>VÄSTERBOTTENS LÄN</t>
        </is>
      </c>
      <c r="G31" t="inlineStr">
        <is>
          <t>DOROTEA</t>
        </is>
      </c>
      <c r="I31" t="n">
        <v>4.2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Garnlav
Blodticka</t>
        </is>
      </c>
      <c r="W31">
        <f>HYPERLINK("https://klasma.github.io/Logging_2425/artfynd/A 35336-2026 artfynd.xlsx", "A 35336-2026")</f>
        <v/>
      </c>
      <c r="X31">
        <f>HYPERLINK("https://klasma.github.io/Logging_2425/kartor/A 35336-2026 karta.png", "A 35336-2026")</f>
        <v/>
      </c>
      <c r="Y31">
        <f>HYPERLINK("https://klasma.github.io/Logging_2425/kartor_geotiff/A 35336-2026 georefererad karta.tif", "A 35336-2026")</f>
        <v/>
      </c>
      <c r="AA31">
        <f>HYPERLINK("https://klasma.github.io/Logging_2425/klagomål/A 35336-2026 FSC-klagomål.docx", "A 35336-2026")</f>
        <v/>
      </c>
      <c r="AB31">
        <f>HYPERLINK("https://klasma.github.io/Logging_2425/klagomålsmail/A 35336-2026 FSC-klagomål mail.docx", "A 35336-2026")</f>
        <v/>
      </c>
      <c r="AC31">
        <f>HYPERLINK("https://klasma.github.io/Logging_2425/tillsyn/A 35336-2026 tillsynsbegäran.docx", "A 35336-2026")</f>
        <v/>
      </c>
      <c r="AD31">
        <f>HYPERLINK("https://klasma.github.io/Logging_2425/tillsynsmail/A 35336-2026 tillsynsbegäran mail.docx", "A 35336-2026")</f>
        <v/>
      </c>
    </row>
    <row r="32" ht="15" customHeight="1">
      <c r="A32" t="inlineStr">
        <is>
          <t>A 19589-2024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45429</v>
      </c>
      <c r="E32" s="1" t="n">
        <v>46297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1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Lunglav
Talltita</t>
        </is>
      </c>
      <c r="W32">
        <f>HYPERLINK("https://klasma.github.io/Logging_2425/artfynd/A 19589-2024 artfynd.xlsx", "A 19589-2024")</f>
        <v/>
      </c>
      <c r="X32">
        <f>HYPERLINK("https://klasma.github.io/Logging_2425/kartor/A 19589-2024 karta.png", "A 19589-2024")</f>
        <v/>
      </c>
      <c r="Y32">
        <f>HYPERLINK("https://klasma.github.io/Logging_2425/kartor_geotiff/A 19589-2024 georefererad karta.tif", "A 19589-2024")</f>
        <v/>
      </c>
      <c r="AA32">
        <f>HYPERLINK("https://klasma.github.io/Logging_2425/klagomål/A 19589-2024 FSC-klagomål.docx", "A 19589-2024")</f>
        <v/>
      </c>
      <c r="AB32">
        <f>HYPERLINK("https://klasma.github.io/Logging_2425/klagomålsmail/A 19589-2024 FSC-klagomål mail.docx", "A 19589-2024")</f>
        <v/>
      </c>
      <c r="AC32">
        <f>HYPERLINK("https://klasma.github.io/Logging_2425/tillsyn/A 19589-2024 tillsynsbegäran.docx", "A 19589-2024")</f>
        <v/>
      </c>
      <c r="AD32">
        <f>HYPERLINK("https://klasma.github.io/Logging_2425/tillsynsmail/A 19589-2024 tillsynsbegäran mail.docx", "A 19589-2024")</f>
        <v/>
      </c>
      <c r="AE32">
        <f>HYPERLINK("https://klasma.github.io/Logging_2425/fåglar/A 19589-2024 prioriterade fågelarter.docx", "A 19589-2024")</f>
        <v/>
      </c>
    </row>
    <row r="33" ht="15" customHeight="1">
      <c r="A33" t="inlineStr">
        <is>
          <t>A 27234-2024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45471</v>
      </c>
      <c r="E33" s="1" t="n">
        <v>46297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2.2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Rynkskinn
Skrovellav</t>
        </is>
      </c>
      <c r="W33">
        <f>HYPERLINK("https://klasma.github.io/Logging_2425/artfynd/A 27234-2024 artfynd.xlsx", "A 27234-2024")</f>
        <v/>
      </c>
      <c r="X33">
        <f>HYPERLINK("https://klasma.github.io/Logging_2425/kartor/A 27234-2024 karta.png", "A 27234-2024")</f>
        <v/>
      </c>
      <c r="Y33">
        <f>HYPERLINK("https://klasma.github.io/Logging_2425/kartor_geotiff/A 27234-2024 georefererad karta.tif", "A 27234-2024")</f>
        <v/>
      </c>
      <c r="AA33">
        <f>HYPERLINK("https://klasma.github.io/Logging_2425/klagomål/A 27234-2024 FSC-klagomål.docx", "A 27234-2024")</f>
        <v/>
      </c>
      <c r="AB33">
        <f>HYPERLINK("https://klasma.github.io/Logging_2425/klagomålsmail/A 27234-2024 FSC-klagomål mail.docx", "A 27234-2024")</f>
        <v/>
      </c>
      <c r="AC33">
        <f>HYPERLINK("https://klasma.github.io/Logging_2425/tillsyn/A 27234-2024 tillsynsbegäran.docx", "A 27234-2024")</f>
        <v/>
      </c>
      <c r="AD33">
        <f>HYPERLINK("https://klasma.github.io/Logging_2425/tillsynsmail/A 27234-2024 tillsynsbegäran mail.docx", "A 27234-2024")</f>
        <v/>
      </c>
    </row>
    <row r="34" ht="15" customHeight="1">
      <c r="A34" t="inlineStr">
        <is>
          <t>A 40654-2026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46296</v>
      </c>
      <c r="E34" s="1" t="n">
        <v>46297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8.800000000000001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Plattlummer
Mattlummer</t>
        </is>
      </c>
      <c r="W34">
        <f>HYPERLINK("https://klasma.github.io/Logging_2425/artfynd/A 40654-2026 artfynd.xlsx", "A 40654-2026")</f>
        <v/>
      </c>
      <c r="X34">
        <f>HYPERLINK("https://klasma.github.io/Logging_2425/kartor/A 40654-2026 karta.png", "A 40654-2026")</f>
        <v/>
      </c>
      <c r="Y34">
        <f>HYPERLINK("https://klasma.github.io/Logging_2425/kartor_geotiff/A 40654-2026 georefererad karta.tif", "A 40654-2026")</f>
        <v/>
      </c>
      <c r="AA34">
        <f>HYPERLINK("https://klasma.github.io/Logging_2425/klagomål/A 40654-2026 FSC-klagomål.docx", "A 40654-2026")</f>
        <v/>
      </c>
      <c r="AB34">
        <f>HYPERLINK("https://klasma.github.io/Logging_2425/klagomålsmail/A 40654-2026 FSC-klagomål mail.docx", "A 40654-2026")</f>
        <v/>
      </c>
      <c r="AC34">
        <f>HYPERLINK("https://klasma.github.io/Logging_2425/tillsyn/A 40654-2026 tillsynsbegäran.docx", "A 40654-2026")</f>
        <v/>
      </c>
      <c r="AD34">
        <f>HYPERLINK("https://klasma.github.io/Logging_2425/tillsynsmail/A 40654-2026 tillsynsbegäran mail.docx", "A 40654-2026")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46297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46297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46297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46297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46297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26440-2025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46297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Lunglav</t>
        </is>
      </c>
      <c r="W40">
        <f>HYPERLINK("https://klasma.github.io/Logging_2425/artfynd/A 26440-2025 artfynd.xlsx", "A 26440-2025")</f>
        <v/>
      </c>
      <c r="X40">
        <f>HYPERLINK("https://klasma.github.io/Logging_2425/kartor/A 26440-2025 karta.png", "A 26440-2025")</f>
        <v/>
      </c>
      <c r="Y40">
        <f>HYPERLINK("https://klasma.github.io/Logging_2425/kartor_geotiff/A 26440-2025 georefererad karta.tif", "A 26440-2025")</f>
        <v/>
      </c>
      <c r="AA40">
        <f>HYPERLINK("https://klasma.github.io/Logging_2425/klagomål/A 26440-2025 FSC-klagomål.docx", "A 26440-2025")</f>
        <v/>
      </c>
      <c r="AB40">
        <f>HYPERLINK("https://klasma.github.io/Logging_2425/klagomålsmail/A 26440-2025 FSC-klagomål mail.docx", "A 26440-2025")</f>
        <v/>
      </c>
      <c r="AC40">
        <f>HYPERLINK("https://klasma.github.io/Logging_2425/tillsyn/A 26440-2025 tillsynsbegäran.docx", "A 26440-2025")</f>
        <v/>
      </c>
      <c r="AD40">
        <f>HYPERLINK("https://klasma.github.io/Logging_2425/tillsynsmail/A 26440-2025 tillsynsbegäran mail.docx", "A 26440-2025")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46297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20600-2023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45057</v>
      </c>
      <c r="E42" s="1" t="n">
        <v>46297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HYPERLINK("https://klasma.github.io/Logging_2425/artfynd/A 20600-2023 artfynd.xlsx", "A 20600-2023")</f>
        <v/>
      </c>
      <c r="X42">
        <f>HYPERLINK("https://klasma.github.io/Logging_2425/kartor/A 20600-2023 karta.png", "A 20600-2023")</f>
        <v/>
      </c>
      <c r="Y42">
        <f>HYPERLINK("https://klasma.github.io/Logging_2425/kartor_geotiff/A 20600-2023 georefererad karta.tif", "A 20600-2023")</f>
        <v/>
      </c>
      <c r="AA42">
        <f>HYPERLINK("https://klasma.github.io/Logging_2425/klagomål/A 20600-2023 FSC-klagomål.docx", "A 20600-2023")</f>
        <v/>
      </c>
      <c r="AB42">
        <f>HYPERLINK("https://klasma.github.io/Logging_2425/klagomålsmail/A 20600-2023 FSC-klagomål mail.docx", "A 20600-2023")</f>
        <v/>
      </c>
      <c r="AC42">
        <f>HYPERLINK("https://klasma.github.io/Logging_2425/tillsyn/A 20600-2023 tillsynsbegäran.docx", "A 20600-2023")</f>
        <v/>
      </c>
      <c r="AD42">
        <f>HYPERLINK("https://klasma.github.io/Logging_2425/tillsynsmail/A 20600-2023 tillsynsbegäran mail.docx", "A 20600-2023")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46297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46297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46297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12005-2023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44994</v>
      </c>
      <c r="E46" s="1" t="n">
        <v>46297</v>
      </c>
      <c r="F46" t="inlineStr">
        <is>
          <t>VÄSTERBOTTENS LÄN</t>
        </is>
      </c>
      <c r="G46" t="inlineStr">
        <is>
          <t>DOROTEA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12005-2023 artfynd.xlsx", "A 12005-2023")</f>
        <v/>
      </c>
      <c r="X46">
        <f>HYPERLINK("https://klasma.github.io/Logging_2425/kartor/A 12005-2023 karta.png", "A 12005-2023")</f>
        <v/>
      </c>
      <c r="Y46">
        <f>HYPERLINK("https://klasma.github.io/Logging_2425/kartor_geotiff/A 12005-2023 georefererad karta.tif", "A 12005-2023")</f>
        <v/>
      </c>
      <c r="AA46">
        <f>HYPERLINK("https://klasma.github.io/Logging_2425/klagomål/A 12005-2023 FSC-klagomål.docx", "A 12005-2023")</f>
        <v/>
      </c>
      <c r="AB46">
        <f>HYPERLINK("https://klasma.github.io/Logging_2425/klagomålsmail/A 12005-2023 FSC-klagomål mail.docx", "A 12005-2023")</f>
        <v/>
      </c>
      <c r="AC46">
        <f>HYPERLINK("https://klasma.github.io/Logging_2425/tillsyn/A 12005-2023 tillsynsbegäran.docx", "A 12005-2023")</f>
        <v/>
      </c>
      <c r="AD46">
        <f>HYPERLINK("https://klasma.github.io/Logging_2425/tillsynsmail/A 12005-2023 tillsynsbegäran mail.docx", "A 12005-2023")</f>
        <v/>
      </c>
    </row>
    <row r="47" ht="15" customHeight="1">
      <c r="A47" t="inlineStr">
        <is>
          <t>A 25980-2026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46297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40.2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Lunglav</t>
        </is>
      </c>
      <c r="W47">
        <f>HYPERLINK("https://klasma.github.io/Logging_2425/artfynd/A 25980-2026 artfynd.xlsx", "A 25980-2026")</f>
        <v/>
      </c>
      <c r="X47">
        <f>HYPERLINK("https://klasma.github.io/Logging_2425/kartor/A 25980-2026 karta.png", "A 25980-2026")</f>
        <v/>
      </c>
      <c r="Y47">
        <f>HYPERLINK("https://klasma.github.io/Logging_2425/kartor_geotiff/A 25980-2026 georefererad karta.tif", "A 25980-2026")</f>
        <v/>
      </c>
      <c r="AA47">
        <f>HYPERLINK("https://klasma.github.io/Logging_2425/klagomål/A 25980-2026 FSC-klagomål.docx", "A 25980-2026")</f>
        <v/>
      </c>
      <c r="AB47">
        <f>HYPERLINK("https://klasma.github.io/Logging_2425/klagomålsmail/A 25980-2026 FSC-klagomål mail.docx", "A 25980-2026")</f>
        <v/>
      </c>
      <c r="AC47">
        <f>HYPERLINK("https://klasma.github.io/Logging_2425/tillsyn/A 25980-2026 tillsynsbegäran.docx", "A 25980-2026")</f>
        <v/>
      </c>
      <c r="AD47">
        <f>HYPERLINK("https://klasma.github.io/Logging_2425/tillsynsmail/A 25980-2026 tillsynsbegäran mail.docx", "A 25980-2026")</f>
        <v/>
      </c>
    </row>
    <row r="48" ht="15" customHeight="1">
      <c r="A48" t="inlineStr">
        <is>
          <t>A 57058-2024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46297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57058-2024 artfynd.xlsx", "A 57058-2024")</f>
        <v/>
      </c>
      <c r="X48">
        <f>HYPERLINK("https://klasma.github.io/Logging_2425/kartor/A 57058-2024 karta.png", "A 57058-2024")</f>
        <v/>
      </c>
      <c r="Y48">
        <f>HYPERLINK("https://klasma.github.io/Logging_2425/kartor_geotiff/A 57058-2024 georefererad karta.tif", "A 57058-2024")</f>
        <v/>
      </c>
      <c r="AA48">
        <f>HYPERLINK("https://klasma.github.io/Logging_2425/klagomål/A 57058-2024 FSC-klagomål.docx", "A 57058-2024")</f>
        <v/>
      </c>
      <c r="AB48">
        <f>HYPERLINK("https://klasma.github.io/Logging_2425/klagomålsmail/A 57058-2024 FSC-klagomål mail.docx", "A 57058-2024")</f>
        <v/>
      </c>
      <c r="AC48">
        <f>HYPERLINK("https://klasma.github.io/Logging_2425/tillsyn/A 57058-2024 tillsynsbegäran.docx", "A 57058-2024")</f>
        <v/>
      </c>
      <c r="AD48">
        <f>HYPERLINK("https://klasma.github.io/Logging_2425/tillsynsmail/A 57058-2024 tillsynsbegäran mail.docx", "A 57058-2024")</f>
        <v/>
      </c>
    </row>
    <row r="49" ht="15" customHeight="1">
      <c r="A49" t="inlineStr">
        <is>
          <t>A 53309-2022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44878</v>
      </c>
      <c r="E49" s="1" t="n">
        <v>46297</v>
      </c>
      <c r="F49" t="inlineStr">
        <is>
          <t>VÄSTERBOTTENS LÄN</t>
        </is>
      </c>
      <c r="G49" t="inlineStr">
        <is>
          <t>DOROTEA</t>
        </is>
      </c>
      <c r="I49" t="n">
        <v>6.6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Göktyta</t>
        </is>
      </c>
      <c r="W49">
        <f>HYPERLINK("https://klasma.github.io/Logging_2425/artfynd/A 53309-2022 artfynd.xlsx", "A 53309-2022")</f>
        <v/>
      </c>
      <c r="X49">
        <f>HYPERLINK("https://klasma.github.io/Logging_2425/kartor/A 53309-2022 karta.png", "A 53309-2022")</f>
        <v/>
      </c>
      <c r="Y49">
        <f>HYPERLINK("https://klasma.github.io/Logging_2425/kartor_geotiff/A 53309-2022 georefererad karta.tif", "A 53309-2022")</f>
        <v/>
      </c>
      <c r="AA49">
        <f>HYPERLINK("https://klasma.github.io/Logging_2425/klagomål/A 53309-2022 FSC-klagomål.docx", "A 53309-2022")</f>
        <v/>
      </c>
      <c r="AB49">
        <f>HYPERLINK("https://klasma.github.io/Logging_2425/klagomålsmail/A 53309-2022 FSC-klagomål mail.docx", "A 53309-2022")</f>
        <v/>
      </c>
      <c r="AC49">
        <f>HYPERLINK("https://klasma.github.io/Logging_2425/tillsyn/A 53309-2022 tillsynsbegäran.docx", "A 53309-2022")</f>
        <v/>
      </c>
      <c r="AD49">
        <f>HYPERLINK("https://klasma.github.io/Logging_2425/tillsynsmail/A 53309-2022 tillsynsbegäran mail.docx", "A 53309-2022")</f>
        <v/>
      </c>
      <c r="AE49">
        <f>HYPERLINK("https://klasma.github.io/Logging_2425/fåglar/A 53309-2022 prioriterade fågelarter.docx", "A 53309-2022")</f>
        <v/>
      </c>
    </row>
    <row r="50" ht="15" customHeight="1">
      <c r="A50" t="inlineStr">
        <is>
          <t>A 46815-2023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45198</v>
      </c>
      <c r="E50" s="1" t="n">
        <v>46297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3.7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Harticka</t>
        </is>
      </c>
      <c r="W50">
        <f>HYPERLINK("https://klasma.github.io/Logging_2425/artfynd/A 46815-2023 artfynd.xlsx", "A 46815-2023")</f>
        <v/>
      </c>
      <c r="X50">
        <f>HYPERLINK("https://klasma.github.io/Logging_2425/kartor/A 46815-2023 karta.png", "A 46815-2023")</f>
        <v/>
      </c>
      <c r="Y50">
        <f>HYPERLINK("https://klasma.github.io/Logging_2425/kartor_geotiff/A 46815-2023 georefererad karta.tif", "A 46815-2023")</f>
        <v/>
      </c>
      <c r="AA50">
        <f>HYPERLINK("https://klasma.github.io/Logging_2425/klagomål/A 46815-2023 FSC-klagomål.docx", "A 46815-2023")</f>
        <v/>
      </c>
      <c r="AB50">
        <f>HYPERLINK("https://klasma.github.io/Logging_2425/klagomålsmail/A 46815-2023 FSC-klagomål mail.docx", "A 46815-2023")</f>
        <v/>
      </c>
      <c r="AC50">
        <f>HYPERLINK("https://klasma.github.io/Logging_2425/tillsyn/A 46815-2023 tillsynsbegäran.docx", "A 46815-2023")</f>
        <v/>
      </c>
      <c r="AD50">
        <f>HYPERLINK("https://klasma.github.io/Logging_2425/tillsynsmail/A 46815-2023 tillsynsbegäran mail.docx", "A 46815-2023")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46297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1278-2024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45302</v>
      </c>
      <c r="E52" s="1" t="n">
        <v>46297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Gräddticka</t>
        </is>
      </c>
      <c r="W52">
        <f>HYPERLINK("https://klasma.github.io/Logging_2425/artfynd/A 1278-2024 artfynd.xlsx", "A 1278-2024")</f>
        <v/>
      </c>
      <c r="X52">
        <f>HYPERLINK("https://klasma.github.io/Logging_2425/kartor/A 1278-2024 karta.png", "A 1278-2024")</f>
        <v/>
      </c>
      <c r="Y52">
        <f>HYPERLINK("https://klasma.github.io/Logging_2425/kartor_geotiff/A 1278-2024 georefererad karta.tif", "A 1278-2024")</f>
        <v/>
      </c>
      <c r="AA52">
        <f>HYPERLINK("https://klasma.github.io/Logging_2425/klagomål/A 1278-2024 FSC-klagomål.docx", "A 1278-2024")</f>
        <v/>
      </c>
      <c r="AB52">
        <f>HYPERLINK("https://klasma.github.io/Logging_2425/klagomålsmail/A 1278-2024 FSC-klagomål mail.docx", "A 1278-2024")</f>
        <v/>
      </c>
      <c r="AC52">
        <f>HYPERLINK("https://klasma.github.io/Logging_2425/tillsyn/A 1278-2024 tillsynsbegäran.docx", "A 1278-2024")</f>
        <v/>
      </c>
      <c r="AD52">
        <f>HYPERLINK("https://klasma.github.io/Logging_2425/tillsynsmail/A 1278-2024 tillsynsbegäran mail.docx", "A 1278-2024")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46297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32331-2026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46238</v>
      </c>
      <c r="E54" s="1" t="n">
        <v>46297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1.9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Skrovellav</t>
        </is>
      </c>
      <c r="W54">
        <f>HYPERLINK("https://klasma.github.io/Logging_2425/artfynd/A 32331-2026 artfynd.xlsx", "A 32331-2026")</f>
        <v/>
      </c>
      <c r="X54">
        <f>HYPERLINK("https://klasma.github.io/Logging_2425/kartor/A 32331-2026 karta.png", "A 32331-2026")</f>
        <v/>
      </c>
      <c r="Y54">
        <f>HYPERLINK("https://klasma.github.io/Logging_2425/kartor_geotiff/A 32331-2026 georefererad karta.tif", "A 32331-2026")</f>
        <v/>
      </c>
      <c r="AA54">
        <f>HYPERLINK("https://klasma.github.io/Logging_2425/klagomål/A 32331-2026 FSC-klagomål.docx", "A 32331-2026")</f>
        <v/>
      </c>
      <c r="AB54">
        <f>HYPERLINK("https://klasma.github.io/Logging_2425/klagomålsmail/A 32331-2026 FSC-klagomål mail.docx", "A 32331-2026")</f>
        <v/>
      </c>
      <c r="AC54">
        <f>HYPERLINK("https://klasma.github.io/Logging_2425/tillsyn/A 32331-2026 tillsynsbegäran.docx", "A 32331-2026")</f>
        <v/>
      </c>
      <c r="AD54">
        <f>HYPERLINK("https://klasma.github.io/Logging_2425/tillsynsmail/A 32331-2026 tillsynsbegäran mail.docx", "A 32331-2026")</f>
        <v/>
      </c>
    </row>
    <row r="55" ht="15" customHeight="1">
      <c r="A55" t="inlineStr">
        <is>
          <t>A 57060-2024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46297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8.9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Garnlav</t>
        </is>
      </c>
      <c r="W55">
        <f>HYPERLINK("https://klasma.github.io/Logging_2425/artfynd/A 57060-2024 artfynd.xlsx", "A 57060-2024")</f>
        <v/>
      </c>
      <c r="X55">
        <f>HYPERLINK("https://klasma.github.io/Logging_2425/kartor/A 57060-2024 karta.png", "A 57060-2024")</f>
        <v/>
      </c>
      <c r="Y55">
        <f>HYPERLINK("https://klasma.github.io/Logging_2425/kartor_geotiff/A 57060-2024 georefererad karta.tif", "A 57060-2024")</f>
        <v/>
      </c>
      <c r="AA55">
        <f>HYPERLINK("https://klasma.github.io/Logging_2425/klagomål/A 57060-2024 FSC-klagomål.docx", "A 57060-2024")</f>
        <v/>
      </c>
      <c r="AB55">
        <f>HYPERLINK("https://klasma.github.io/Logging_2425/klagomålsmail/A 57060-2024 FSC-klagomål mail.docx", "A 57060-2024")</f>
        <v/>
      </c>
      <c r="AC55">
        <f>HYPERLINK("https://klasma.github.io/Logging_2425/tillsyn/A 57060-2024 tillsynsbegäran.docx", "A 57060-2024")</f>
        <v/>
      </c>
      <c r="AD55">
        <f>HYPERLINK("https://klasma.github.io/Logging_2425/tillsynsmail/A 57060-2024 tillsynsbegäran mail.docx", "A 57060-2024")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46297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46297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46297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46297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46297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46297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46297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46297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46297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46297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46297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46297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46297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27199-2024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45471</v>
      </c>
      <c r="E69" s="1" t="n">
        <v>46297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13023-2025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45734</v>
      </c>
      <c r="E70" s="1" t="n">
        <v>46297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45330</v>
      </c>
      <c r="E71" s="1" t="n">
        <v>46297</v>
      </c>
      <c r="F71" t="inlineStr">
        <is>
          <t>VÄSTERBOTTENS LÄN</t>
        </is>
      </c>
      <c r="G71" t="inlineStr">
        <is>
          <t>DOROTEA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53117-2023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45228</v>
      </c>
      <c r="E72" s="1" t="n">
        <v>46297</v>
      </c>
      <c r="F72" t="inlineStr">
        <is>
          <t>VÄSTERBOTTENS LÄN</t>
        </is>
      </c>
      <c r="G72" t="inlineStr">
        <is>
          <t>DOROTEA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53118-2023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45228</v>
      </c>
      <c r="E73" s="1" t="n">
        <v>46297</v>
      </c>
      <c r="F73" t="inlineStr">
        <is>
          <t>VÄSTERBOTTENS LÄN</t>
        </is>
      </c>
      <c r="G73" t="inlineStr">
        <is>
          <t>DOROTEA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44761</v>
      </c>
      <c r="E74" s="1" t="n">
        <v>46297</v>
      </c>
      <c r="F74" t="inlineStr">
        <is>
          <t>VÄSTERBOTTENS LÄN</t>
        </is>
      </c>
      <c r="G74" t="inlineStr">
        <is>
          <t>DOROTEA</t>
        </is>
      </c>
      <c r="I74" t="n">
        <v>10.6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48006-2023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45198</v>
      </c>
      <c r="E75" s="1" t="n">
        <v>46297</v>
      </c>
      <c r="F75" t="inlineStr">
        <is>
          <t>VÄSTERBOTTENS LÄN</t>
        </is>
      </c>
      <c r="G75" t="inlineStr">
        <is>
          <t>DOROTEA</t>
        </is>
      </c>
      <c r="H75" t="inlineStr">
        <is>
          <t>Övriga statliga verk och myndigheter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45393</v>
      </c>
      <c r="E76" s="1" t="n">
        <v>46297</v>
      </c>
      <c r="F76" t="inlineStr">
        <is>
          <t>VÄSTERBOTTENS LÄN</t>
        </is>
      </c>
      <c r="G76" t="inlineStr">
        <is>
          <t>DOROTEA</t>
        </is>
      </c>
      <c r="I76" t="n">
        <v>10.2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45399</v>
      </c>
      <c r="E77" s="1" t="n">
        <v>46297</v>
      </c>
      <c r="F77" t="inlineStr">
        <is>
          <t>VÄSTERBOTTENS LÄN</t>
        </is>
      </c>
      <c r="G77" t="inlineStr">
        <is>
          <t>DOROTEA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13035-2024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45385</v>
      </c>
      <c r="E78" s="1" t="n">
        <v>46297</v>
      </c>
      <c r="F78" t="inlineStr">
        <is>
          <t>VÄSTERBOTTENS LÄN</t>
        </is>
      </c>
      <c r="G78" t="inlineStr">
        <is>
          <t>DOROTEA</t>
        </is>
      </c>
      <c r="I78" t="n">
        <v>5.2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45224</v>
      </c>
      <c r="E79" s="1" t="n">
        <v>46297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44910</v>
      </c>
      <c r="E80" s="1" t="n">
        <v>46297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41353-2022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44824</v>
      </c>
      <c r="E81" s="1" t="n">
        <v>46297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19889-2025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45771</v>
      </c>
      <c r="E82" s="1" t="n">
        <v>46297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23457-2025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46297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63745-2025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46017</v>
      </c>
      <c r="E84" s="1" t="n">
        <v>46297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8.699999999999999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29737-2024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45485</v>
      </c>
      <c r="E85" s="1" t="n">
        <v>46297</v>
      </c>
      <c r="F85" t="inlineStr">
        <is>
          <t>VÄSTERBOTTENS LÄN</t>
        </is>
      </c>
      <c r="G85" t="inlineStr">
        <is>
          <t>DOROTEA</t>
        </is>
      </c>
      <c r="I85" t="n">
        <v>10.2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13451-2022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46297</v>
      </c>
      <c r="F86" t="inlineStr">
        <is>
          <t>VÄSTERBOTTENS LÄN</t>
        </is>
      </c>
      <c r="G86" t="inlineStr">
        <is>
          <t>DOROTEA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8088-2023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44974</v>
      </c>
      <c r="E87" s="1" t="n">
        <v>46297</v>
      </c>
      <c r="F87" t="inlineStr">
        <is>
          <t>VÄSTERBOTTENS LÄN</t>
        </is>
      </c>
      <c r="G87" t="inlineStr">
        <is>
          <t>DOROTEA</t>
        </is>
      </c>
      <c r="I87" t="n">
        <v>14.8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34820-2023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45140</v>
      </c>
      <c r="E88" s="1" t="n">
        <v>46297</v>
      </c>
      <c r="F88" t="inlineStr">
        <is>
          <t>VÄSTERBOTTENS LÄN</t>
        </is>
      </c>
      <c r="G88" t="inlineStr">
        <is>
          <t>DOROTEA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46297</v>
      </c>
      <c r="F89" t="inlineStr">
        <is>
          <t>VÄSTERBOTTENS LÄN</t>
        </is>
      </c>
      <c r="G89" t="inlineStr">
        <is>
          <t>DOROTEA</t>
        </is>
      </c>
      <c r="I89" t="n">
        <v>18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39471-2024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45551</v>
      </c>
      <c r="E90" s="1" t="n">
        <v>46297</v>
      </c>
      <c r="F90" t="inlineStr">
        <is>
          <t>VÄSTERBOTTENS LÄN</t>
        </is>
      </c>
      <c r="G90" t="inlineStr">
        <is>
          <t>DOROTEA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44956</v>
      </c>
      <c r="E91" s="1" t="n">
        <v>46297</v>
      </c>
      <c r="F91" t="inlineStr">
        <is>
          <t>VÄSTERBOTTENS LÄN</t>
        </is>
      </c>
      <c r="G91" t="inlineStr">
        <is>
          <t>DOROTEA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39470-2024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45551</v>
      </c>
      <c r="E92" s="1" t="n">
        <v>46297</v>
      </c>
      <c r="F92" t="inlineStr">
        <is>
          <t>VÄSTERBOTTENS LÄN</t>
        </is>
      </c>
      <c r="G92" t="inlineStr">
        <is>
          <t>DOROTEA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33113-2024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45517</v>
      </c>
      <c r="E93" s="1" t="n">
        <v>46297</v>
      </c>
      <c r="F93" t="inlineStr">
        <is>
          <t>VÄSTERBOTTENS LÄN</t>
        </is>
      </c>
      <c r="G93" t="inlineStr">
        <is>
          <t>DOROTEA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22946-2024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45448</v>
      </c>
      <c r="E94" s="1" t="n">
        <v>46297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38239-2025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46297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2146-2026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46297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44582</v>
      </c>
      <c r="E97" s="1" t="n">
        <v>46297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34700-2023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46297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34702-2023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46297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45614</v>
      </c>
      <c r="E100" s="1" t="n">
        <v>46297</v>
      </c>
      <c r="F100" t="inlineStr">
        <is>
          <t>VÄSTERBOTTENS LÄN</t>
        </is>
      </c>
      <c r="G100" t="inlineStr">
        <is>
          <t>DOROTEA</t>
        </is>
      </c>
      <c r="I100" t="n">
        <v>12.8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57070-2023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45244</v>
      </c>
      <c r="E101" s="1" t="n">
        <v>46297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59418-2023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45253</v>
      </c>
      <c r="E102" s="1" t="n">
        <v>46297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7.6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49077-2022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44860</v>
      </c>
      <c r="E103" s="1" t="n">
        <v>46297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Sveaskog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2842-2026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46038</v>
      </c>
      <c r="E104" s="1" t="n">
        <v>46297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3559-2026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46042</v>
      </c>
      <c r="E105" s="1" t="n">
        <v>46297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3368-2026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46042</v>
      </c>
      <c r="E106" s="1" t="n">
        <v>46297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46297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7.8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46029</v>
      </c>
      <c r="E108" s="1" t="n">
        <v>46297</v>
      </c>
      <c r="F108" t="inlineStr">
        <is>
          <t>VÄSTERBOTTENS LÄN</t>
        </is>
      </c>
      <c r="G108" t="inlineStr">
        <is>
          <t>DOROTEA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3845-2026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46043</v>
      </c>
      <c r="E109" s="1" t="n">
        <v>46297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39778-2025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45891</v>
      </c>
      <c r="E110" s="1" t="n">
        <v>46297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30059-2024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45488</v>
      </c>
      <c r="E111" s="1" t="n">
        <v>46297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39977-2025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45893</v>
      </c>
      <c r="E112" s="1" t="n">
        <v>46297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10.3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29454-2024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45483</v>
      </c>
      <c r="E113" s="1" t="n">
        <v>46297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12.4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63885-2025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46010</v>
      </c>
      <c r="E114" s="1" t="n">
        <v>46297</v>
      </c>
      <c r="F114" t="inlineStr">
        <is>
          <t>VÄSTERBOTTENS LÄN</t>
        </is>
      </c>
      <c r="G114" t="inlineStr">
        <is>
          <t>DOROTEA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46297</v>
      </c>
      <c r="F115" t="inlineStr">
        <is>
          <t>VÄSTERBOTTENS LÄN</t>
        </is>
      </c>
      <c r="G115" t="inlineStr">
        <is>
          <t>DOROTEA</t>
        </is>
      </c>
      <c r="I115" t="n">
        <v>11.8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40435-2023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45169</v>
      </c>
      <c r="E116" s="1" t="n">
        <v>46297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41055-2025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45898</v>
      </c>
      <c r="E117" s="1" t="n">
        <v>46297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46091</v>
      </c>
      <c r="E118" s="1" t="n">
        <v>46297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46051</v>
      </c>
      <c r="E119" s="1" t="n">
        <v>46297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46051</v>
      </c>
      <c r="E120" s="1" t="n">
        <v>46297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45904</v>
      </c>
      <c r="E121" s="1" t="n">
        <v>46297</v>
      </c>
      <c r="F121" t="inlineStr">
        <is>
          <t>VÄSTERBOTTENS LÄN</t>
        </is>
      </c>
      <c r="G121" t="inlineStr">
        <is>
          <t>DOROTEA</t>
        </is>
      </c>
      <c r="H121" t="inlineStr">
        <is>
          <t>Övriga Aktiebolag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45903</v>
      </c>
      <c r="E122" s="1" t="n">
        <v>46297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10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46055</v>
      </c>
      <c r="E123" s="1" t="n">
        <v>46297</v>
      </c>
      <c r="F123" t="inlineStr">
        <is>
          <t>VÄSTERBOTTENS LÄN</t>
        </is>
      </c>
      <c r="G123" t="inlineStr">
        <is>
          <t>DOROTEA</t>
        </is>
      </c>
      <c r="H123" t="inlineStr">
        <is>
          <t>SCA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6134-2026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46054</v>
      </c>
      <c r="E124" s="1" t="n">
        <v>46297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4.6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46297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57955-2021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44484</v>
      </c>
      <c r="E126" s="1" t="n">
        <v>46297</v>
      </c>
      <c r="F126" t="inlineStr">
        <is>
          <t>VÄSTERBOTTENS LÄN</t>
        </is>
      </c>
      <c r="G126" t="inlineStr">
        <is>
          <t>DOROTEA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25356-2025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46297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43720-2025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45912</v>
      </c>
      <c r="E128" s="1" t="n">
        <v>46297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11.1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43876-2025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45912</v>
      </c>
      <c r="E129" s="1" t="n">
        <v>46297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43866-2025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46297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7713-2026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46297</v>
      </c>
      <c r="F131" t="inlineStr">
        <is>
          <t>VÄSTERBOTTENS LÄN</t>
        </is>
      </c>
      <c r="G131" t="inlineStr">
        <is>
          <t>DOROTEA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7716-2026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46059</v>
      </c>
      <c r="E132" s="1" t="n">
        <v>46297</v>
      </c>
      <c r="F132" t="inlineStr">
        <is>
          <t>VÄSTERBOTTENS LÄN</t>
        </is>
      </c>
      <c r="G132" t="inlineStr">
        <is>
          <t>DOROTEA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44282-2025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45916</v>
      </c>
      <c r="E133" s="1" t="n">
        <v>46297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55549-2024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46297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7963-2026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46063</v>
      </c>
      <c r="E135" s="1" t="n">
        <v>46297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46297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46297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46297</v>
      </c>
      <c r="F138" t="inlineStr">
        <is>
          <t>VÄSTERBOTTENS LÄN</t>
        </is>
      </c>
      <c r="G138" t="inlineStr">
        <is>
          <t>DOROTEA</t>
        </is>
      </c>
      <c r="H138" t="inlineStr">
        <is>
          <t>Övriga statliga verk och myndigheter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46297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46297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46297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57431-2022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44889</v>
      </c>
      <c r="E142" s="1" t="n">
        <v>46297</v>
      </c>
      <c r="F142" t="inlineStr">
        <is>
          <t>VÄSTERBOTTENS LÄN</t>
        </is>
      </c>
      <c r="G142" t="inlineStr">
        <is>
          <t>DOROTEA</t>
        </is>
      </c>
      <c r="I142" t="n">
        <v>15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45845</v>
      </c>
      <c r="E143" s="1" t="n">
        <v>46297</v>
      </c>
      <c r="F143" t="inlineStr">
        <is>
          <t>VÄSTERBOTTENS LÄN</t>
        </is>
      </c>
      <c r="G143" t="inlineStr">
        <is>
          <t>DOROTEA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46297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34408-2025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45845</v>
      </c>
      <c r="E145" s="1" t="n">
        <v>46297</v>
      </c>
      <c r="F145" t="inlineStr">
        <is>
          <t>VÄSTERBOTTENS LÄN</t>
        </is>
      </c>
      <c r="G145" t="inlineStr">
        <is>
          <t>DOROTEA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9796-2026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46072</v>
      </c>
      <c r="E146" s="1" t="n">
        <v>46297</v>
      </c>
      <c r="F146" t="inlineStr">
        <is>
          <t>VÄSTERBOTTENS LÄN</t>
        </is>
      </c>
      <c r="G146" t="inlineStr">
        <is>
          <t>DOROTEA</t>
        </is>
      </c>
      <c r="I146" t="n">
        <v>20.1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74013-2021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44557</v>
      </c>
      <c r="E147" s="1" t="n">
        <v>46297</v>
      </c>
      <c r="F147" t="inlineStr">
        <is>
          <t>VÄSTERBOTTENS LÄN</t>
        </is>
      </c>
      <c r="G147" t="inlineStr">
        <is>
          <t>DOROTEA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62657-2022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44925</v>
      </c>
      <c r="E148" s="1" t="n">
        <v>46297</v>
      </c>
      <c r="F148" t="inlineStr">
        <is>
          <t>VÄSTERBOTTENS LÄN</t>
        </is>
      </c>
      <c r="G148" t="inlineStr">
        <is>
          <t>DOROTEA</t>
        </is>
      </c>
      <c r="I148" t="n">
        <v>22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45491</v>
      </c>
      <c r="E149" s="1" t="n">
        <v>46297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Sveaskog</t>
        </is>
      </c>
      <c r="I149" t="n">
        <v>13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26315-2025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46297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45936</v>
      </c>
      <c r="E151" s="1" t="n">
        <v>46297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48531-2025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45936</v>
      </c>
      <c r="E152" s="1" t="n">
        <v>46297</v>
      </c>
      <c r="F152" t="inlineStr">
        <is>
          <t>VÄSTERBOTTENS LÄN</t>
        </is>
      </c>
      <c r="G152" t="inlineStr">
        <is>
          <t>DOROTEA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48530-2025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45936</v>
      </c>
      <c r="E153" s="1" t="n">
        <v>46297</v>
      </c>
      <c r="F153" t="inlineStr">
        <is>
          <t>VÄSTERBOTTENS LÄN</t>
        </is>
      </c>
      <c r="G153" t="inlineStr">
        <is>
          <t>DOROTEA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8092-2023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44974</v>
      </c>
      <c r="E154" s="1" t="n">
        <v>46297</v>
      </c>
      <c r="F154" t="inlineStr">
        <is>
          <t>VÄSTERBOTTENS LÄN</t>
        </is>
      </c>
      <c r="G154" t="inlineStr">
        <is>
          <t>DOROTEA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46297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12082-2026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46086</v>
      </c>
      <c r="E156" s="1" t="n">
        <v>46297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49408-2025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45938</v>
      </c>
      <c r="E157" s="1" t="n">
        <v>46297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49054-2025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45937</v>
      </c>
      <c r="E158" s="1" t="n">
        <v>46297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42484-2024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45565</v>
      </c>
      <c r="E159" s="1" t="n">
        <v>46297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39721-2024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46297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7429-2023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44971</v>
      </c>
      <c r="E161" s="1" t="n">
        <v>46297</v>
      </c>
      <c r="F161" t="inlineStr">
        <is>
          <t>VÄSTERBOTTENS LÄN</t>
        </is>
      </c>
      <c r="G161" t="inlineStr">
        <is>
          <t>DOROTEA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45796</v>
      </c>
      <c r="E162" s="1" t="n">
        <v>46297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26481-2025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45807</v>
      </c>
      <c r="E163" s="1" t="n">
        <v>46297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17133-2025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45755</v>
      </c>
      <c r="E164" s="1" t="n">
        <v>46297</v>
      </c>
      <c r="F164" t="inlineStr">
        <is>
          <t>VÄSTERBOTTENS LÄN</t>
        </is>
      </c>
      <c r="G164" t="inlineStr">
        <is>
          <t>DOROTEA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45852</v>
      </c>
      <c r="E165" s="1" t="n">
        <v>46297</v>
      </c>
      <c r="F165" t="inlineStr">
        <is>
          <t>VÄSTERBOTTENS LÄN</t>
        </is>
      </c>
      <c r="G165" t="inlineStr">
        <is>
          <t>DOROTEA</t>
        </is>
      </c>
      <c r="H165" t="inlineStr">
        <is>
          <t>Allmännings- och besparingsskogar</t>
        </is>
      </c>
      <c r="I165" t="n">
        <v>22.1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35203-2025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45852</v>
      </c>
      <c r="E166" s="1" t="n">
        <v>46297</v>
      </c>
      <c r="F166" t="inlineStr">
        <is>
          <t>VÄSTERBOTTENS LÄN</t>
        </is>
      </c>
      <c r="G166" t="inlineStr">
        <is>
          <t>DOROTEA</t>
        </is>
      </c>
      <c r="H166" t="inlineStr">
        <is>
          <t>Allmännings- och besparingsskogar</t>
        </is>
      </c>
      <c r="I166" t="n">
        <v>20.3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46297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45807</v>
      </c>
      <c r="E168" s="1" t="n">
        <v>46297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46297</v>
      </c>
      <c r="F169" t="inlineStr">
        <is>
          <t>VÄSTERBOTTENS LÄN</t>
        </is>
      </c>
      <c r="G169" t="inlineStr">
        <is>
          <t>DOROTEA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25719-2024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46297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37105-2024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45539</v>
      </c>
      <c r="E171" s="1" t="n">
        <v>46297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12.3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44956</v>
      </c>
      <c r="E172" s="1" t="n">
        <v>46297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14759-2025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45742</v>
      </c>
      <c r="E173" s="1" t="n">
        <v>46297</v>
      </c>
      <c r="F173" t="inlineStr">
        <is>
          <t>VÄSTERBOTTENS LÄN</t>
        </is>
      </c>
      <c r="G173" t="inlineStr">
        <is>
          <t>DOROTEA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14249-2026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46099</v>
      </c>
      <c r="E174" s="1" t="n">
        <v>46297</v>
      </c>
      <c r="F174" t="inlineStr">
        <is>
          <t>VÄSTERBOTTENS LÄN</t>
        </is>
      </c>
      <c r="G174" t="inlineStr">
        <is>
          <t>DOROTEA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26904-2025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46297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44719</v>
      </c>
      <c r="E176" s="1" t="n">
        <v>46297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22733-2023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45071</v>
      </c>
      <c r="E177" s="1" t="n">
        <v>46297</v>
      </c>
      <c r="F177" t="inlineStr">
        <is>
          <t>VÄSTERBOTTENS LÄN</t>
        </is>
      </c>
      <c r="G177" t="inlineStr">
        <is>
          <t>DOROTEA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22942-2024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45448</v>
      </c>
      <c r="E178" s="1" t="n">
        <v>46297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52412-2025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45954</v>
      </c>
      <c r="E179" s="1" t="n">
        <v>46297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15020-2026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46104</v>
      </c>
      <c r="E180" s="1" t="n">
        <v>46297</v>
      </c>
      <c r="F180" t="inlineStr">
        <is>
          <t>VÄSTERBOTTENS LÄN</t>
        </is>
      </c>
      <c r="G180" t="inlineStr">
        <is>
          <t>DOROTEA</t>
        </is>
      </c>
      <c r="I180" t="n">
        <v>7.8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46297</v>
      </c>
      <c r="F181" t="inlineStr">
        <is>
          <t>VÄSTERBOTTENS LÄN</t>
        </is>
      </c>
      <c r="G181" t="inlineStr">
        <is>
          <t>DOROTEA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53409-2025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46297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8.199999999999999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15901-2026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46107</v>
      </c>
      <c r="E183" s="1" t="n">
        <v>46297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45965</v>
      </c>
      <c r="E184" s="1" t="n">
        <v>46297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16251-2026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46111</v>
      </c>
      <c r="E185" s="1" t="n">
        <v>46297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6.7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54623-2025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45966</v>
      </c>
      <c r="E186" s="1" t="n">
        <v>46297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16352-2026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46111</v>
      </c>
      <c r="E187" s="1" t="n">
        <v>46297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33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54624-2025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46297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16276-2026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46297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25028-2024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45461</v>
      </c>
      <c r="E190" s="1" t="n">
        <v>46297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16896-2026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46297</v>
      </c>
      <c r="F191" t="inlineStr">
        <is>
          <t>VÄSTERBOTTENS LÄN</t>
        </is>
      </c>
      <c r="G191" t="inlineStr">
        <is>
          <t>DOROTEA</t>
        </is>
      </c>
      <c r="H191" t="inlineStr">
        <is>
          <t>Kommuner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46114</v>
      </c>
      <c r="E192" s="1" t="n">
        <v>46297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46297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17623-2026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46121</v>
      </c>
      <c r="E194" s="1" t="n">
        <v>46297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20.3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17537-2026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46120</v>
      </c>
      <c r="E195" s="1" t="n">
        <v>46297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18143-2026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46125</v>
      </c>
      <c r="E196" s="1" t="n">
        <v>46297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46123</v>
      </c>
      <c r="E197" s="1" t="n">
        <v>46297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45975</v>
      </c>
      <c r="E198" s="1" t="n">
        <v>46297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46297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18.3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46125</v>
      </c>
      <c r="E200" s="1" t="n">
        <v>46297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4617-2023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44956</v>
      </c>
      <c r="E201" s="1" t="n">
        <v>46297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56556-2025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45975</v>
      </c>
      <c r="E202" s="1" t="n">
        <v>46297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45978</v>
      </c>
      <c r="E203" s="1" t="n">
        <v>46297</v>
      </c>
      <c r="F203" t="inlineStr">
        <is>
          <t>VÄSTERBOTTENS LÄN</t>
        </is>
      </c>
      <c r="G203" t="inlineStr">
        <is>
          <t>DOROTEA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57250-2025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46297</v>
      </c>
      <c r="F204" t="inlineStr">
        <is>
          <t>VÄSTERBOTTENS LÄN</t>
        </is>
      </c>
      <c r="G204" t="inlineStr">
        <is>
          <t>DOROTEA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18254-2026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46126</v>
      </c>
      <c r="E205" s="1" t="n">
        <v>46297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56707-2025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45977</v>
      </c>
      <c r="E206" s="1" t="n">
        <v>46297</v>
      </c>
      <c r="F206" t="inlineStr">
        <is>
          <t>VÄSTERBOTTENS LÄN</t>
        </is>
      </c>
      <c r="G206" t="inlineStr">
        <is>
          <t>DOROTEA</t>
        </is>
      </c>
      <c r="H206" t="inlineStr">
        <is>
          <t>SCA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18310-2026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46126</v>
      </c>
      <c r="E207" s="1" t="n">
        <v>46297</v>
      </c>
      <c r="F207" t="inlineStr">
        <is>
          <t>VÄSTERBOTTENS LÄN</t>
        </is>
      </c>
      <c r="G207" t="inlineStr">
        <is>
          <t>DOROTEA</t>
        </is>
      </c>
      <c r="H207" t="inlineStr">
        <is>
          <t>SCA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57480-2025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45980</v>
      </c>
      <c r="E208" s="1" t="n">
        <v>46297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45980</v>
      </c>
      <c r="E209" s="1" t="n">
        <v>46297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57380-2025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45980</v>
      </c>
      <c r="E210" s="1" t="n">
        <v>46297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10.2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45982</v>
      </c>
      <c r="E211" s="1" t="n">
        <v>46297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18.2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46297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57819-2025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45981</v>
      </c>
      <c r="E213" s="1" t="n">
        <v>46297</v>
      </c>
      <c r="F213" t="inlineStr">
        <is>
          <t>VÄSTERBOTTENS LÄN</t>
        </is>
      </c>
      <c r="G213" t="inlineStr">
        <is>
          <t>DOROTEA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46297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46297</v>
      </c>
      <c r="F215" t="inlineStr">
        <is>
          <t>VÄSTERBOTTENS LÄN</t>
        </is>
      </c>
      <c r="G215" t="inlineStr">
        <is>
          <t>DOROTEA</t>
        </is>
      </c>
      <c r="I215" t="n">
        <v>8.9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60162-2024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45642</v>
      </c>
      <c r="E216" s="1" t="n">
        <v>46297</v>
      </c>
      <c r="F216" t="inlineStr">
        <is>
          <t>VÄSTERBOTTENS LÄN</t>
        </is>
      </c>
      <c r="G216" t="inlineStr">
        <is>
          <t>DOROTEA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46297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58600-2025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46297</v>
      </c>
      <c r="F218" t="inlineStr">
        <is>
          <t>VÄSTERBOTTENS LÄN</t>
        </is>
      </c>
      <c r="G218" t="inlineStr">
        <is>
          <t>DOROTEA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19298-2026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46133</v>
      </c>
      <c r="E219" s="1" t="n">
        <v>46297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19446-2026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46133</v>
      </c>
      <c r="E220" s="1" t="n">
        <v>46297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59338-2025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46297</v>
      </c>
      <c r="F221" t="inlineStr">
        <is>
          <t>VÄSTERBOTTENS LÄN</t>
        </is>
      </c>
      <c r="G221" t="inlineStr">
        <is>
          <t>DOROTEA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45988</v>
      </c>
      <c r="E222" s="1" t="n">
        <v>46297</v>
      </c>
      <c r="F222" t="inlineStr">
        <is>
          <t>VÄSTERBOTTENS LÄN</t>
        </is>
      </c>
      <c r="G222" t="inlineStr">
        <is>
          <t>DOROTEA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59054-2025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46297</v>
      </c>
      <c r="F223" t="inlineStr">
        <is>
          <t>VÄSTERBOTTENS LÄN</t>
        </is>
      </c>
      <c r="G223" t="inlineStr">
        <is>
          <t>DOROTEA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46297</v>
      </c>
      <c r="F224" t="inlineStr">
        <is>
          <t>VÄSTERBOTTENS LÄN</t>
        </is>
      </c>
      <c r="G224" t="inlineStr">
        <is>
          <t>DOROTEA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60163-2024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45642</v>
      </c>
      <c r="E225" s="1" t="n">
        <v>46297</v>
      </c>
      <c r="F225" t="inlineStr">
        <is>
          <t>VÄSTERBOTTENS LÄN</t>
        </is>
      </c>
      <c r="G225" t="inlineStr">
        <is>
          <t>DOROTEA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45125</v>
      </c>
      <c r="E226" s="1" t="n">
        <v>46297</v>
      </c>
      <c r="F226" t="inlineStr">
        <is>
          <t>VÄSTERBOTTENS LÄN</t>
        </is>
      </c>
      <c r="G226" t="inlineStr">
        <is>
          <t>DOROTEA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35937-2025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45862</v>
      </c>
      <c r="E227" s="1" t="n">
        <v>46297</v>
      </c>
      <c r="F227" t="inlineStr">
        <is>
          <t>VÄSTERBOTTENS LÄN</t>
        </is>
      </c>
      <c r="G227" t="inlineStr">
        <is>
          <t>DOROTEA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29258-2025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46297</v>
      </c>
      <c r="F228" t="inlineStr">
        <is>
          <t>VÄSTERBOTTENS LÄN</t>
        </is>
      </c>
      <c r="G228" t="inlineStr">
        <is>
          <t>DOROTEA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34503-2025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45846</v>
      </c>
      <c r="E229" s="1" t="n">
        <v>46297</v>
      </c>
      <c r="F229" t="inlineStr">
        <is>
          <t>VÄSTERBOTTENS LÄN</t>
        </is>
      </c>
      <c r="G229" t="inlineStr">
        <is>
          <t>DOROTEA</t>
        </is>
      </c>
      <c r="I229" t="n">
        <v>14.7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20522-2026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46140</v>
      </c>
      <c r="E230" s="1" t="n">
        <v>46297</v>
      </c>
      <c r="F230" t="inlineStr">
        <is>
          <t>VÄSTERBOTTENS LÄN</t>
        </is>
      </c>
      <c r="G230" t="inlineStr">
        <is>
          <t>DOROTEA</t>
        </is>
      </c>
      <c r="H230" t="inlineStr">
        <is>
          <t>SCA</t>
        </is>
      </c>
      <c r="I230" t="n">
        <v>6.2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45855</v>
      </c>
      <c r="E231" s="1" t="n">
        <v>46297</v>
      </c>
      <c r="F231" t="inlineStr">
        <is>
          <t>VÄSTERBOTTENS LÄN</t>
        </is>
      </c>
      <c r="G231" t="inlineStr">
        <is>
          <t>DOROTEA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60724-2025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45996</v>
      </c>
      <c r="E232" s="1" t="n">
        <v>46297</v>
      </c>
      <c r="F232" t="inlineStr">
        <is>
          <t>VÄSTERBOTTENS LÄN</t>
        </is>
      </c>
      <c r="G232" t="inlineStr">
        <is>
          <t>DOROTEA</t>
        </is>
      </c>
      <c r="I232" t="n">
        <v>23.9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45182</v>
      </c>
      <c r="E233" s="1" t="n">
        <v>46297</v>
      </c>
      <c r="F233" t="inlineStr">
        <is>
          <t>VÄSTERBOTTENS LÄN</t>
        </is>
      </c>
      <c r="G233" t="inlineStr">
        <is>
          <t>DOROTEA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36096-2025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45866</v>
      </c>
      <c r="E234" s="1" t="n">
        <v>46297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58313-2024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45632</v>
      </c>
      <c r="E235" s="1" t="n">
        <v>46297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46297</v>
      </c>
      <c r="F236" t="inlineStr">
        <is>
          <t>VÄSTERBOTTENS LÄN</t>
        </is>
      </c>
      <c r="G236" t="inlineStr">
        <is>
          <t>DOROTEA</t>
        </is>
      </c>
      <c r="I236" t="n">
        <v>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45295</v>
      </c>
      <c r="E237" s="1" t="n">
        <v>46297</v>
      </c>
      <c r="F237" t="inlineStr">
        <is>
          <t>VÄSTERBOTTENS LÄN</t>
        </is>
      </c>
      <c r="G237" t="inlineStr">
        <is>
          <t>DOROTEA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40434-2023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45169</v>
      </c>
      <c r="E238" s="1" t="n">
        <v>46297</v>
      </c>
      <c r="F238" t="inlineStr">
        <is>
          <t>VÄSTERBOTTENS LÄN</t>
        </is>
      </c>
      <c r="G238" t="inlineStr">
        <is>
          <t>DOROTEA</t>
        </is>
      </c>
      <c r="H238" t="inlineStr">
        <is>
          <t>SCA</t>
        </is>
      </c>
      <c r="I238" t="n">
        <v>13.9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63294-2025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46010</v>
      </c>
      <c r="E239" s="1" t="n">
        <v>46297</v>
      </c>
      <c r="F239" t="inlineStr">
        <is>
          <t>VÄSTERBOTTENS LÄN</t>
        </is>
      </c>
      <c r="G239" t="inlineStr">
        <is>
          <t>DOROTEA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46818-2023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45198</v>
      </c>
      <c r="E240" s="1" t="n">
        <v>46297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41104-2023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45170</v>
      </c>
      <c r="E241" s="1" t="n">
        <v>46297</v>
      </c>
      <c r="F241" t="inlineStr">
        <is>
          <t>VÄSTERBOTTENS LÄN</t>
        </is>
      </c>
      <c r="G241" t="inlineStr">
        <is>
          <t>DOROTEA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45978</v>
      </c>
      <c r="E242" s="1" t="n">
        <v>46297</v>
      </c>
      <c r="F242" t="inlineStr">
        <is>
          <t>VÄSTERBOTTENS LÄN</t>
        </is>
      </c>
      <c r="G242" t="inlineStr">
        <is>
          <t>DOROTEA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60145-2021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44494</v>
      </c>
      <c r="E243" s="1" t="n">
        <v>46297</v>
      </c>
      <c r="F243" t="inlineStr">
        <is>
          <t>VÄSTERBOTTENS LÄN</t>
        </is>
      </c>
      <c r="G243" t="inlineStr">
        <is>
          <t>DOROTEA</t>
        </is>
      </c>
      <c r="I243" t="n">
        <v>13.3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20321-2026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46297</v>
      </c>
      <c r="F244" t="inlineStr">
        <is>
          <t>VÄSTERBOTTENS LÄN</t>
        </is>
      </c>
      <c r="G244" t="inlineStr">
        <is>
          <t>DOROTEA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46297</v>
      </c>
      <c r="F245" t="inlineStr">
        <is>
          <t>VÄSTERBOTTENS LÄN</t>
        </is>
      </c>
      <c r="G245" t="inlineStr">
        <is>
          <t>DOROTEA</t>
        </is>
      </c>
      <c r="I245" t="n">
        <v>6.1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63575-2025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46013</v>
      </c>
      <c r="E246" s="1" t="n">
        <v>46297</v>
      </c>
      <c r="F246" t="inlineStr">
        <is>
          <t>VÄSTERBOTTENS LÄN</t>
        </is>
      </c>
      <c r="G246" t="inlineStr">
        <is>
          <t>DOROTEA</t>
        </is>
      </c>
      <c r="I246" t="n">
        <v>6.6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62193-2025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46003</v>
      </c>
      <c r="E247" s="1" t="n">
        <v>46297</v>
      </c>
      <c r="F247" t="inlineStr">
        <is>
          <t>VÄSTERBOTTENS LÄN</t>
        </is>
      </c>
      <c r="G247" t="inlineStr">
        <is>
          <t>DOROTEA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61831-2025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46003</v>
      </c>
      <c r="E248" s="1" t="n">
        <v>46297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46297</v>
      </c>
      <c r="F249" t="inlineStr">
        <is>
          <t>VÄSTERBOTTENS LÄN</t>
        </is>
      </c>
      <c r="G249" t="inlineStr">
        <is>
          <t>DOROTEA</t>
        </is>
      </c>
      <c r="I249" t="n">
        <v>31.7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37072-2024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45539</v>
      </c>
      <c r="E250" s="1" t="n">
        <v>46297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8.199999999999999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59007-2024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45636</v>
      </c>
      <c r="E251" s="1" t="n">
        <v>46297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44888</v>
      </c>
      <c r="E252" s="1" t="n">
        <v>46297</v>
      </c>
      <c r="F252" t="inlineStr">
        <is>
          <t>VÄSTERBOTTENS LÄN</t>
        </is>
      </c>
      <c r="G252" t="inlineStr">
        <is>
          <t>DOROTEA</t>
        </is>
      </c>
      <c r="I252" t="n">
        <v>15.8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46297</v>
      </c>
      <c r="F253" t="inlineStr">
        <is>
          <t>VÄSTERBOTTENS LÄN</t>
        </is>
      </c>
      <c r="G253" t="inlineStr">
        <is>
          <t>DOROTEA</t>
        </is>
      </c>
      <c r="I253" t="n">
        <v>16.7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62422-2025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46007</v>
      </c>
      <c r="E254" s="1" t="n">
        <v>46297</v>
      </c>
      <c r="F254" t="inlineStr">
        <is>
          <t>VÄSTERBOTTENS LÄN</t>
        </is>
      </c>
      <c r="G254" t="inlineStr">
        <is>
          <t>DOROTEA</t>
        </is>
      </c>
      <c r="I254" t="n">
        <v>6.4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62423-2025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46007</v>
      </c>
      <c r="E255" s="1" t="n">
        <v>46297</v>
      </c>
      <c r="F255" t="inlineStr">
        <is>
          <t>VÄSTERBOTTENS LÄN</t>
        </is>
      </c>
      <c r="G255" t="inlineStr">
        <is>
          <t>DOROTEA</t>
        </is>
      </c>
      <c r="I255" t="n">
        <v>13.2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17132-2025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45755</v>
      </c>
      <c r="E256" s="1" t="n">
        <v>46297</v>
      </c>
      <c r="F256" t="inlineStr">
        <is>
          <t>VÄSTERBOTTENS LÄN</t>
        </is>
      </c>
      <c r="G256" t="inlineStr">
        <is>
          <t>DOROTEA</t>
        </is>
      </c>
      <c r="I256" t="n">
        <v>7.6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10400-2025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45720</v>
      </c>
      <c r="E257" s="1" t="n">
        <v>46297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20333-2026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46136</v>
      </c>
      <c r="E258" s="1" t="n">
        <v>46297</v>
      </c>
      <c r="F258" t="inlineStr">
        <is>
          <t>VÄSTERBOTTENS LÄN</t>
        </is>
      </c>
      <c r="G258" t="inlineStr">
        <is>
          <t>DOROTEA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46297</v>
      </c>
      <c r="F259" t="inlineStr">
        <is>
          <t>VÄSTERBOTTENS LÄN</t>
        </is>
      </c>
      <c r="G259" t="inlineStr">
        <is>
          <t>DOROTEA</t>
        </is>
      </c>
      <c r="I259" t="n">
        <v>12.3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27909-2024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45475</v>
      </c>
      <c r="E260" s="1" t="n">
        <v>46297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62974-2025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46009</v>
      </c>
      <c r="E261" s="1" t="n">
        <v>46297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9.4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46010</v>
      </c>
      <c r="E262" s="1" t="n">
        <v>46297</v>
      </c>
      <c r="F262" t="inlineStr">
        <is>
          <t>VÄSTERBOTTENS LÄN</t>
        </is>
      </c>
      <c r="G262" t="inlineStr">
        <is>
          <t>DOROTEA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31532-2025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45833</v>
      </c>
      <c r="E263" s="1" t="n">
        <v>46297</v>
      </c>
      <c r="F263" t="inlineStr">
        <is>
          <t>VÄSTERBOTTENS LÄN</t>
        </is>
      </c>
      <c r="G263" t="inlineStr">
        <is>
          <t>DOROTEA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31510-2025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45833</v>
      </c>
      <c r="E264" s="1" t="n">
        <v>46297</v>
      </c>
      <c r="F264" t="inlineStr">
        <is>
          <t>VÄSTERBOTTENS LÄN</t>
        </is>
      </c>
      <c r="G264" t="inlineStr">
        <is>
          <t>DOROTEA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53092-2024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45611</v>
      </c>
      <c r="E265" s="1" t="n">
        <v>46297</v>
      </c>
      <c r="F265" t="inlineStr">
        <is>
          <t>VÄSTERBOTTENS LÄN</t>
        </is>
      </c>
      <c r="G265" t="inlineStr">
        <is>
          <t>DOROTEA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34279-2025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45846</v>
      </c>
      <c r="E266" s="1" t="n">
        <v>46297</v>
      </c>
      <c r="F266" t="inlineStr">
        <is>
          <t>VÄSTERBOTTENS LÄN</t>
        </is>
      </c>
      <c r="G266" t="inlineStr">
        <is>
          <t>DOROTEA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34681-2025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45848</v>
      </c>
      <c r="E267" s="1" t="n">
        <v>46297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34488-2025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45847</v>
      </c>
      <c r="E268" s="1" t="n">
        <v>46297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34856-2025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45849</v>
      </c>
      <c r="E269" s="1" t="n">
        <v>46297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35093-2025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45852</v>
      </c>
      <c r="E270" s="1" t="n">
        <v>46297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35418-2025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45855</v>
      </c>
      <c r="E271" s="1" t="n">
        <v>46297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35456-2025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45855</v>
      </c>
      <c r="E272" s="1" t="n">
        <v>46297</v>
      </c>
      <c r="F272" t="inlineStr">
        <is>
          <t>VÄSTERBOTTENS LÄN</t>
        </is>
      </c>
      <c r="G272" t="inlineStr">
        <is>
          <t>DOROTEA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45855</v>
      </c>
      <c r="E273" s="1" t="n">
        <v>46297</v>
      </c>
      <c r="F273" t="inlineStr">
        <is>
          <t>VÄSTERBOTTENS LÄN</t>
        </is>
      </c>
      <c r="G273" t="inlineStr">
        <is>
          <t>DOROTEA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35458-2025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45855</v>
      </c>
      <c r="E274" s="1" t="n">
        <v>46297</v>
      </c>
      <c r="F274" t="inlineStr">
        <is>
          <t>VÄSTERBOTTENS LÄN</t>
        </is>
      </c>
      <c r="G274" t="inlineStr">
        <is>
          <t>DOROTEA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45013</v>
      </c>
      <c r="E275" s="1" t="n">
        <v>46297</v>
      </c>
      <c r="F275" t="inlineStr">
        <is>
          <t>VÄSTERBOTTENS LÄN</t>
        </is>
      </c>
      <c r="G275" t="inlineStr">
        <is>
          <t>DOROTEA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36125-2025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45866</v>
      </c>
      <c r="E276" s="1" t="n">
        <v>46297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36111-2025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45866</v>
      </c>
      <c r="E277" s="1" t="n">
        <v>46297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36845-2025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45874</v>
      </c>
      <c r="E278" s="1" t="n">
        <v>46297</v>
      </c>
      <c r="F278" t="inlineStr">
        <is>
          <t>VÄSTERBOTTENS LÄN</t>
        </is>
      </c>
      <c r="G278" t="inlineStr">
        <is>
          <t>DOROTEA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59329-2025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45988</v>
      </c>
      <c r="E279" s="1" t="n">
        <v>46297</v>
      </c>
      <c r="F279" t="inlineStr">
        <is>
          <t>VÄSTERBOTTENS LÄN</t>
        </is>
      </c>
      <c r="G279" t="inlineStr">
        <is>
          <t>DOROTEA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57236-2022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44889</v>
      </c>
      <c r="E280" s="1" t="n">
        <v>46297</v>
      </c>
      <c r="F280" t="inlineStr">
        <is>
          <t>VÄSTERBOTTENS LÄN</t>
        </is>
      </c>
      <c r="G280" t="inlineStr">
        <is>
          <t>DOROTEA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7397-2025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45705</v>
      </c>
      <c r="E281" s="1" t="n">
        <v>46297</v>
      </c>
      <c r="F281" t="inlineStr">
        <is>
          <t>VÄSTERBOTTENS LÄN</t>
        </is>
      </c>
      <c r="G281" t="inlineStr">
        <is>
          <t>DOROTEA</t>
        </is>
      </c>
      <c r="I281" t="n">
        <v>13.3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36844-2025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45874</v>
      </c>
      <c r="E282" s="1" t="n">
        <v>46297</v>
      </c>
      <c r="F282" t="inlineStr">
        <is>
          <t>VÄSTERBOTTENS LÄN</t>
        </is>
      </c>
      <c r="G282" t="inlineStr">
        <is>
          <t>DOROTEA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37282-2025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45876</v>
      </c>
      <c r="E283" s="1" t="n">
        <v>46297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8247-2024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45351</v>
      </c>
      <c r="E284" s="1" t="n">
        <v>46297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37259-2025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45876</v>
      </c>
      <c r="E285" s="1" t="n">
        <v>46297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45875</v>
      </c>
      <c r="E286" s="1" t="n">
        <v>46297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20332-2026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46136</v>
      </c>
      <c r="E287" s="1" t="n">
        <v>46297</v>
      </c>
      <c r="F287" t="inlineStr">
        <is>
          <t>VÄSTERBOTTENS LÄN</t>
        </is>
      </c>
      <c r="G287" t="inlineStr">
        <is>
          <t>DOROTEA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20390-2026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46297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37276-2025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45876</v>
      </c>
      <c r="E289" s="1" t="n">
        <v>46297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57071-2023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45244</v>
      </c>
      <c r="E290" s="1" t="n">
        <v>46297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20286-2026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46136</v>
      </c>
      <c r="E291" s="1" t="n">
        <v>46297</v>
      </c>
      <c r="F291" t="inlineStr">
        <is>
          <t>VÄSTERBOTTENS LÄN</t>
        </is>
      </c>
      <c r="G291" t="inlineStr">
        <is>
          <t>DOROTEA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46297</v>
      </c>
      <c r="F292" t="inlineStr">
        <is>
          <t>VÄSTERBOTTENS LÄN</t>
        </is>
      </c>
      <c r="G292" t="inlineStr">
        <is>
          <t>DOROTEA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20755-2026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46297</v>
      </c>
      <c r="F293" t="inlineStr">
        <is>
          <t>VÄSTERBOTTENS LÄN</t>
        </is>
      </c>
      <c r="G293" t="inlineStr">
        <is>
          <t>DOROTEA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37476-2025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45877</v>
      </c>
      <c r="E294" s="1" t="n">
        <v>46297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8709-2025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45712</v>
      </c>
      <c r="E295" s="1" t="n">
        <v>46297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30570-2023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45111</v>
      </c>
      <c r="E296" s="1" t="n">
        <v>46297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38100-2025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46297</v>
      </c>
      <c r="F297" t="inlineStr">
        <is>
          <t>VÄSTERBOTTENS LÄN</t>
        </is>
      </c>
      <c r="G297" t="inlineStr">
        <is>
          <t>DOROTEA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20754-2026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46141</v>
      </c>
      <c r="E298" s="1" t="n">
        <v>46297</v>
      </c>
      <c r="F298" t="inlineStr">
        <is>
          <t>VÄSTERBOTTENS LÄN</t>
        </is>
      </c>
      <c r="G298" t="inlineStr">
        <is>
          <t>DOROTEA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38101-2025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45882</v>
      </c>
      <c r="E299" s="1" t="n">
        <v>46297</v>
      </c>
      <c r="F299" t="inlineStr">
        <is>
          <t>VÄSTERBOTTENS LÄN</t>
        </is>
      </c>
      <c r="G299" t="inlineStr">
        <is>
          <t>DOROTEA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20231-2026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46297</v>
      </c>
      <c r="F300" t="inlineStr">
        <is>
          <t>VÄSTERBOTTENS LÄN</t>
        </is>
      </c>
      <c r="G300" t="inlineStr">
        <is>
          <t>DOROTEA</t>
        </is>
      </c>
      <c r="I300" t="n">
        <v>21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38099-2025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45882</v>
      </c>
      <c r="E301" s="1" t="n">
        <v>46297</v>
      </c>
      <c r="F301" t="inlineStr">
        <is>
          <t>VÄSTERBOTTENS LÄN</t>
        </is>
      </c>
      <c r="G301" t="inlineStr">
        <is>
          <t>DOROTEA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20680-2026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46297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46136</v>
      </c>
      <c r="E303" s="1" t="n">
        <v>46297</v>
      </c>
      <c r="F303" t="inlineStr">
        <is>
          <t>VÄSTERBOTTENS LÄN</t>
        </is>
      </c>
      <c r="G303" t="inlineStr">
        <is>
          <t>DOROTEA</t>
        </is>
      </c>
      <c r="I303" t="n">
        <v>17.8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46297</v>
      </c>
      <c r="F304" t="inlineStr">
        <is>
          <t>VÄSTERBOTTENS LÄN</t>
        </is>
      </c>
      <c r="G304" t="inlineStr">
        <is>
          <t>DOROTEA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38098-2025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45882</v>
      </c>
      <c r="E305" s="1" t="n">
        <v>46297</v>
      </c>
      <c r="F305" t="inlineStr">
        <is>
          <t>VÄSTERBOTTENS LÄN</t>
        </is>
      </c>
      <c r="G305" t="inlineStr">
        <is>
          <t>DOROTEA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21199-2026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46146</v>
      </c>
      <c r="E306" s="1" t="n">
        <v>46297</v>
      </c>
      <c r="F306" t="inlineStr">
        <is>
          <t>VÄSTERBOTTENS LÄN</t>
        </is>
      </c>
      <c r="G306" t="inlineStr">
        <is>
          <t>DOROTEA</t>
        </is>
      </c>
      <c r="H306" t="inlineStr">
        <is>
          <t>SCA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21152-2026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46146</v>
      </c>
      <c r="E307" s="1" t="n">
        <v>46297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4.5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21338-2026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46147</v>
      </c>
      <c r="E308" s="1" t="n">
        <v>46297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46147</v>
      </c>
      <c r="E309" s="1" t="n">
        <v>46297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21749-2026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46149</v>
      </c>
      <c r="E310" s="1" t="n">
        <v>46297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21812-2026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46150</v>
      </c>
      <c r="E311" s="1" t="n">
        <v>46297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7.2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46297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12.8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46189</v>
      </c>
      <c r="E313" s="1" t="n">
        <v>46297</v>
      </c>
      <c r="F313" t="inlineStr">
        <is>
          <t>VÄSTERBOTTENS LÄN</t>
        </is>
      </c>
      <c r="G313" t="inlineStr">
        <is>
          <t>DOROTEA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27777-2026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46189</v>
      </c>
      <c r="E314" s="1" t="n">
        <v>46297</v>
      </c>
      <c r="F314" t="inlineStr">
        <is>
          <t>VÄSTERBOTTENS LÄN</t>
        </is>
      </c>
      <c r="G314" t="inlineStr">
        <is>
          <t>DOROTEA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27780-2026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46189</v>
      </c>
      <c r="E315" s="1" t="n">
        <v>46297</v>
      </c>
      <c r="F315" t="inlineStr">
        <is>
          <t>VÄSTERBOTTENS LÄN</t>
        </is>
      </c>
      <c r="G315" t="inlineStr">
        <is>
          <t>DOROTEA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745-2022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44568</v>
      </c>
      <c r="E316" s="1" t="n">
        <v>46297</v>
      </c>
      <c r="F316" t="inlineStr">
        <is>
          <t>VÄSTERBOTTENS LÄN</t>
        </is>
      </c>
      <c r="G316" t="inlineStr">
        <is>
          <t>DOROTEA</t>
        </is>
      </c>
      <c r="I316" t="n">
        <v>5.4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22128-2026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46297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44888</v>
      </c>
      <c r="E318" s="1" t="n">
        <v>46297</v>
      </c>
      <c r="F318" t="inlineStr">
        <is>
          <t>VÄSTERBOTTENS LÄN</t>
        </is>
      </c>
      <c r="G318" t="inlineStr">
        <is>
          <t>DOROTEA</t>
        </is>
      </c>
      <c r="I318" t="n">
        <v>7.6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22214-2026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46153</v>
      </c>
      <c r="E319" s="1" t="n">
        <v>46297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16.4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17591-2025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45757</v>
      </c>
      <c r="E320" s="1" t="n">
        <v>46297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45036</v>
      </c>
      <c r="E321" s="1" t="n">
        <v>46297</v>
      </c>
      <c r="F321" t="inlineStr">
        <is>
          <t>VÄSTERBOTTENS LÄN</t>
        </is>
      </c>
      <c r="G321" t="inlineStr">
        <is>
          <t>DOROTEA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46297</v>
      </c>
      <c r="F322" t="inlineStr">
        <is>
          <t>VÄSTERBOTTENS LÄN</t>
        </is>
      </c>
      <c r="G322" t="inlineStr">
        <is>
          <t>DOROTEA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15352-2025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45747</v>
      </c>
      <c r="E323" s="1" t="n">
        <v>46297</v>
      </c>
      <c r="F323" t="inlineStr">
        <is>
          <t>VÄSTERBOTTENS LÄN</t>
        </is>
      </c>
      <c r="G323" t="inlineStr">
        <is>
          <t>DOROTEA</t>
        </is>
      </c>
      <c r="I323" t="n">
        <v>10.3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41771-2024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45561</v>
      </c>
      <c r="E324" s="1" t="n">
        <v>46297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55919-2023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45239</v>
      </c>
      <c r="E325" s="1" t="n">
        <v>46297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22580-2023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45069</v>
      </c>
      <c r="E326" s="1" t="n">
        <v>46297</v>
      </c>
      <c r="F326" t="inlineStr">
        <is>
          <t>VÄSTERBOTTENS LÄN</t>
        </is>
      </c>
      <c r="G326" t="inlineStr">
        <is>
          <t>DOROTEA</t>
        </is>
      </c>
      <c r="I326" t="n">
        <v>5.7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22650-2026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46297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6.5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15735-2026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46107</v>
      </c>
      <c r="E328" s="1" t="n">
        <v>46297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23001-2026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46160</v>
      </c>
      <c r="E329" s="1" t="n">
        <v>46297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38377-2023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45161</v>
      </c>
      <c r="E330" s="1" t="n">
        <v>46297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38096-2025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45882</v>
      </c>
      <c r="E331" s="1" t="n">
        <v>46297</v>
      </c>
      <c r="F331" t="inlineStr">
        <is>
          <t>VÄSTERBOTTENS LÄN</t>
        </is>
      </c>
      <c r="G331" t="inlineStr">
        <is>
          <t>DOROTEA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31497-2024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45505</v>
      </c>
      <c r="E332" s="1" t="n">
        <v>46297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23336-2026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46162</v>
      </c>
      <c r="E333" s="1" t="n">
        <v>46297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23324-2026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46162</v>
      </c>
      <c r="E334" s="1" t="n">
        <v>46297</v>
      </c>
      <c r="F334" t="inlineStr">
        <is>
          <t>VÄSTERBOTTENS LÄN</t>
        </is>
      </c>
      <c r="G334" t="inlineStr">
        <is>
          <t>DOROTEA</t>
        </is>
      </c>
      <c r="H334" t="inlineStr">
        <is>
          <t>SCA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30461-2024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45491</v>
      </c>
      <c r="E335" s="1" t="n">
        <v>46297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7.1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54031-2025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45962</v>
      </c>
      <c r="E336" s="1" t="n">
        <v>46297</v>
      </c>
      <c r="F336" t="inlineStr">
        <is>
          <t>VÄSTERBOTTENS LÄN</t>
        </is>
      </c>
      <c r="G336" t="inlineStr">
        <is>
          <t>DOROTEA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9102-2023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44979</v>
      </c>
      <c r="E337" s="1" t="n">
        <v>46297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23214-2026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46162</v>
      </c>
      <c r="E338" s="1" t="n">
        <v>46297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23408-2026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46162</v>
      </c>
      <c r="E339" s="1" t="n">
        <v>46297</v>
      </c>
      <c r="F339" t="inlineStr">
        <is>
          <t>VÄSTERBOTTENS LÄN</t>
        </is>
      </c>
      <c r="G339" t="inlineStr">
        <is>
          <t>DOROTEA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50582-2024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45600</v>
      </c>
      <c r="E340" s="1" t="n">
        <v>46297</v>
      </c>
      <c r="F340" t="inlineStr">
        <is>
          <t>VÄSTERBOTTENS LÄN</t>
        </is>
      </c>
      <c r="G340" t="inlineStr">
        <is>
          <t>DOROTEA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17776-2023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45036</v>
      </c>
      <c r="E341" s="1" t="n">
        <v>46297</v>
      </c>
      <c r="F341" t="inlineStr">
        <is>
          <t>VÄSTERBOTTENS LÄN</t>
        </is>
      </c>
      <c r="G341" t="inlineStr">
        <is>
          <t>DOROTEA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29645-2023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45098</v>
      </c>
      <c r="E342" s="1" t="n">
        <v>46297</v>
      </c>
      <c r="F342" t="inlineStr">
        <is>
          <t>VÄSTERBOTTENS LÄN</t>
        </is>
      </c>
      <c r="G342" t="inlineStr">
        <is>
          <t>DOROTEA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46297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7.7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40599-2024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45556</v>
      </c>
      <c r="E344" s="1" t="n">
        <v>46297</v>
      </c>
      <c r="F344" t="inlineStr">
        <is>
          <t>VÄSTERBOTTENS LÄN</t>
        </is>
      </c>
      <c r="G344" t="inlineStr">
        <is>
          <t>DOROTEA</t>
        </is>
      </c>
      <c r="I344" t="n">
        <v>5.8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24839-2026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46174</v>
      </c>
      <c r="E345" s="1" t="n">
        <v>46297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11.8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24852-2026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46297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46966-2024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45586</v>
      </c>
      <c r="E347" s="1" t="n">
        <v>46297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Sveaskog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14255-2026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46099</v>
      </c>
      <c r="E348" s="1" t="n">
        <v>46297</v>
      </c>
      <c r="F348" t="inlineStr">
        <is>
          <t>VÄSTERBOTTENS LÄN</t>
        </is>
      </c>
      <c r="G348" t="inlineStr">
        <is>
          <t>DOROTEA</t>
        </is>
      </c>
      <c r="I348" t="n">
        <v>26.2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42515-2023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45180</v>
      </c>
      <c r="E349" s="1" t="n">
        <v>46297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27.7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10649-2025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45721</v>
      </c>
      <c r="E350" s="1" t="n">
        <v>46297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45331</v>
      </c>
      <c r="E351" s="1" t="n">
        <v>46297</v>
      </c>
      <c r="F351" t="inlineStr">
        <is>
          <t>VÄSTERBOTTENS LÄN</t>
        </is>
      </c>
      <c r="G351" t="inlineStr">
        <is>
          <t>DOROTEA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23300-2023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45075</v>
      </c>
      <c r="E352" s="1" t="n">
        <v>46297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17658-2023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45036</v>
      </c>
      <c r="E353" s="1" t="n">
        <v>46297</v>
      </c>
      <c r="F353" t="inlineStr">
        <is>
          <t>VÄSTERBOTTENS LÄN</t>
        </is>
      </c>
      <c r="G353" t="inlineStr">
        <is>
          <t>DOROTEA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26124-2026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46181</v>
      </c>
      <c r="E354" s="1" t="n">
        <v>46297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35990-2023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45148</v>
      </c>
      <c r="E355" s="1" t="n">
        <v>46297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53357-2024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46297</v>
      </c>
      <c r="F356" t="inlineStr">
        <is>
          <t>VÄSTERBOTTENS LÄN</t>
        </is>
      </c>
      <c r="G356" t="inlineStr">
        <is>
          <t>DOROTEA</t>
        </is>
      </c>
      <c r="I356" t="n">
        <v>26.5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25682-2026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46178</v>
      </c>
      <c r="E357" s="1" t="n">
        <v>46297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26237-2026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46182</v>
      </c>
      <c r="E358" s="1" t="n">
        <v>46297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26255-2026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46182</v>
      </c>
      <c r="E359" s="1" t="n">
        <v>46297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26926-2026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46185</v>
      </c>
      <c r="E360" s="1" t="n">
        <v>46297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7.4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46297</v>
      </c>
      <c r="F361" t="inlineStr">
        <is>
          <t>VÄSTERBOTTENS LÄN</t>
        </is>
      </c>
      <c r="G361" t="inlineStr">
        <is>
          <t>DOROTEA</t>
        </is>
      </c>
      <c r="H361" t="inlineStr">
        <is>
          <t>Kommuner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27738-2026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46191</v>
      </c>
      <c r="E362" s="1" t="n">
        <v>46297</v>
      </c>
      <c r="F362" t="inlineStr">
        <is>
          <t>VÄSTERBOTTENS LÄN</t>
        </is>
      </c>
      <c r="G362" t="inlineStr">
        <is>
          <t>DOROTEA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28176-2026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46195</v>
      </c>
      <c r="E363" s="1" t="n">
        <v>46297</v>
      </c>
      <c r="F363" t="inlineStr">
        <is>
          <t>VÄSTERBOTTENS LÄN</t>
        </is>
      </c>
      <c r="G363" t="inlineStr">
        <is>
          <t>DOROTEA</t>
        </is>
      </c>
      <c r="H363" t="inlineStr">
        <is>
          <t>SCA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28180-2026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46297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28360-2026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46196</v>
      </c>
      <c r="E365" s="1" t="n">
        <v>46297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SCA</t>
        </is>
      </c>
      <c r="I365" t="n">
        <v>49.5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28782-2026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46198</v>
      </c>
      <c r="E366" s="1" t="n">
        <v>46297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28741-2026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46198</v>
      </c>
      <c r="E367" s="1" t="n">
        <v>46297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28783-2026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46198</v>
      </c>
      <c r="E368" s="1" t="n">
        <v>46297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29757-2026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46297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9.300000000000001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44742</v>
      </c>
      <c r="E370" s="1" t="n">
        <v>46297</v>
      </c>
      <c r="F370" t="inlineStr">
        <is>
          <t>VÄSTERBOTTENS LÄN</t>
        </is>
      </c>
      <c r="G370" t="inlineStr">
        <is>
          <t>DOROTEA</t>
        </is>
      </c>
      <c r="I370" t="n">
        <v>7.4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30078-2026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46297</v>
      </c>
      <c r="F371" t="inlineStr">
        <is>
          <t>VÄSTERBOTTENS LÄN</t>
        </is>
      </c>
      <c r="G371" t="inlineStr">
        <is>
          <t>DOROTEA</t>
        </is>
      </c>
      <c r="H371" t="inlineStr">
        <is>
          <t>SCA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45223</v>
      </c>
      <c r="E372" s="1" t="n">
        <v>46297</v>
      </c>
      <c r="F372" t="inlineStr">
        <is>
          <t>VÄSTERBOTTENS LÄN</t>
        </is>
      </c>
      <c r="G372" t="inlineStr">
        <is>
          <t>DOROTEA</t>
        </is>
      </c>
      <c r="H372" t="inlineStr">
        <is>
          <t>SCA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46209</v>
      </c>
      <c r="E373" s="1" t="n">
        <v>46297</v>
      </c>
      <c r="F373" t="inlineStr">
        <is>
          <t>VÄSTERBOTTENS LÄN</t>
        </is>
      </c>
      <c r="G373" t="inlineStr">
        <is>
          <t>DOROTEA</t>
        </is>
      </c>
      <c r="I373" t="n">
        <v>5.8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46297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7.8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30740-2026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46211</v>
      </c>
      <c r="E375" s="1" t="n">
        <v>46297</v>
      </c>
      <c r="F375" t="inlineStr">
        <is>
          <t>VÄSTERBOTTENS LÄN</t>
        </is>
      </c>
      <c r="G375" t="inlineStr">
        <is>
          <t>DOROTEA</t>
        </is>
      </c>
      <c r="H375" t="inlineStr">
        <is>
          <t>SCA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30645-2026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46211</v>
      </c>
      <c r="E376" s="1" t="n">
        <v>46297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30885-2026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46212</v>
      </c>
      <c r="E377" s="1" t="n">
        <v>46297</v>
      </c>
      <c r="F377" t="inlineStr">
        <is>
          <t>VÄSTERBOTTENS LÄN</t>
        </is>
      </c>
      <c r="G377" t="inlineStr">
        <is>
          <t>DOROTEA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45169</v>
      </c>
      <c r="E378" s="1" t="n">
        <v>46297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46212</v>
      </c>
      <c r="E379" s="1" t="n">
        <v>46297</v>
      </c>
      <c r="F379" t="inlineStr">
        <is>
          <t>VÄSTERBOTTENS LÄN</t>
        </is>
      </c>
      <c r="G379" t="inlineStr">
        <is>
          <t>DOROTEA</t>
        </is>
      </c>
      <c r="I379" t="n">
        <v>8.4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30823-2026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46212</v>
      </c>
      <c r="E380" s="1" t="n">
        <v>46297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46213</v>
      </c>
      <c r="E381" s="1" t="n">
        <v>46297</v>
      </c>
      <c r="F381" t="inlineStr">
        <is>
          <t>VÄSTERBOTTENS LÄN</t>
        </is>
      </c>
      <c r="G381" t="inlineStr">
        <is>
          <t>DOROTEA</t>
        </is>
      </c>
      <c r="I381" t="n">
        <v>7.8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31006-2026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46213</v>
      </c>
      <c r="E382" s="1" t="n">
        <v>46297</v>
      </c>
      <c r="F382" t="inlineStr">
        <is>
          <t>VÄSTERBOTTENS LÄN</t>
        </is>
      </c>
      <c r="G382" t="inlineStr">
        <is>
          <t>DOROTEA</t>
        </is>
      </c>
      <c r="I382" t="n">
        <v>5.1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31181-2026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46217</v>
      </c>
      <c r="E383" s="1" t="n">
        <v>46297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15.6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13364-2025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45735</v>
      </c>
      <c r="E384" s="1" t="n">
        <v>46297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7.3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31179-2026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46217</v>
      </c>
      <c r="E385" s="1" t="n">
        <v>46297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31259-2026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46218</v>
      </c>
      <c r="E386" s="1" t="n">
        <v>46297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31302-2026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46218</v>
      </c>
      <c r="E387" s="1" t="n">
        <v>46297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19726-2025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45771</v>
      </c>
      <c r="E388" s="1" t="n">
        <v>46297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46261</v>
      </c>
      <c r="E389" s="1" t="n">
        <v>46297</v>
      </c>
      <c r="F389" t="inlineStr">
        <is>
          <t>VÄSTERBOTTENS LÄN</t>
        </is>
      </c>
      <c r="G389" t="inlineStr">
        <is>
          <t>DOROTEA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35353-2026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46261</v>
      </c>
      <c r="E390" s="1" t="n">
        <v>46297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35337-2026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46261</v>
      </c>
      <c r="E391" s="1" t="n">
        <v>46297</v>
      </c>
      <c r="F391" t="inlineStr">
        <is>
          <t>VÄSTERBOTTENS LÄN</t>
        </is>
      </c>
      <c r="G391" t="inlineStr">
        <is>
          <t>DOROTEA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35352-2026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46261</v>
      </c>
      <c r="E392" s="1" t="n">
        <v>46297</v>
      </c>
      <c r="F392" t="inlineStr">
        <is>
          <t>VÄSTERBOTTENS LÄN</t>
        </is>
      </c>
      <c r="G392" t="inlineStr">
        <is>
          <t>DOROTEA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35296-2026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46261</v>
      </c>
      <c r="E393" s="1" t="n">
        <v>46297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35500-2026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46262</v>
      </c>
      <c r="E394" s="1" t="n">
        <v>46297</v>
      </c>
      <c r="F394" t="inlineStr">
        <is>
          <t>VÄSTERBOTTENS LÄN</t>
        </is>
      </c>
      <c r="G394" t="inlineStr">
        <is>
          <t>DOROTEA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31260-2026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46218</v>
      </c>
      <c r="E395" s="1" t="n">
        <v>46297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28717-2022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44748</v>
      </c>
      <c r="E396" s="1" t="n">
        <v>46297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31439-2026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46220</v>
      </c>
      <c r="E397" s="1" t="n">
        <v>46297</v>
      </c>
      <c r="F397" t="inlineStr">
        <is>
          <t>VÄSTERBOTTENS LÄN</t>
        </is>
      </c>
      <c r="G397" t="inlineStr">
        <is>
          <t>DOROTEA</t>
        </is>
      </c>
      <c r="H397" t="inlineStr">
        <is>
          <t>SCA</t>
        </is>
      </c>
      <c r="I397" t="n">
        <v>10.1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47494-2023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45202</v>
      </c>
      <c r="E398" s="1" t="n">
        <v>46297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8095-2023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44974</v>
      </c>
      <c r="E399" s="1" t="n">
        <v>46297</v>
      </c>
      <c r="F399" t="inlineStr">
        <is>
          <t>VÄSTERBOTTENS LÄN</t>
        </is>
      </c>
      <c r="G399" t="inlineStr">
        <is>
          <t>DOROTEA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31575-2026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46224</v>
      </c>
      <c r="E400" s="1" t="n">
        <v>46297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36255-2026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46268</v>
      </c>
      <c r="E401" s="1" t="n">
        <v>46297</v>
      </c>
      <c r="F401" t="inlineStr">
        <is>
          <t>VÄSTERBOTTENS LÄN</t>
        </is>
      </c>
      <c r="G401" t="inlineStr">
        <is>
          <t>DOROTEA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31573-2026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46224</v>
      </c>
      <c r="E402" s="1" t="n">
        <v>46297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31574-2026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46224</v>
      </c>
      <c r="E403" s="1" t="n">
        <v>46297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57794-2023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45246</v>
      </c>
      <c r="E404" s="1" t="n">
        <v>46297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56807-2021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44481</v>
      </c>
      <c r="E405" s="1" t="n">
        <v>46297</v>
      </c>
      <c r="F405" t="inlineStr">
        <is>
          <t>VÄSTERBOTTENS LÄN</t>
        </is>
      </c>
      <c r="G405" t="inlineStr">
        <is>
          <t>DOROTEA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60169-2024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45642</v>
      </c>
      <c r="E406" s="1" t="n">
        <v>46297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14163-2024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45392</v>
      </c>
      <c r="E407" s="1" t="n">
        <v>46297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38700-2024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45547</v>
      </c>
      <c r="E408" s="1" t="n">
        <v>46297</v>
      </c>
      <c r="F408" t="inlineStr">
        <is>
          <t>VÄSTERBOTTENS LÄN</t>
        </is>
      </c>
      <c r="G408" t="inlineStr">
        <is>
          <t>DOROTEA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46817-2022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44848</v>
      </c>
      <c r="E409" s="1" t="n">
        <v>46297</v>
      </c>
      <c r="F409" t="inlineStr">
        <is>
          <t>VÄSTERBOTTENS LÄN</t>
        </is>
      </c>
      <c r="G409" t="inlineStr">
        <is>
          <t>DOROTEA</t>
        </is>
      </c>
      <c r="I409" t="n">
        <v>29.8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45565</v>
      </c>
      <c r="E410" s="1" t="n">
        <v>46297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37826-2026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46279</v>
      </c>
      <c r="E411" s="1" t="n">
        <v>46297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5.2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46965-2024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45586</v>
      </c>
      <c r="E412" s="1" t="n">
        <v>46297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Sveaskog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10360-2023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44980</v>
      </c>
      <c r="E413" s="1" t="n">
        <v>46297</v>
      </c>
      <c r="F413" t="inlineStr">
        <is>
          <t>VÄSTERBOTTENS LÄN</t>
        </is>
      </c>
      <c r="G413" t="inlineStr">
        <is>
          <t>DOROTEA</t>
        </is>
      </c>
      <c r="I413" t="n">
        <v>18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38087-2026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46297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38299-2026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46282</v>
      </c>
      <c r="E415" s="1" t="n">
        <v>46297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42228-2024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45562</v>
      </c>
      <c r="E416" s="1" t="n">
        <v>46297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7.7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27477-2023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45097</v>
      </c>
      <c r="E417" s="1" t="n">
        <v>46297</v>
      </c>
      <c r="F417" t="inlineStr">
        <is>
          <t>VÄSTERBOTTENS LÄN</t>
        </is>
      </c>
      <c r="G417" t="inlineStr">
        <is>
          <t>DOROTEA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2683-2023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46297</v>
      </c>
      <c r="F418" t="inlineStr">
        <is>
          <t>VÄSTERBOTTENS LÄN</t>
        </is>
      </c>
      <c r="G418" t="inlineStr">
        <is>
          <t>DOROTEA</t>
        </is>
      </c>
      <c r="I418" t="n">
        <v>22.7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42889-2024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45566</v>
      </c>
      <c r="E419" s="1" t="n">
        <v>46297</v>
      </c>
      <c r="F419" t="inlineStr">
        <is>
          <t>VÄSTERBOTTENS LÄN</t>
        </is>
      </c>
      <c r="G419" t="inlineStr">
        <is>
          <t>DOROTEA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39088-2026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46287</v>
      </c>
      <c r="E420" s="1" t="n">
        <v>46297</v>
      </c>
      <c r="F420" t="inlineStr">
        <is>
          <t>VÄSTERBOTTENS LÄN</t>
        </is>
      </c>
      <c r="G420" t="inlineStr">
        <is>
          <t>DOROTEA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59653-2024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45639</v>
      </c>
      <c r="E421" s="1" t="n">
        <v>46297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17783-2023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45036</v>
      </c>
      <c r="E422" s="1" t="n">
        <v>46297</v>
      </c>
      <c r="F422" t="inlineStr">
        <is>
          <t>VÄSTERBOTTENS LÄN</t>
        </is>
      </c>
      <c r="G422" t="inlineStr">
        <is>
          <t>DOROTEA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22944-2024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45448</v>
      </c>
      <c r="E423" s="1" t="n">
        <v>46297</v>
      </c>
      <c r="F423" t="inlineStr">
        <is>
          <t>VÄSTERBOTTENS LÄN</t>
        </is>
      </c>
      <c r="G423" t="inlineStr">
        <is>
          <t>DOROTEA</t>
        </is>
      </c>
      <c r="H423" t="inlineStr">
        <is>
          <t>SCA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33364-2026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46247</v>
      </c>
      <c r="E424" s="1" t="n">
        <v>46297</v>
      </c>
      <c r="F424" t="inlineStr">
        <is>
          <t>VÄSTERBOTTENS LÄN</t>
        </is>
      </c>
      <c r="G424" t="inlineStr">
        <is>
          <t>DOROTEA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8852-2024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45356</v>
      </c>
      <c r="E425" s="1" t="n">
        <v>46297</v>
      </c>
      <c r="F425" t="inlineStr">
        <is>
          <t>VÄSTERBOTTENS LÄN</t>
        </is>
      </c>
      <c r="G425" t="inlineStr">
        <is>
          <t>DOROTEA</t>
        </is>
      </c>
      <c r="I425" t="n">
        <v>4.4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19657-2025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45770</v>
      </c>
      <c r="E426" s="1" t="n">
        <v>46297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8246-2024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45351</v>
      </c>
      <c r="E427" s="1" t="n">
        <v>46297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59395-2023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45253</v>
      </c>
      <c r="E428" s="1" t="n">
        <v>46297</v>
      </c>
      <c r="F428" t="inlineStr">
        <is>
          <t>VÄSTERBOTTENS LÄN</t>
        </is>
      </c>
      <c r="G428" t="inlineStr">
        <is>
          <t>DOROTEA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59397-2023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45253</v>
      </c>
      <c r="E429" s="1" t="n">
        <v>46297</v>
      </c>
      <c r="F429" t="inlineStr">
        <is>
          <t>VÄSTERBOTTENS LÄN</t>
        </is>
      </c>
      <c r="G429" t="inlineStr">
        <is>
          <t>DOROTEA</t>
        </is>
      </c>
      <c r="I429" t="n">
        <v>8.5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20759-2023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45055</v>
      </c>
      <c r="E430" s="1" t="n">
        <v>46297</v>
      </c>
      <c r="F430" t="inlineStr">
        <is>
          <t>VÄSTERBOTTENS LÄN</t>
        </is>
      </c>
      <c r="G430" t="inlineStr">
        <is>
          <t>DOROTEA</t>
        </is>
      </c>
      <c r="H430" t="inlineStr">
        <is>
          <t>Övriga statliga verk och myndigheter</t>
        </is>
      </c>
      <c r="I430" t="n">
        <v>13.9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40178-2026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46293</v>
      </c>
      <c r="E431" s="1" t="n">
        <v>46297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67686-2021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44524</v>
      </c>
      <c r="E432" s="1" t="n">
        <v>46297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35934-2026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46265</v>
      </c>
      <c r="E433" s="1" t="n">
        <v>46297</v>
      </c>
      <c r="F433" t="inlineStr">
        <is>
          <t>VÄSTERBOTTENS LÄN</t>
        </is>
      </c>
      <c r="G433" t="inlineStr">
        <is>
          <t>DOROTEA</t>
        </is>
      </c>
      <c r="H433" t="inlineStr">
        <is>
          <t>Allmännings- och besparingsskogar</t>
        </is>
      </c>
      <c r="I433" t="n">
        <v>12.6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32821-2024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45516</v>
      </c>
      <c r="E434" s="1" t="n">
        <v>46297</v>
      </c>
      <c r="F434" t="inlineStr">
        <is>
          <t>VÄSTERBOTTENS LÄN</t>
        </is>
      </c>
      <c r="G434" t="inlineStr">
        <is>
          <t>DOROTEA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57376-2022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44889</v>
      </c>
      <c r="E435" s="1" t="n">
        <v>46297</v>
      </c>
      <c r="F435" t="inlineStr">
        <is>
          <t>VÄSTERBOTTENS LÄN</t>
        </is>
      </c>
      <c r="G435" t="inlineStr">
        <is>
          <t>DOROTEA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33738-2024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45520</v>
      </c>
      <c r="E436" s="1" t="n">
        <v>46297</v>
      </c>
      <c r="F436" t="inlineStr">
        <is>
          <t>VÄSTERBOTTENS LÄN</t>
        </is>
      </c>
      <c r="G436" t="inlineStr">
        <is>
          <t>DOROTEA</t>
        </is>
      </c>
      <c r="I436" t="n">
        <v>11.1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34107-2023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45125</v>
      </c>
      <c r="E437" s="1" t="n">
        <v>46297</v>
      </c>
      <c r="F437" t="inlineStr">
        <is>
          <t>VÄSTERBOTTENS LÄN</t>
        </is>
      </c>
      <c r="G437" t="inlineStr">
        <is>
          <t>DOROTEA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35000-2023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45142</v>
      </c>
      <c r="E438" s="1" t="n">
        <v>46297</v>
      </c>
      <c r="F438" t="inlineStr">
        <is>
          <t>VÄSTERBOTTENS LÄN</t>
        </is>
      </c>
      <c r="G438" t="inlineStr">
        <is>
          <t>DOROTEA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46248</v>
      </c>
      <c r="E439" s="1" t="n">
        <v>46297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35925-2026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46265</v>
      </c>
      <c r="E440" s="1" t="n">
        <v>46297</v>
      </c>
      <c r="F440" t="inlineStr">
        <is>
          <t>VÄSTERBOTTENS LÄN</t>
        </is>
      </c>
      <c r="G440" t="inlineStr">
        <is>
          <t>DOROTEA</t>
        </is>
      </c>
      <c r="H440" t="inlineStr">
        <is>
          <t>Allmännings- och besparingsskogar</t>
        </is>
      </c>
      <c r="I440" t="n">
        <v>16.4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34186-2026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46297</v>
      </c>
      <c r="F441" t="inlineStr">
        <is>
          <t>VÄSTERBOTTENS LÄN</t>
        </is>
      </c>
      <c r="G441" t="inlineStr">
        <is>
          <t>DOROTEA</t>
        </is>
      </c>
      <c r="I441" t="n">
        <v>13.6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34149-2026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46253</v>
      </c>
      <c r="E442" s="1" t="n">
        <v>46297</v>
      </c>
      <c r="F442" t="inlineStr">
        <is>
          <t>VÄSTERBOTTENS LÄN</t>
        </is>
      </c>
      <c r="G442" t="inlineStr">
        <is>
          <t>DOROTEA</t>
        </is>
      </c>
      <c r="I442" t="n">
        <v>11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34189-2026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46297</v>
      </c>
      <c r="F443" t="inlineStr">
        <is>
          <t>VÄSTERBOTTENS LÄN</t>
        </is>
      </c>
      <c r="G443" t="inlineStr">
        <is>
          <t>DOROTEA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52276-2023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45217</v>
      </c>
      <c r="E444" s="1" t="n">
        <v>46297</v>
      </c>
      <c r="F444" t="inlineStr">
        <is>
          <t>VÄSTERBOTTENS LÄN</t>
        </is>
      </c>
      <c r="G444" t="inlineStr">
        <is>
          <t>DOROTEA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40614-2026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46295</v>
      </c>
      <c r="E445" s="1" t="n">
        <v>46297</v>
      </c>
      <c r="F445" t="inlineStr">
        <is>
          <t>VÄSTERBOTTENS LÄN</t>
        </is>
      </c>
      <c r="G445" t="inlineStr">
        <is>
          <t>DOROTEA</t>
        </is>
      </c>
      <c r="H445" t="inlineStr">
        <is>
          <t>SCA</t>
        </is>
      </c>
      <c r="I445" t="n">
        <v>13.2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46297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34187-2026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46253</v>
      </c>
      <c r="E447" s="1" t="n">
        <v>46297</v>
      </c>
      <c r="F447" t="inlineStr">
        <is>
          <t>VÄSTERBOTTENS LÄN</t>
        </is>
      </c>
      <c r="G447" t="inlineStr">
        <is>
          <t>DOROTEA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53795-2022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44876</v>
      </c>
      <c r="E448" s="1" t="n">
        <v>46297</v>
      </c>
      <c r="F448" t="inlineStr">
        <is>
          <t>VÄSTERBOTTENS LÄN</t>
        </is>
      </c>
      <c r="G448" t="inlineStr">
        <is>
          <t>DOROTEA</t>
        </is>
      </c>
      <c r="I448" t="n">
        <v>12.3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13170-2025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45735</v>
      </c>
      <c r="E449" s="1" t="n">
        <v>46297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52144-2023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45223</v>
      </c>
      <c r="E450" s="1" t="n">
        <v>46297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22450-2024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45446</v>
      </c>
      <c r="E451" s="1" t="n">
        <v>46297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60153-2024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45642</v>
      </c>
      <c r="E452" s="1" t="n">
        <v>46297</v>
      </c>
      <c r="F452" t="inlineStr">
        <is>
          <t>VÄSTERBOTTENS LÄN</t>
        </is>
      </c>
      <c r="G452" t="inlineStr">
        <is>
          <t>DOROTEA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9030-2025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45713</v>
      </c>
      <c r="E453" s="1" t="n">
        <v>46297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60015-2023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45257</v>
      </c>
      <c r="E454" s="1" t="n">
        <v>46297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3017-2024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45315</v>
      </c>
      <c r="E455" s="1" t="n">
        <v>46297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10402-2025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45720</v>
      </c>
      <c r="E456" s="1" t="n">
        <v>46297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59394-2023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45253</v>
      </c>
      <c r="E457" s="1" t="n">
        <v>46297</v>
      </c>
      <c r="F457" t="inlineStr">
        <is>
          <t>VÄSTERBOTTENS LÄN</t>
        </is>
      </c>
      <c r="G457" t="inlineStr">
        <is>
          <t>DOROTEA</t>
        </is>
      </c>
      <c r="I457" t="n">
        <v>28.8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27305-2024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45471</v>
      </c>
      <c r="E458" s="1" t="n">
        <v>46297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28549-2023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45103</v>
      </c>
      <c r="E459" s="1" t="n">
        <v>46297</v>
      </c>
      <c r="F459" t="inlineStr">
        <is>
          <t>VÄSTERBOTTENS LÄN</t>
        </is>
      </c>
      <c r="G459" t="inlineStr">
        <is>
          <t>DOROTEA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43944-2024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45572</v>
      </c>
      <c r="E460" s="1" t="n">
        <v>46297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28856-2024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46297</v>
      </c>
      <c r="F461" t="inlineStr">
        <is>
          <t>VÄSTERBOTTENS LÄN</t>
        </is>
      </c>
      <c r="G461" t="inlineStr">
        <is>
          <t>DOROTEA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53382-2024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45614</v>
      </c>
      <c r="E462" s="1" t="n">
        <v>46297</v>
      </c>
      <c r="F462" t="inlineStr">
        <is>
          <t>VÄSTERBOTTENS LÄN</t>
        </is>
      </c>
      <c r="G462" t="inlineStr">
        <is>
          <t>DOROTEA</t>
        </is>
      </c>
      <c r="I462" t="n">
        <v>11.2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42104-2024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45562</v>
      </c>
      <c r="E463" s="1" t="n">
        <v>46297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22774-2025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45789</v>
      </c>
      <c r="E464" s="1" t="n">
        <v>46297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4.4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46297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46297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46297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46297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46297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46297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2407-2026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46279</v>
      </c>
      <c r="E471" s="1" t="n">
        <v>46297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1763-2026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46189</v>
      </c>
      <c r="E472" s="1" t="n">
        <v>46297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13.2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2026-10-02T02:03:33Z</dcterms:created>
  <dcterms:modified xmlns:dcterms="http://purl.org/dc/terms/" xmlns:xsi="http://www.w3.org/2001/XMLSchema-instance" xsi:type="dcterms:W3CDTF">2026-10-02T02:03:34Z</dcterms:modified>
</cp:coreProperties>
</file>