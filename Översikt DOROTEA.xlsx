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46311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46311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46311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46311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46311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57059-2024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45629</v>
      </c>
      <c r="E7" s="1" t="n">
        <v>46311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7.5</v>
      </c>
      <c r="J7" t="n">
        <v>0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Harticka
Lunglav
Skrovellav
Vitgrynig nållav
Barkticka
Luddlav</t>
        </is>
      </c>
      <c r="W7">
        <f>HYPERLINK("https://klasma.github.io/Logging_2425/artfynd/A 57059-2024 artfynd.xlsx", "A 57059-2024")</f>
        <v/>
      </c>
      <c r="X7">
        <f>HYPERLINK("https://klasma.github.io/Logging_2425/kartor/A 57059-2024 karta.png", "A 57059-2024")</f>
        <v/>
      </c>
      <c r="Y7">
        <f>HYPERLINK("https://klasma.github.io/Logging_2425/kartor_geotiff/A 57059-2024 georefererad karta.tif", "A 57059-2024")</f>
        <v/>
      </c>
      <c r="AA7">
        <f>HYPERLINK("https://klasma.github.io/Logging_2425/klagomål/A 57059-2024 FSC-klagomål.docx", "A 57059-2024")</f>
        <v/>
      </c>
      <c r="AB7">
        <f>HYPERLINK("https://klasma.github.io/Logging_2425/klagomålsmail/A 57059-2024 FSC-klagomål mail.docx", "A 57059-2024")</f>
        <v/>
      </c>
      <c r="AC7">
        <f>HYPERLINK("https://klasma.github.io/Logging_2425/tillsyn/A 57059-2024 tillsynsbegäran.docx", "A 57059-2024")</f>
        <v/>
      </c>
      <c r="AD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46311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46311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46311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46311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46311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46311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46311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46311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46311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46311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46311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46311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46311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46311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46311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46311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46311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17825-2024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45418</v>
      </c>
      <c r="E25" s="1" t="n">
        <v>46311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24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17825-2024 artfynd.xlsx", "A 17825-2024")</f>
        <v/>
      </c>
      <c r="X25">
        <f>HYPERLINK("https://klasma.github.io/Logging_2425/kartor/A 17825-2024 karta.png", "A 17825-2024")</f>
        <v/>
      </c>
      <c r="Y25">
        <f>HYPERLINK("https://klasma.github.io/Logging_2425/kartor_geotiff/A 17825-2024 georefererad karta.tif", "A 17825-2024")</f>
        <v/>
      </c>
      <c r="AA25">
        <f>HYPERLINK("https://klasma.github.io/Logging_2425/klagomål/A 17825-2024 FSC-klagomål.docx", "A 17825-2024")</f>
        <v/>
      </c>
      <c r="AB25">
        <f>HYPERLINK("https://klasma.github.io/Logging_2425/klagomålsmail/A 17825-2024 FSC-klagomål mail.docx", "A 17825-2024")</f>
        <v/>
      </c>
      <c r="AC25">
        <f>HYPERLINK("https://klasma.github.io/Logging_2425/tillsyn/A 17825-2024 tillsynsbegäran.docx", "A 17825-2024")</f>
        <v/>
      </c>
      <c r="AD25">
        <f>HYPERLINK("https://klasma.github.io/Logging_2425/tillsynsmail/A 17825-2024 tillsynsbegäran mail.docx", "A 17825-2024")</f>
        <v/>
      </c>
    </row>
    <row r="26" ht="15" customHeight="1">
      <c r="A26" t="inlineStr">
        <is>
          <t>A 58736-2022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44902</v>
      </c>
      <c r="E26" s="1" t="n">
        <v>46311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58736-2022 artfynd.xlsx", "A 58736-2022")</f>
        <v/>
      </c>
      <c r="X26">
        <f>HYPERLINK("https://klasma.github.io/Logging_2425/kartor/A 58736-2022 karta.png", "A 58736-2022")</f>
        <v/>
      </c>
      <c r="Y26">
        <f>HYPERLINK("https://klasma.github.io/Logging_2425/kartor_geotiff/A 58736-2022 georefererad karta.tif", "A 58736-2022")</f>
        <v/>
      </c>
      <c r="AA26">
        <f>HYPERLINK("https://klasma.github.io/Logging_2425/klagomål/A 58736-2022 FSC-klagomål.docx", "A 58736-2022")</f>
        <v/>
      </c>
      <c r="AB26">
        <f>HYPERLINK("https://klasma.github.io/Logging_2425/klagomålsmail/A 58736-2022 FSC-klagomål mail.docx", "A 58736-2022")</f>
        <v/>
      </c>
      <c r="AC26">
        <f>HYPERLINK("https://klasma.github.io/Logging_2425/tillsyn/A 58736-2022 tillsynsbegäran.docx", "A 58736-2022")</f>
        <v/>
      </c>
      <c r="AD26">
        <f>HYPERLINK("https://klasma.github.io/Logging_2425/tillsynsmail/A 58736-2022 tillsynsbegäran mail.docx", "A 58736-2022")</f>
        <v/>
      </c>
    </row>
    <row r="27" ht="15" customHeight="1">
      <c r="A27" t="inlineStr">
        <is>
          <t>A 33263-2025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46311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15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Vedticka</t>
        </is>
      </c>
      <c r="W27">
        <f>HYPERLINK("https://klasma.github.io/Logging_2425/artfynd/A 33263-2025 artfynd.xlsx", "A 33263-2025")</f>
        <v/>
      </c>
      <c r="X27">
        <f>HYPERLINK("https://klasma.github.io/Logging_2425/kartor/A 33263-2025 karta.png", "A 33263-2025")</f>
        <v/>
      </c>
      <c r="Y27">
        <f>HYPERLINK("https://klasma.github.io/Logging_2425/kartor_geotiff/A 33263-2025 georefererad karta.tif", "A 33263-2025")</f>
        <v/>
      </c>
      <c r="AA27">
        <f>HYPERLINK("https://klasma.github.io/Logging_2425/klagomål/A 33263-2025 FSC-klagomål.docx", "A 33263-2025")</f>
        <v/>
      </c>
      <c r="AB27">
        <f>HYPERLINK("https://klasma.github.io/Logging_2425/klagomålsmail/A 33263-2025 FSC-klagomål mail.docx", "A 33263-2025")</f>
        <v/>
      </c>
      <c r="AC27">
        <f>HYPERLINK("https://klasma.github.io/Logging_2425/tillsyn/A 33263-2025 tillsynsbegäran.docx", "A 33263-2025")</f>
        <v/>
      </c>
      <c r="AD27">
        <f>HYPERLINK("https://klasma.github.io/Logging_2425/tillsynsmail/A 33263-2025 tillsynsbegäran mail.docx", "A 33263-2025")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46311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19589-2024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45429</v>
      </c>
      <c r="E29" s="1" t="n">
        <v>46311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Lunglav
Talltita</t>
        </is>
      </c>
      <c r="W29">
        <f>HYPERLINK("https://klasma.github.io/Logging_2425/artfynd/A 19589-2024 artfynd.xlsx", "A 19589-2024")</f>
        <v/>
      </c>
      <c r="X29">
        <f>HYPERLINK("https://klasma.github.io/Logging_2425/kartor/A 19589-2024 karta.png", "A 19589-2024")</f>
        <v/>
      </c>
      <c r="Y29">
        <f>HYPERLINK("https://klasma.github.io/Logging_2425/kartor_geotiff/A 19589-2024 georefererad karta.tif", "A 19589-2024")</f>
        <v/>
      </c>
      <c r="AA29">
        <f>HYPERLINK("https://klasma.github.io/Logging_2425/klagomål/A 19589-2024 FSC-klagomål.docx", "A 19589-2024")</f>
        <v/>
      </c>
      <c r="AB29">
        <f>HYPERLINK("https://klasma.github.io/Logging_2425/klagomålsmail/A 19589-2024 FSC-klagomål mail.docx", "A 19589-2024")</f>
        <v/>
      </c>
      <c r="AC29">
        <f>HYPERLINK("https://klasma.github.io/Logging_2425/tillsyn/A 19589-2024 tillsynsbegäran.docx", "A 19589-2024")</f>
        <v/>
      </c>
      <c r="AD29">
        <f>HYPERLINK("https://klasma.github.io/Logging_2425/tillsynsmail/A 19589-2024 tillsynsbegäran mail.docx", "A 19589-2024")</f>
        <v/>
      </c>
      <c r="AE29">
        <f>HYPERLINK("https://klasma.github.io/Logging_2425/fåglar/A 19589-2024 prioriterade fågelarter.docx", "A 19589-2024")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46311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27234-2024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46311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Rynkskinn
Skrovellav</t>
        </is>
      </c>
      <c r="W31">
        <f>HYPERLINK("https://klasma.github.io/Logging_2425/artfynd/A 27234-2024 artfynd.xlsx", "A 27234-2024")</f>
        <v/>
      </c>
      <c r="X31">
        <f>HYPERLINK("https://klasma.github.io/Logging_2425/kartor/A 27234-2024 karta.png", "A 27234-2024")</f>
        <v/>
      </c>
      <c r="Y31">
        <f>HYPERLINK("https://klasma.github.io/Logging_2425/kartor_geotiff/A 27234-2024 georefererad karta.tif", "A 27234-2024")</f>
        <v/>
      </c>
      <c r="AA31">
        <f>HYPERLINK("https://klasma.github.io/Logging_2425/klagomål/A 27234-2024 FSC-klagomål.docx", "A 27234-2024")</f>
        <v/>
      </c>
      <c r="AB31">
        <f>HYPERLINK("https://klasma.github.io/Logging_2425/klagomålsmail/A 27234-2024 FSC-klagomål mail.docx", "A 27234-2024")</f>
        <v/>
      </c>
      <c r="AC31">
        <f>HYPERLINK("https://klasma.github.io/Logging_2425/tillsyn/A 27234-2024 tillsynsbegäran.docx", "A 27234-2024")</f>
        <v/>
      </c>
      <c r="AD31">
        <f>HYPERLINK("https://klasma.github.io/Logging_2425/tillsynsmail/A 27234-2024 tillsynsbegäran mail.docx", "A 27234-2024")</f>
        <v/>
      </c>
    </row>
    <row r="32" ht="15" customHeight="1">
      <c r="A32" t="inlineStr">
        <is>
          <t>A 40654-2026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46296</v>
      </c>
      <c r="E32" s="1" t="n">
        <v>46311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8.800000000000001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Plattlummer
Mattlummer</t>
        </is>
      </c>
      <c r="W32">
        <f>HYPERLINK("https://klasma.github.io/Logging_2425/artfynd/A 40654-2026 artfynd.xlsx", "A 40654-2026")</f>
        <v/>
      </c>
      <c r="X32">
        <f>HYPERLINK("https://klasma.github.io/Logging_2425/kartor/A 40654-2026 karta.png", "A 40654-2026")</f>
        <v/>
      </c>
      <c r="Y32">
        <f>HYPERLINK("https://klasma.github.io/Logging_2425/kartor_geotiff/A 40654-2026 georefererad karta.tif", "A 40654-2026")</f>
        <v/>
      </c>
      <c r="AA32">
        <f>HYPERLINK("https://klasma.github.io/Logging_2425/klagomål/A 40654-2026 FSC-klagomål.docx", "A 40654-2026")</f>
        <v/>
      </c>
      <c r="AB32">
        <f>HYPERLINK("https://klasma.github.io/Logging_2425/klagomålsmail/A 40654-2026 FSC-klagomål mail.docx", "A 40654-2026")</f>
        <v/>
      </c>
      <c r="AC32">
        <f>HYPERLINK("https://klasma.github.io/Logging_2425/tillsyn/A 40654-2026 tillsynsbegäran.docx", "A 40654-2026")</f>
        <v/>
      </c>
      <c r="AD32">
        <f>HYPERLINK("https://klasma.github.io/Logging_2425/tillsynsmail/A 40654-2026 tillsynsbegäran mail.docx", "A 40654-2026")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46311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A 4554-2026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46047</v>
      </c>
      <c r="E34" s="1" t="n">
        <v>46311</v>
      </c>
      <c r="F34" t="inlineStr">
        <is>
          <t>VÄSTERBOTTENS LÄN</t>
        </is>
      </c>
      <c r="G34" t="inlineStr">
        <is>
          <t>DOROTEA</t>
        </is>
      </c>
      <c r="I34" t="n">
        <v>6.1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Violettkantad guldvinge
Kricka</t>
        </is>
      </c>
      <c r="W34">
        <f>HYPERLINK("https://klasma.github.io/Logging_2425/artfynd/A 4554-2026 artfynd.xlsx", "A 4554-2026")</f>
        <v/>
      </c>
      <c r="X34">
        <f>HYPERLINK("https://klasma.github.io/Logging_2425/kartor/A 4554-2026 karta.png", "A 4554-2026")</f>
        <v/>
      </c>
      <c r="Y34">
        <f>HYPERLINK("https://klasma.github.io/Logging_2425/kartor_geotiff/A 4554-2026 georefererad karta.tif", "A 4554-2026")</f>
        <v/>
      </c>
      <c r="AA34">
        <f>HYPERLINK("https://klasma.github.io/Logging_2425/klagomål/A 4554-2026 FSC-klagomål.docx", "A 4554-2026")</f>
        <v/>
      </c>
      <c r="AB34">
        <f>HYPERLINK("https://klasma.github.io/Logging_2425/klagomålsmail/A 4554-2026 FSC-klagomål mail.docx", "A 4554-2026")</f>
        <v/>
      </c>
      <c r="AC34">
        <f>HYPERLINK("https://klasma.github.io/Logging_2425/tillsyn/A 4554-2026 tillsynsbegäran.docx", "A 4554-2026")</f>
        <v/>
      </c>
      <c r="AD34">
        <f>HYPERLINK("https://klasma.github.io/Logging_2425/tillsynsmail/A 4554-2026 tillsynsbegäran mail.docx", "A 4554-2026")</f>
        <v/>
      </c>
      <c r="AE34">
        <f>HYPERLINK("https://klasma.github.io/Logging_2425/fåglar/A 4554-2026 prioriterade fågelarter.docx", "A 4554-2026")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46311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46311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30286-2023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46311</v>
      </c>
      <c r="F37" t="inlineStr">
        <is>
          <t>VÄSTERBOTTENS LÄN</t>
        </is>
      </c>
      <c r="G37" t="inlineStr">
        <is>
          <t>DOROTEA</t>
        </is>
      </c>
      <c r="I37" t="n">
        <v>21.2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Skogsrör</t>
        </is>
      </c>
      <c r="W37">
        <f>HYPERLINK("https://klasma.github.io/Logging_2425/artfynd/A 30286-2023 artfynd.xlsx", "A 30286-2023")</f>
        <v/>
      </c>
      <c r="X37">
        <f>HYPERLINK("https://klasma.github.io/Logging_2425/kartor/A 30286-2023 karta.png", "A 30286-2023")</f>
        <v/>
      </c>
      <c r="Y37">
        <f>HYPERLINK("https://klasma.github.io/Logging_2425/kartor_geotiff/A 30286-2023 georefererad karta.tif", "A 30286-2023")</f>
        <v/>
      </c>
      <c r="AA37">
        <f>HYPERLINK("https://klasma.github.io/Logging_2425/klagomål/A 30286-2023 FSC-klagomål.docx", "A 30286-2023")</f>
        <v/>
      </c>
      <c r="AB37">
        <f>HYPERLINK("https://klasma.github.io/Logging_2425/klagomålsmail/A 30286-2023 FSC-klagomål mail.docx", "A 30286-2023")</f>
        <v/>
      </c>
      <c r="AC37">
        <f>HYPERLINK("https://klasma.github.io/Logging_2425/tillsyn/A 30286-2023 tillsynsbegäran.docx", "A 30286-2023")</f>
        <v/>
      </c>
      <c r="AD37">
        <f>HYPERLINK("https://klasma.github.io/Logging_2425/tillsynsmail/A 30286-2023 tillsynsbegäran mail.docx", "A 30286-2023")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46311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36318-2024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46311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8</v>
      </c>
      <c r="U39" t="n">
        <v>8</v>
      </c>
      <c r="V39" s="2" t="inlineStr">
        <is>
          <t>Garnlav</t>
        </is>
      </c>
      <c r="W39">
        <f>HYPERLINK("https://klasma.github.io/Logging_2425/artfynd/A 36318-2024 artfynd.xlsx", "A 36318-2024")</f>
        <v/>
      </c>
      <c r="X39">
        <f>HYPERLINK("https://klasma.github.io/Logging_2425/kartor/A 36318-2024 karta.png", "A 36318-2024")</f>
        <v/>
      </c>
      <c r="Y39">
        <f>HYPERLINK("https://klasma.github.io/Logging_2425/kartor_geotiff/A 36318-2024 georefererad karta.tif", "A 36318-2024")</f>
        <v/>
      </c>
      <c r="AA39">
        <f>HYPERLINK("https://klasma.github.io/Logging_2425/klagomål/A 36318-2024 FSC-klagomål.docx", "A 36318-2024")</f>
        <v/>
      </c>
      <c r="AB39">
        <f>HYPERLINK("https://klasma.github.io/Logging_2425/klagomålsmail/A 36318-2024 FSC-klagomål mail.docx", "A 36318-2024")</f>
        <v/>
      </c>
      <c r="AC39">
        <f>HYPERLINK("https://klasma.github.io/Logging_2425/tillsyn/A 36318-2024 tillsynsbegäran.docx", "A 36318-2024")</f>
        <v/>
      </c>
      <c r="AD39">
        <f>HYPERLINK("https://klasma.github.io/Logging_2425/tillsynsmail/A 36318-2024 tillsynsbegäran mail.docx", "A 36318-2024")</f>
        <v/>
      </c>
    </row>
    <row r="40" ht="15" customHeight="1">
      <c r="A40" t="inlineStr">
        <is>
          <t>A 48089-2022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44855</v>
      </c>
      <c r="E40" s="1" t="n">
        <v>46311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9.199999999999999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Gammelgransskål</t>
        </is>
      </c>
      <c r="W40">
        <f>HYPERLINK("https://klasma.github.io/Logging_2425/artfynd/A 48089-2022 artfynd.xlsx", "A 48089-2022")</f>
        <v/>
      </c>
      <c r="X40">
        <f>HYPERLINK("https://klasma.github.io/Logging_2425/kartor/A 48089-2022 karta.png", "A 48089-2022")</f>
        <v/>
      </c>
      <c r="Y40">
        <f>HYPERLINK("https://klasma.github.io/Logging_2425/kartor_geotiff/A 48089-2022 georefererad karta.tif", "A 48089-2022")</f>
        <v/>
      </c>
      <c r="AA40">
        <f>HYPERLINK("https://klasma.github.io/Logging_2425/klagomål/A 48089-2022 FSC-klagomål.docx", "A 48089-2022")</f>
        <v/>
      </c>
      <c r="AB40">
        <f>HYPERLINK("https://klasma.github.io/Logging_2425/klagomålsmail/A 48089-2022 FSC-klagomål mail.docx", "A 48089-2022")</f>
        <v/>
      </c>
      <c r="AC40">
        <f>HYPERLINK("https://klasma.github.io/Logging_2425/tillsyn/A 48089-2022 tillsynsbegäran.docx", "A 48089-2022")</f>
        <v/>
      </c>
      <c r="AD40">
        <f>HYPERLINK("https://klasma.github.io/Logging_2425/tillsynsmail/A 48089-2022 tillsynsbegäran mail.docx", "A 48089-2022")</f>
        <v/>
      </c>
    </row>
    <row r="41" ht="15" customHeight="1">
      <c r="A41" t="inlineStr">
        <is>
          <t>A 12005-2023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44994</v>
      </c>
      <c r="E41" s="1" t="n">
        <v>46311</v>
      </c>
      <c r="F41" t="inlineStr">
        <is>
          <t>VÄSTERBOTTENS LÄN</t>
        </is>
      </c>
      <c r="G41" t="inlineStr">
        <is>
          <t>DOROTEA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12005-2023 artfynd.xlsx", "A 12005-2023")</f>
        <v/>
      </c>
      <c r="X41">
        <f>HYPERLINK("https://klasma.github.io/Logging_2425/kartor/A 12005-2023 karta.png", "A 12005-2023")</f>
        <v/>
      </c>
      <c r="Y41">
        <f>HYPERLINK("https://klasma.github.io/Logging_2425/kartor_geotiff/A 12005-2023 georefererad karta.tif", "A 12005-2023")</f>
        <v/>
      </c>
      <c r="AA41">
        <f>HYPERLINK("https://klasma.github.io/Logging_2425/klagomål/A 12005-2023 FSC-klagomål.docx", "A 12005-2023")</f>
        <v/>
      </c>
      <c r="AB41">
        <f>HYPERLINK("https://klasma.github.io/Logging_2425/klagomålsmail/A 12005-2023 FSC-klagomål mail.docx", "A 12005-2023")</f>
        <v/>
      </c>
      <c r="AC41">
        <f>HYPERLINK("https://klasma.github.io/Logging_2425/tillsyn/A 12005-2023 tillsynsbegäran.docx", "A 12005-2023")</f>
        <v/>
      </c>
      <c r="AD41">
        <f>HYPERLINK("https://klasma.github.io/Logging_2425/tillsynsmail/A 12005-2023 tillsynsbegäran mail.docx", "A 12005-2023")</f>
        <v/>
      </c>
    </row>
    <row r="42" ht="15" customHeight="1">
      <c r="A42" t="inlineStr">
        <is>
          <t>A 41079-2025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46311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HYPERLINK("https://klasma.github.io/Logging_2425/artfynd/A 41079-2025 artfynd.xlsx", "A 41079-2025")</f>
        <v/>
      </c>
      <c r="X42">
        <f>HYPERLINK("https://klasma.github.io/Logging_2425/kartor/A 41079-2025 karta.png", "A 41079-2025")</f>
        <v/>
      </c>
      <c r="Y42">
        <f>HYPERLINK("https://klasma.github.io/Logging_2425/kartor_geotiff/A 41079-2025 georefererad karta.tif", "A 41079-2025")</f>
        <v/>
      </c>
      <c r="AA42">
        <f>HYPERLINK("https://klasma.github.io/Logging_2425/klagomål/A 41079-2025 FSC-klagomål.docx", "A 41079-2025")</f>
        <v/>
      </c>
      <c r="AB42">
        <f>HYPERLINK("https://klasma.github.io/Logging_2425/klagomålsmail/A 41079-2025 FSC-klagomål mail.docx", "A 41079-2025")</f>
        <v/>
      </c>
      <c r="AC42">
        <f>HYPERLINK("https://klasma.github.io/Logging_2425/tillsyn/A 41079-2025 tillsynsbegäran.docx", "A 41079-2025")</f>
        <v/>
      </c>
      <c r="AD42">
        <f>HYPERLINK("https://klasma.github.io/Logging_2425/tillsynsmail/A 41079-2025 tillsynsbegäran mail.docx", "A 41079-2025")</f>
        <v/>
      </c>
    </row>
    <row r="43" ht="15" customHeight="1">
      <c r="A43" t="inlineStr">
        <is>
          <t>A 39686-2025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45890</v>
      </c>
      <c r="E43" s="1" t="n">
        <v>46311</v>
      </c>
      <c r="F43" t="inlineStr">
        <is>
          <t>VÄSTERBOTTENS LÄN</t>
        </is>
      </c>
      <c r="G43" t="inlineStr">
        <is>
          <t>DOROTEA</t>
        </is>
      </c>
      <c r="I43" t="n">
        <v>1.5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HYPERLINK("https://klasma.github.io/Logging_2425/artfynd/A 39686-2025 artfynd.xlsx", "A 39686-2025")</f>
        <v/>
      </c>
      <c r="X43">
        <f>HYPERLINK("https://klasma.github.io/Logging_2425/kartor/A 39686-2025 karta.png", "A 39686-2025")</f>
        <v/>
      </c>
      <c r="Y43">
        <f>HYPERLINK("https://klasma.github.io/Logging_2425/kartor_geotiff/A 39686-2025 georefererad karta.tif", "A 39686-2025")</f>
        <v/>
      </c>
      <c r="AA43">
        <f>HYPERLINK("https://klasma.github.io/Logging_2425/klagomål/A 39686-2025 FSC-klagomål.docx", "A 39686-2025")</f>
        <v/>
      </c>
      <c r="AB43">
        <f>HYPERLINK("https://klasma.github.io/Logging_2425/klagomålsmail/A 39686-2025 FSC-klagomål mail.docx", "A 39686-2025")</f>
        <v/>
      </c>
      <c r="AC43">
        <f>HYPERLINK("https://klasma.github.io/Logging_2425/tillsyn/A 39686-2025 tillsynsbegäran.docx", "A 39686-2025")</f>
        <v/>
      </c>
      <c r="AD43">
        <f>HYPERLINK("https://klasma.github.io/Logging_2425/tillsynsmail/A 39686-2025 tillsynsbegäran mail.docx", "A 39686-2025")</f>
        <v/>
      </c>
    </row>
    <row r="44" ht="15" customHeight="1">
      <c r="A44" t="inlineStr">
        <is>
          <t>A 57058-2024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46311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HYPERLINK("https://klasma.github.io/Logging_2425/artfynd/A 57058-2024 artfynd.xlsx", "A 57058-2024")</f>
        <v/>
      </c>
      <c r="X44">
        <f>HYPERLINK("https://klasma.github.io/Logging_2425/kartor/A 57058-2024 karta.png", "A 57058-2024")</f>
        <v/>
      </c>
      <c r="Y44">
        <f>HYPERLINK("https://klasma.github.io/Logging_2425/kartor_geotiff/A 57058-2024 georefererad karta.tif", "A 57058-2024")</f>
        <v/>
      </c>
      <c r="AA44">
        <f>HYPERLINK("https://klasma.github.io/Logging_2425/klagomål/A 57058-2024 FSC-klagomål.docx", "A 57058-2024")</f>
        <v/>
      </c>
      <c r="AB44">
        <f>HYPERLINK("https://klasma.github.io/Logging_2425/klagomålsmail/A 57058-2024 FSC-klagomål mail.docx", "A 57058-2024")</f>
        <v/>
      </c>
      <c r="AC44">
        <f>HYPERLINK("https://klasma.github.io/Logging_2425/tillsyn/A 57058-2024 tillsynsbegäran.docx", "A 57058-2024")</f>
        <v/>
      </c>
      <c r="AD44">
        <f>HYPERLINK("https://klasma.github.io/Logging_2425/tillsynsmail/A 57058-2024 tillsynsbegäran mail.docx", "A 57058-2024")</f>
        <v/>
      </c>
    </row>
    <row r="45" ht="15" customHeight="1">
      <c r="A45" t="inlineStr">
        <is>
          <t>A 53309-2022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44878</v>
      </c>
      <c r="E45" s="1" t="n">
        <v>46311</v>
      </c>
      <c r="F45" t="inlineStr">
        <is>
          <t>VÄSTERBOTTENS LÄN</t>
        </is>
      </c>
      <c r="G45" t="inlineStr">
        <is>
          <t>DOROTEA</t>
        </is>
      </c>
      <c r="I45" t="n">
        <v>6.6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Göktyta</t>
        </is>
      </c>
      <c r="W45">
        <f>HYPERLINK("https://klasma.github.io/Logging_2425/artfynd/A 53309-2022 artfynd.xlsx", "A 53309-2022")</f>
        <v/>
      </c>
      <c r="X45">
        <f>HYPERLINK("https://klasma.github.io/Logging_2425/kartor/A 53309-2022 karta.png", "A 53309-2022")</f>
        <v/>
      </c>
      <c r="Y45">
        <f>HYPERLINK("https://klasma.github.io/Logging_2425/kartor_geotiff/A 53309-2022 georefererad karta.tif", "A 53309-2022")</f>
        <v/>
      </c>
      <c r="AA45">
        <f>HYPERLINK("https://klasma.github.io/Logging_2425/klagomål/A 53309-2022 FSC-klagomål.docx", "A 53309-2022")</f>
        <v/>
      </c>
      <c r="AB45">
        <f>HYPERLINK("https://klasma.github.io/Logging_2425/klagomålsmail/A 53309-2022 FSC-klagomål mail.docx", "A 53309-2022")</f>
        <v/>
      </c>
      <c r="AC45">
        <f>HYPERLINK("https://klasma.github.io/Logging_2425/tillsyn/A 53309-2022 tillsynsbegäran.docx", "A 53309-2022")</f>
        <v/>
      </c>
      <c r="AD45">
        <f>HYPERLINK("https://klasma.github.io/Logging_2425/tillsynsmail/A 53309-2022 tillsynsbegäran mail.docx", "A 53309-2022")</f>
        <v/>
      </c>
      <c r="AE45">
        <f>HYPERLINK("https://klasma.github.io/Logging_2425/fåglar/A 53309-2022 prioriterade fågelarter.docx", "A 53309-2022")</f>
        <v/>
      </c>
    </row>
    <row r="46" ht="15" customHeight="1">
      <c r="A46" t="inlineStr">
        <is>
          <t>A 46815-2023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45198</v>
      </c>
      <c r="E46" s="1" t="n">
        <v>46311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Harticka</t>
        </is>
      </c>
      <c r="W46">
        <f>HYPERLINK("https://klasma.github.io/Logging_2425/artfynd/A 46815-2023 artfynd.xlsx", "A 46815-2023")</f>
        <v/>
      </c>
      <c r="X46">
        <f>HYPERLINK("https://klasma.github.io/Logging_2425/kartor/A 46815-2023 karta.png", "A 46815-2023")</f>
        <v/>
      </c>
      <c r="Y46">
        <f>HYPERLINK("https://klasma.github.io/Logging_2425/kartor_geotiff/A 46815-2023 georefererad karta.tif", "A 46815-2023")</f>
        <v/>
      </c>
      <c r="AA46">
        <f>HYPERLINK("https://klasma.github.io/Logging_2425/klagomål/A 46815-2023 FSC-klagomål.docx", "A 46815-2023")</f>
        <v/>
      </c>
      <c r="AB46">
        <f>HYPERLINK("https://klasma.github.io/Logging_2425/klagomålsmail/A 46815-2023 FSC-klagomål mail.docx", "A 46815-2023")</f>
        <v/>
      </c>
      <c r="AC46">
        <f>HYPERLINK("https://klasma.github.io/Logging_2425/tillsyn/A 46815-2023 tillsynsbegäran.docx", "A 46815-2023")</f>
        <v/>
      </c>
      <c r="AD46">
        <f>HYPERLINK("https://klasma.github.io/Logging_2425/tillsynsmail/A 46815-2023 tillsynsbegäran mail.docx", "A 46815-2023")</f>
        <v/>
      </c>
    </row>
    <row r="47" ht="15" customHeight="1">
      <c r="A47" t="inlineStr">
        <is>
          <t>A 1278-2024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45302</v>
      </c>
      <c r="E47" s="1" t="n">
        <v>46311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Gräddticka</t>
        </is>
      </c>
      <c r="W47">
        <f>HYPERLINK("https://klasma.github.io/Logging_2425/artfynd/A 1278-2024 artfynd.xlsx", "A 1278-2024")</f>
        <v/>
      </c>
      <c r="X47">
        <f>HYPERLINK("https://klasma.github.io/Logging_2425/kartor/A 1278-2024 karta.png", "A 1278-2024")</f>
        <v/>
      </c>
      <c r="Y47">
        <f>HYPERLINK("https://klasma.github.io/Logging_2425/kartor_geotiff/A 1278-2024 georefererad karta.tif", "A 1278-2024")</f>
        <v/>
      </c>
      <c r="AA47">
        <f>HYPERLINK("https://klasma.github.io/Logging_2425/klagomål/A 1278-2024 FSC-klagomål.docx", "A 1278-2024")</f>
        <v/>
      </c>
      <c r="AB47">
        <f>HYPERLINK("https://klasma.github.io/Logging_2425/klagomålsmail/A 1278-2024 FSC-klagomål mail.docx", "A 1278-2024")</f>
        <v/>
      </c>
      <c r="AC47">
        <f>HYPERLINK("https://klasma.github.io/Logging_2425/tillsyn/A 1278-2024 tillsynsbegäran.docx", "A 1278-2024")</f>
        <v/>
      </c>
      <c r="AD47">
        <f>HYPERLINK("https://klasma.github.io/Logging_2425/tillsynsmail/A 1278-2024 tillsynsbegäran mail.docx", "A 1278-2024")</f>
        <v/>
      </c>
    </row>
    <row r="48" ht="15" customHeight="1">
      <c r="A48" t="inlineStr">
        <is>
          <t>A 21926-2026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46311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HYPERLINK("https://klasma.github.io/Logging_2425/artfynd/A 21926-2026 artfynd.xlsx", "A 21926-2026")</f>
        <v/>
      </c>
      <c r="X48">
        <f>HYPERLINK("https://klasma.github.io/Logging_2425/kartor/A 21926-2026 karta.png", "A 21926-2026")</f>
        <v/>
      </c>
      <c r="Y48">
        <f>HYPERLINK("https://klasma.github.io/Logging_2425/kartor_geotiff/A 21926-2026 georefererad karta.tif", "A 21926-2026")</f>
        <v/>
      </c>
      <c r="AA48">
        <f>HYPERLINK("https://klasma.github.io/Logging_2425/klagomål/A 21926-2026 FSC-klagomål.docx", "A 21926-2026")</f>
        <v/>
      </c>
      <c r="AB48">
        <f>HYPERLINK("https://klasma.github.io/Logging_2425/klagomålsmail/A 21926-2026 FSC-klagomål mail.docx", "A 21926-2026")</f>
        <v/>
      </c>
      <c r="AC48">
        <f>HYPERLINK("https://klasma.github.io/Logging_2425/tillsyn/A 21926-2026 tillsynsbegäran.docx", "A 21926-2026")</f>
        <v/>
      </c>
      <c r="AD48">
        <f>HYPERLINK("https://klasma.github.io/Logging_2425/tillsynsmail/A 21926-2026 tillsynsbegäran mail.docx", "A 21926-2026")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46311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50530-2025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45945</v>
      </c>
      <c r="E50" s="1" t="n">
        <v>46311</v>
      </c>
      <c r="F50" t="inlineStr">
        <is>
          <t>VÄSTERBOTTENS LÄN</t>
        </is>
      </c>
      <c r="G50" t="inlineStr">
        <is>
          <t>DOROTEA</t>
        </is>
      </c>
      <c r="I50" t="n">
        <v>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Ängsnycklar</t>
        </is>
      </c>
      <c r="W50">
        <f>HYPERLINK("https://klasma.github.io/Logging_2425/artfynd/A 50530-2025 artfynd.xlsx", "A 50530-2025")</f>
        <v/>
      </c>
      <c r="X50">
        <f>HYPERLINK("https://klasma.github.io/Logging_2425/kartor/A 50530-2025 karta.png", "A 50530-2025")</f>
        <v/>
      </c>
      <c r="Y50">
        <f>HYPERLINK("https://klasma.github.io/Logging_2425/kartor_geotiff/A 50530-2025 georefererad karta.tif", "A 50530-2025")</f>
        <v/>
      </c>
      <c r="AA50">
        <f>HYPERLINK("https://klasma.github.io/Logging_2425/klagomål/A 50530-2025 FSC-klagomål.docx", "A 50530-2025")</f>
        <v/>
      </c>
      <c r="AB50">
        <f>HYPERLINK("https://klasma.github.io/Logging_2425/klagomålsmail/A 50530-2025 FSC-klagomål mail.docx", "A 50530-2025")</f>
        <v/>
      </c>
      <c r="AC50">
        <f>HYPERLINK("https://klasma.github.io/Logging_2425/tillsyn/A 50530-2025 tillsynsbegäran.docx", "A 50530-2025")</f>
        <v/>
      </c>
      <c r="AD50">
        <f>HYPERLINK("https://klasma.github.io/Logging_2425/tillsynsmail/A 50530-2025 tillsynsbegäran mail.docx", "A 50530-2025")</f>
        <v/>
      </c>
    </row>
    <row r="51" ht="15" customHeight="1">
      <c r="A51" t="inlineStr">
        <is>
          <t>A 57060-2024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46311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57060-2024 artfynd.xlsx", "A 57060-2024")</f>
        <v/>
      </c>
      <c r="X51">
        <f>HYPERLINK("https://klasma.github.io/Logging_2425/kartor/A 57060-2024 karta.png", "A 57060-2024")</f>
        <v/>
      </c>
      <c r="Y51">
        <f>HYPERLINK("https://klasma.github.io/Logging_2425/kartor_geotiff/A 57060-2024 georefererad karta.tif", "A 57060-2024")</f>
        <v/>
      </c>
      <c r="AA51">
        <f>HYPERLINK("https://klasma.github.io/Logging_2425/klagomål/A 57060-2024 FSC-klagomål.docx", "A 57060-2024")</f>
        <v/>
      </c>
      <c r="AB51">
        <f>HYPERLINK("https://klasma.github.io/Logging_2425/klagomålsmail/A 57060-2024 FSC-klagomål mail.docx", "A 57060-2024")</f>
        <v/>
      </c>
      <c r="AC51">
        <f>HYPERLINK("https://klasma.github.io/Logging_2425/tillsyn/A 57060-2024 tillsynsbegäran.docx", "A 57060-2024")</f>
        <v/>
      </c>
      <c r="AD51">
        <f>HYPERLINK("https://klasma.github.io/Logging_2425/tillsynsmail/A 57060-2024 tillsynsbegäran mail.docx", "A 57060-2024")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46311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46311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35297-2026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46311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35297-2026 artfynd.xlsx", "A 35297-2026")</f>
        <v/>
      </c>
      <c r="X54">
        <f>HYPERLINK("https://klasma.github.io/Logging_2425/kartor/A 35297-2026 karta.png", "A 35297-2026")</f>
        <v/>
      </c>
      <c r="Y54">
        <f>HYPERLINK("https://klasma.github.io/Logging_2425/kartor_geotiff/A 35297-2026 georefererad karta.tif", "A 35297-2026")</f>
        <v/>
      </c>
      <c r="AA54">
        <f>HYPERLINK("https://klasma.github.io/Logging_2425/klagomål/A 35297-2026 FSC-klagomål.docx", "A 35297-2026")</f>
        <v/>
      </c>
      <c r="AB54">
        <f>HYPERLINK("https://klasma.github.io/Logging_2425/klagomålsmail/A 35297-2026 FSC-klagomål mail.docx", "A 35297-2026")</f>
        <v/>
      </c>
      <c r="AC54">
        <f>HYPERLINK("https://klasma.github.io/Logging_2425/tillsyn/A 35297-2026 tillsynsbegäran.docx", "A 35297-2026")</f>
        <v/>
      </c>
      <c r="AD54">
        <f>HYPERLINK("https://klasma.github.io/Logging_2425/tillsynsmail/A 35297-2026 tillsynsbegäran mail.docx", "A 35297-2026")</f>
        <v/>
      </c>
    </row>
    <row r="55" ht="15" customHeight="1">
      <c r="A55" t="inlineStr">
        <is>
          <t>A 42536-2026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46308</v>
      </c>
      <c r="E55" s="1" t="n">
        <v>46311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8.6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Lappranunkel</t>
        </is>
      </c>
      <c r="W55">
        <f>HYPERLINK("https://klasma.github.io/Logging_2425/artfynd/A 42536-2026 artfynd.xlsx", "A 42536-2026")</f>
        <v/>
      </c>
      <c r="X55">
        <f>HYPERLINK("https://klasma.github.io/Logging_2425/kartor/A 42536-2026 karta.png", "A 42536-2026")</f>
        <v/>
      </c>
      <c r="Y55">
        <f>HYPERLINK("https://klasma.github.io/Logging_2425/kartor_geotiff/A 42536-2026 georefererad karta.tif", "A 42536-2026")</f>
        <v/>
      </c>
      <c r="AA55">
        <f>HYPERLINK("https://klasma.github.io/Logging_2425/klagomål/A 42536-2026 FSC-klagomål.docx", "A 42536-2026")</f>
        <v/>
      </c>
      <c r="AB55">
        <f>HYPERLINK("https://klasma.github.io/Logging_2425/klagomålsmail/A 42536-2026 FSC-klagomål mail.docx", "A 42536-2026")</f>
        <v/>
      </c>
      <c r="AC55">
        <f>HYPERLINK("https://klasma.github.io/Logging_2425/tillsyn/A 42536-2026 tillsynsbegäran.docx", "A 42536-2026")</f>
        <v/>
      </c>
      <c r="AD55">
        <f>HYPERLINK("https://klasma.github.io/Logging_2425/tillsynsmail/A 42536-2026 tillsynsbegäran mail.docx", "A 42536-2026")</f>
        <v/>
      </c>
    </row>
    <row r="56" ht="15" customHeight="1">
      <c r="A56" t="inlineStr">
        <is>
          <t>A 20600-2023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46311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Korallrot</t>
        </is>
      </c>
      <c r="W56">
        <f>HYPERLINK("https://klasma.github.io/Logging_2425/artfynd/A 20600-2023 artfynd.xlsx", "A 20600-2023")</f>
        <v/>
      </c>
      <c r="X56">
        <f>HYPERLINK("https://klasma.github.io/Logging_2425/kartor/A 20600-2023 karta.png", "A 20600-2023")</f>
        <v/>
      </c>
      <c r="Y56">
        <f>HYPERLINK("https://klasma.github.io/Logging_2425/kartor_geotiff/A 20600-2023 georefererad karta.tif", "A 20600-2023")</f>
        <v/>
      </c>
      <c r="AA56">
        <f>HYPERLINK("https://klasma.github.io/Logging_2425/klagomål/A 20600-2023 FSC-klagomål.docx", "A 20600-2023")</f>
        <v/>
      </c>
      <c r="AB56">
        <f>HYPERLINK("https://klasma.github.io/Logging_2425/klagomålsmail/A 20600-2023 FSC-klagomål mail.docx", "A 20600-2023")</f>
        <v/>
      </c>
      <c r="AC56">
        <f>HYPERLINK("https://klasma.github.io/Logging_2425/tillsyn/A 20600-2023 tillsynsbegäran.docx", "A 20600-2023")</f>
        <v/>
      </c>
      <c r="AD56">
        <f>HYPERLINK("https://klasma.github.io/Logging_2425/tillsynsmail/A 20600-2023 tillsynsbegäran mail.docx", "A 20600-2023")</f>
        <v/>
      </c>
    </row>
    <row r="57" ht="15" customHeight="1">
      <c r="A57" t="inlineStr">
        <is>
          <t>S 877-2022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44606</v>
      </c>
      <c r="E57" s="1" t="n">
        <v>46311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598.1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Gammelgransskål</t>
        </is>
      </c>
      <c r="W57">
        <f>HYPERLINK("https://klasma.github.io/Logging_2425/artfynd/S 877-2022 artfynd.xlsx", "S 877-2022")</f>
        <v/>
      </c>
      <c r="X57">
        <f>HYPERLINK("https://klasma.github.io/Logging_2425/kartor/S 877-2022 karta.png", "S 877-2022")</f>
        <v/>
      </c>
      <c r="Y57">
        <f>HYPERLINK("https://klasma.github.io/Logging_2425/kartor_geotiff/S 877-2022 georefererad karta.tif", "S 877-2022")</f>
        <v/>
      </c>
      <c r="AA57">
        <f>HYPERLINK("https://klasma.github.io/Logging_2425/klagomål/S 877-2022 FSC-klagomål.docx", "S 877-2022")</f>
        <v/>
      </c>
      <c r="AB57">
        <f>HYPERLINK("https://klasma.github.io/Logging_2425/klagomålsmail/S 877-2022 FSC-klagomål mail.docx", "S 877-2022")</f>
        <v/>
      </c>
      <c r="AC57">
        <f>HYPERLINK("https://klasma.github.io/Logging_2425/tillsyn/S 877-2022 tillsynsbegäran.docx", "S 877-2022")</f>
        <v/>
      </c>
      <c r="AD57">
        <f>HYPERLINK("https://klasma.github.io/Logging_2425/tillsynsmail/S 877-2022 tillsynsbegäran mail.docx", "S 877-2022")</f>
        <v/>
      </c>
    </row>
    <row r="58" ht="15" customHeight="1">
      <c r="A58" t="inlineStr">
        <is>
          <t>S 1194-2025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45756</v>
      </c>
      <c r="E58" s="1" t="n">
        <v>46311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Stjärntagging</t>
        </is>
      </c>
      <c r="W58">
        <f>HYPERLINK("https://klasma.github.io/Logging_2425/artfynd/S 1194-2025 artfynd.xlsx", "S 1194-2025")</f>
        <v/>
      </c>
      <c r="X58">
        <f>HYPERLINK("https://klasma.github.io/Logging_2425/kartor/S 1194-2025 karta.png", "S 1194-2025")</f>
        <v/>
      </c>
      <c r="Y58">
        <f>HYPERLINK("https://klasma.github.io/Logging_2425/kartor_geotiff/S 1194-2025 georefererad karta.tif", "S 1194-2025")</f>
        <v/>
      </c>
      <c r="AA58">
        <f>HYPERLINK("https://klasma.github.io/Logging_2425/klagomål/S 1194-2025 FSC-klagomål.docx", "S 1194-2025")</f>
        <v/>
      </c>
      <c r="AB58">
        <f>HYPERLINK("https://klasma.github.io/Logging_2425/klagomålsmail/S 1194-2025 FSC-klagomål mail.docx", "S 1194-2025")</f>
        <v/>
      </c>
      <c r="AC58">
        <f>HYPERLINK("https://klasma.github.io/Logging_2425/tillsyn/S 1194-2025 tillsynsbegäran.docx", "S 1194-2025")</f>
        <v/>
      </c>
      <c r="AD58">
        <f>HYPERLINK("https://klasma.github.io/Logging_2425/tillsynsmail/S 1194-2025 tillsynsbegäran mail.docx", "S 1194-2025")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46311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S 2218-2026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46258</v>
      </c>
      <c r="E60" s="1" t="n">
        <v>46311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HYPERLINK("https://klasma.github.io/Logging_2425/artfynd/S 2218-2026 artfynd.xlsx", "S 2218-2026")</f>
        <v/>
      </c>
      <c r="X60">
        <f>HYPERLINK("https://klasma.github.io/Logging_2425/kartor/S 2218-2026 karta.png", "S 2218-2026")</f>
        <v/>
      </c>
      <c r="Y60">
        <f>HYPERLINK("https://klasma.github.io/Logging_2425/kartor_geotiff/S 2218-2026 georefererad karta.tif", "S 2218-2026")</f>
        <v/>
      </c>
      <c r="AA60">
        <f>HYPERLINK("https://klasma.github.io/Logging_2425/klagomål/S 2218-2026 FSC-klagomål.docx", "S 2218-2026")</f>
        <v/>
      </c>
      <c r="AB60">
        <f>HYPERLINK("https://klasma.github.io/Logging_2425/klagomålsmail/S 2218-2026 FSC-klagomål mail.docx", "S 2218-2026")</f>
        <v/>
      </c>
      <c r="AC60">
        <f>HYPERLINK("https://klasma.github.io/Logging_2425/tillsyn/S 2218-2026 tillsynsbegäran.docx", "S 2218-2026")</f>
        <v/>
      </c>
      <c r="AD60">
        <f>HYPERLINK("https://klasma.github.io/Logging_2425/tillsynsmail/S 2218-2026 tillsynsbegäran mail.docx", "S 2218-2026")</f>
        <v/>
      </c>
    </row>
    <row r="61" ht="15" customHeight="1">
      <c r="A61" t="inlineStr">
        <is>
          <t>A 64063-2021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46311</v>
      </c>
      <c r="F61" t="inlineStr">
        <is>
          <t>VÄSTERBOTTENS LÄN</t>
        </is>
      </c>
      <c r="G61" t="inlineStr">
        <is>
          <t>DOROTEA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46311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44629</v>
      </c>
      <c r="E63" s="1" t="n">
        <v>46311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46311</v>
      </c>
      <c r="F64" t="inlineStr">
        <is>
          <t>VÄSTERBOTTENS LÄN</t>
        </is>
      </c>
      <c r="G64" t="inlineStr">
        <is>
          <t>DOROTEA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46311</v>
      </c>
      <c r="F65" t="inlineStr">
        <is>
          <t>VÄSTERBOTTENS LÄN</t>
        </is>
      </c>
      <c r="G65" t="inlineStr">
        <is>
          <t>DOROTEA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46311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46311</v>
      </c>
      <c r="F67" t="inlineStr">
        <is>
          <t>VÄSTERBOTTENS LÄN</t>
        </is>
      </c>
      <c r="G67" t="inlineStr">
        <is>
          <t>DOROTEA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46311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46311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25356-2025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46311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57236-2022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46311</v>
      </c>
      <c r="F71" t="inlineStr">
        <is>
          <t>VÄSTERBOTTENS LÄN</t>
        </is>
      </c>
      <c r="G71" t="inlineStr">
        <is>
          <t>DOROTEA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27199-2024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45471</v>
      </c>
      <c r="E72" s="1" t="n">
        <v>46311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25606-2025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45803</v>
      </c>
      <c r="E73" s="1" t="n">
        <v>46311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46311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46311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46311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45330</v>
      </c>
      <c r="E77" s="1" t="n">
        <v>46311</v>
      </c>
      <c r="F77" t="inlineStr">
        <is>
          <t>VÄSTERBOTTENS LÄN</t>
        </is>
      </c>
      <c r="G77" t="inlineStr">
        <is>
          <t>DOROTEA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45807</v>
      </c>
      <c r="E78" s="1" t="n">
        <v>46311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45807</v>
      </c>
      <c r="E79" s="1" t="n">
        <v>46311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45664</v>
      </c>
      <c r="E80" s="1" t="n">
        <v>46311</v>
      </c>
      <c r="F80" t="inlineStr">
        <is>
          <t>VÄSTERBOTTENS LÄN</t>
        </is>
      </c>
      <c r="G80" t="inlineStr">
        <is>
          <t>DOROTEA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53117-2023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45228</v>
      </c>
      <c r="E81" s="1" t="n">
        <v>46311</v>
      </c>
      <c r="F81" t="inlineStr">
        <is>
          <t>VÄSTERBOTTENS LÄN</t>
        </is>
      </c>
      <c r="G81" t="inlineStr">
        <is>
          <t>DOROTEA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45228</v>
      </c>
      <c r="E82" s="1" t="n">
        <v>46311</v>
      </c>
      <c r="F82" t="inlineStr">
        <is>
          <t>VÄSTERBOTTENS LÄN</t>
        </is>
      </c>
      <c r="G82" t="inlineStr">
        <is>
          <t>DOROTEA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45742</v>
      </c>
      <c r="E83" s="1" t="n">
        <v>46311</v>
      </c>
      <c r="F83" t="inlineStr">
        <is>
          <t>VÄSTERBOTTENS LÄN</t>
        </is>
      </c>
      <c r="G83" t="inlineStr">
        <is>
          <t>DOROTEA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26904-2025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46311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46311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46311</v>
      </c>
      <c r="F86" t="inlineStr">
        <is>
          <t>VÄSTERBOTTENS LÄN</t>
        </is>
      </c>
      <c r="G86" t="inlineStr">
        <is>
          <t>DOROTEA</t>
        </is>
      </c>
      <c r="I86" t="n">
        <v>10.2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46311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46311</v>
      </c>
      <c r="F88" t="inlineStr">
        <is>
          <t>VÄSTERBOTTENS LÄN</t>
        </is>
      </c>
      <c r="G88" t="inlineStr">
        <is>
          <t>DOROTEA</t>
        </is>
      </c>
      <c r="I88" t="n">
        <v>10.6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48006-2023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45198</v>
      </c>
      <c r="E89" s="1" t="n">
        <v>46311</v>
      </c>
      <c r="F89" t="inlineStr">
        <is>
          <t>VÄSTERBOTTENS LÄN</t>
        </is>
      </c>
      <c r="G89" t="inlineStr">
        <is>
          <t>DOROTEA</t>
        </is>
      </c>
      <c r="H89" t="inlineStr">
        <is>
          <t>Övriga statliga verk och myndigheter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29258-2025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45824</v>
      </c>
      <c r="E90" s="1" t="n">
        <v>46311</v>
      </c>
      <c r="F90" t="inlineStr">
        <is>
          <t>VÄSTERBOTTENS LÄN</t>
        </is>
      </c>
      <c r="G90" t="inlineStr">
        <is>
          <t>DOROTEA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46311</v>
      </c>
      <c r="F91" t="inlineStr">
        <is>
          <t>VÄSTERBOTTENS LÄN</t>
        </is>
      </c>
      <c r="G91" t="inlineStr">
        <is>
          <t>DOROTEA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38239-2025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46311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45385</v>
      </c>
      <c r="E93" s="1" t="n">
        <v>46311</v>
      </c>
      <c r="F93" t="inlineStr">
        <is>
          <t>VÄSTERBOTTENS LÄN</t>
        </is>
      </c>
      <c r="G93" t="inlineStr">
        <is>
          <t>DOROTEA</t>
        </is>
      </c>
      <c r="I93" t="n">
        <v>5.2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44568</v>
      </c>
      <c r="E94" s="1" t="n">
        <v>46311</v>
      </c>
      <c r="F94" t="inlineStr">
        <is>
          <t>VÄSTERBOTTENS LÄN</t>
        </is>
      </c>
      <c r="G94" t="inlineStr">
        <is>
          <t>DOROTEA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60304-2022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46311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45224</v>
      </c>
      <c r="E96" s="1" t="n">
        <v>46311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31532-2025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45833</v>
      </c>
      <c r="E97" s="1" t="n">
        <v>46311</v>
      </c>
      <c r="F97" t="inlineStr">
        <is>
          <t>VÄSTERBOTTENS LÄN</t>
        </is>
      </c>
      <c r="G97" t="inlineStr">
        <is>
          <t>DOROTEA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46311</v>
      </c>
      <c r="F98" t="inlineStr">
        <is>
          <t>VÄSTERBOTTENS LÄN</t>
        </is>
      </c>
      <c r="G98" t="inlineStr">
        <is>
          <t>DOROTEA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41353-2022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46311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45757</v>
      </c>
      <c r="E100" s="1" t="n">
        <v>46311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46311</v>
      </c>
      <c r="F101" t="inlineStr">
        <is>
          <t>VÄSTERBOTTENS LÄN</t>
        </is>
      </c>
      <c r="G101" t="inlineStr">
        <is>
          <t>DOROTEA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41771-2024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46311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55919-2023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45239</v>
      </c>
      <c r="E103" s="1" t="n">
        <v>46311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34279-2025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45846</v>
      </c>
      <c r="E104" s="1" t="n">
        <v>46311</v>
      </c>
      <c r="F104" t="inlineStr">
        <is>
          <t>VÄSTERBOTTENS LÄN</t>
        </is>
      </c>
      <c r="G104" t="inlineStr">
        <is>
          <t>DOROTEA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45069</v>
      </c>
      <c r="E105" s="1" t="n">
        <v>46311</v>
      </c>
      <c r="F105" t="inlineStr">
        <is>
          <t>VÄSTERBOTTENS LÄN</t>
        </is>
      </c>
      <c r="G105" t="inlineStr">
        <is>
          <t>DOROTEA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46311</v>
      </c>
      <c r="F106" t="inlineStr">
        <is>
          <t>VÄSTERBOTTENS LÄN</t>
        </is>
      </c>
      <c r="G106" t="inlineStr">
        <is>
          <t>DOROTEA</t>
        </is>
      </c>
      <c r="I106" t="n">
        <v>14.8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34681-2025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45848</v>
      </c>
      <c r="E107" s="1" t="n">
        <v>46311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46311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39471-2024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45551</v>
      </c>
      <c r="E109" s="1" t="n">
        <v>46311</v>
      </c>
      <c r="F109" t="inlineStr">
        <is>
          <t>VÄSTERBOTTENS LÄN</t>
        </is>
      </c>
      <c r="G109" t="inlineStr">
        <is>
          <t>DOROTEA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45849</v>
      </c>
      <c r="E110" s="1" t="n">
        <v>46311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45852</v>
      </c>
      <c r="E111" s="1" t="n">
        <v>46311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4958-2023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44956</v>
      </c>
      <c r="E112" s="1" t="n">
        <v>46311</v>
      </c>
      <c r="F112" t="inlineStr">
        <is>
          <t>VÄSTERBOTTENS LÄN</t>
        </is>
      </c>
      <c r="G112" t="inlineStr">
        <is>
          <t>DOROTEA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46311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45855</v>
      </c>
      <c r="E114" s="1" t="n">
        <v>46311</v>
      </c>
      <c r="F114" t="inlineStr">
        <is>
          <t>VÄSTERBOTTENS LÄN</t>
        </is>
      </c>
      <c r="G114" t="inlineStr">
        <is>
          <t>DOROTEA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22946-2024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46311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46311</v>
      </c>
      <c r="F116" t="inlineStr">
        <is>
          <t>VÄSTERBOTTENS LÄN</t>
        </is>
      </c>
      <c r="G116" t="inlineStr">
        <is>
          <t>DOROTEA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46311</v>
      </c>
      <c r="F117" t="inlineStr">
        <is>
          <t>VÄSTERBOTTENS LÄN</t>
        </is>
      </c>
      <c r="G117" t="inlineStr">
        <is>
          <t>DOROTEA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44582</v>
      </c>
      <c r="E118" s="1" t="n">
        <v>46311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46311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45140</v>
      </c>
      <c r="E120" s="1" t="n">
        <v>46311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57070-2023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45244</v>
      </c>
      <c r="E121" s="1" t="n">
        <v>46311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36125-2025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45866</v>
      </c>
      <c r="E122" s="1" t="n">
        <v>46311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36111-2025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45866</v>
      </c>
      <c r="E123" s="1" t="n">
        <v>46311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59418-2023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45253</v>
      </c>
      <c r="E124" s="1" t="n">
        <v>46311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7.6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44860</v>
      </c>
      <c r="E125" s="1" t="n">
        <v>46311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Sveaskog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45488</v>
      </c>
      <c r="E126" s="1" t="n">
        <v>46311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45874</v>
      </c>
      <c r="E127" s="1" t="n">
        <v>46311</v>
      </c>
      <c r="F127" t="inlineStr">
        <is>
          <t>VÄSTERBOTTENS LÄN</t>
        </is>
      </c>
      <c r="G127" t="inlineStr">
        <is>
          <t>DOROTEA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45483</v>
      </c>
      <c r="E128" s="1" t="n">
        <v>46311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44979</v>
      </c>
      <c r="E129" s="1" t="n">
        <v>46311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9.4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45874</v>
      </c>
      <c r="E130" s="1" t="n">
        <v>46311</v>
      </c>
      <c r="F130" t="inlineStr">
        <is>
          <t>VÄSTERBOTTENS LÄN</t>
        </is>
      </c>
      <c r="G130" t="inlineStr">
        <is>
          <t>DOROTEA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40435-2023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45169</v>
      </c>
      <c r="E131" s="1" t="n">
        <v>46311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45876</v>
      </c>
      <c r="E132" s="1" t="n">
        <v>46311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37135-2025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45875</v>
      </c>
      <c r="E133" s="1" t="n">
        <v>46311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45876</v>
      </c>
      <c r="E134" s="1" t="n">
        <v>46311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45877</v>
      </c>
      <c r="E135" s="1" t="n">
        <v>46311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8709-2025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45712</v>
      </c>
      <c r="E136" s="1" t="n">
        <v>46311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45882</v>
      </c>
      <c r="E137" s="1" t="n">
        <v>46311</v>
      </c>
      <c r="F137" t="inlineStr">
        <is>
          <t>VÄSTERBOTTENS LÄN</t>
        </is>
      </c>
      <c r="G137" t="inlineStr">
        <is>
          <t>DOROTEA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45882</v>
      </c>
      <c r="E138" s="1" t="n">
        <v>46311</v>
      </c>
      <c r="F138" t="inlineStr">
        <is>
          <t>VÄSTERBOTTENS LÄN</t>
        </is>
      </c>
      <c r="G138" t="inlineStr">
        <is>
          <t>DOROTEA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46311</v>
      </c>
      <c r="F139" t="inlineStr">
        <is>
          <t>VÄSTERBOTTENS LÄN</t>
        </is>
      </c>
      <c r="G139" t="inlineStr">
        <is>
          <t>DOROTEA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46311</v>
      </c>
      <c r="F140" t="inlineStr">
        <is>
          <t>VÄSTERBOTTENS LÄN</t>
        </is>
      </c>
      <c r="G140" t="inlineStr">
        <is>
          <t>DOROTEA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46311</v>
      </c>
      <c r="F141" t="inlineStr">
        <is>
          <t>VÄSTERBOTTENS LÄN</t>
        </is>
      </c>
      <c r="G141" t="inlineStr">
        <is>
          <t>DOROTEA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46311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45893</v>
      </c>
      <c r="E143" s="1" t="n">
        <v>46311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55549-2024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45622</v>
      </c>
      <c r="E144" s="1" t="n">
        <v>46311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45036</v>
      </c>
      <c r="E145" s="1" t="n">
        <v>46311</v>
      </c>
      <c r="F145" t="inlineStr">
        <is>
          <t>VÄSTERBOTTENS LÄN</t>
        </is>
      </c>
      <c r="G145" t="inlineStr">
        <is>
          <t>DOROTEA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46311</v>
      </c>
      <c r="F146" t="inlineStr">
        <is>
          <t>VÄSTERBOTTENS LÄN</t>
        </is>
      </c>
      <c r="G146" t="inlineStr">
        <is>
          <t>DOROTEA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45898</v>
      </c>
      <c r="E147" s="1" t="n">
        <v>46311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44889</v>
      </c>
      <c r="E148" s="1" t="n">
        <v>46311</v>
      </c>
      <c r="F148" t="inlineStr">
        <is>
          <t>VÄSTERBOTTENS LÄN</t>
        </is>
      </c>
      <c r="G148" t="inlineStr">
        <is>
          <t>DOROTEA</t>
        </is>
      </c>
      <c r="I148" t="n">
        <v>15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45556</v>
      </c>
      <c r="E149" s="1" t="n">
        <v>46311</v>
      </c>
      <c r="F149" t="inlineStr">
        <is>
          <t>VÄSTERBOTTENS LÄN</t>
        </is>
      </c>
      <c r="G149" t="inlineStr">
        <is>
          <t>DOROTEA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14249-2026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46311</v>
      </c>
      <c r="F150" t="inlineStr">
        <is>
          <t>VÄSTERBOTTENS LÄN</t>
        </is>
      </c>
      <c r="G150" t="inlineStr">
        <is>
          <t>DOROTEA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74013-2021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44557</v>
      </c>
      <c r="E151" s="1" t="n">
        <v>46311</v>
      </c>
      <c r="F151" t="inlineStr">
        <is>
          <t>VÄSTERBOTTENS LÄN</t>
        </is>
      </c>
      <c r="G151" t="inlineStr">
        <is>
          <t>DOROTEA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44925</v>
      </c>
      <c r="E152" s="1" t="n">
        <v>46311</v>
      </c>
      <c r="F152" t="inlineStr">
        <is>
          <t>VÄSTERBOTTENS LÄN</t>
        </is>
      </c>
      <c r="G152" t="inlineStr">
        <is>
          <t>DOROTEA</t>
        </is>
      </c>
      <c r="I152" t="n">
        <v>22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30373-2024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45491</v>
      </c>
      <c r="E153" s="1" t="n">
        <v>46311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Sveaskog</t>
        </is>
      </c>
      <c r="I153" t="n">
        <v>13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46966-2024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45586</v>
      </c>
      <c r="E154" s="1" t="n">
        <v>46311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15020-2026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46311</v>
      </c>
      <c r="F155" t="inlineStr">
        <is>
          <t>VÄSTERBOTTENS LÄN</t>
        </is>
      </c>
      <c r="G155" t="inlineStr">
        <is>
          <t>DOROTEA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46107</v>
      </c>
      <c r="E156" s="1" t="n">
        <v>46311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46311</v>
      </c>
      <c r="F157" t="inlineStr">
        <is>
          <t>VÄSTERBOTTENS LÄN</t>
        </is>
      </c>
      <c r="G157" t="inlineStr">
        <is>
          <t>DOROTEA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46311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45180</v>
      </c>
      <c r="E159" s="1" t="n">
        <v>46311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27.7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46311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33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16276-2026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46311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45565</v>
      </c>
      <c r="E162" s="1" t="n">
        <v>46311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16896-2026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46311</v>
      </c>
      <c r="F163" t="inlineStr">
        <is>
          <t>VÄSTERBOTTENS LÄN</t>
        </is>
      </c>
      <c r="G163" t="inlineStr">
        <is>
          <t>DOROTEA</t>
        </is>
      </c>
      <c r="H163" t="inlineStr">
        <is>
          <t>Kommuner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16985-2026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46114</v>
      </c>
      <c r="E164" s="1" t="n">
        <v>46311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45552</v>
      </c>
      <c r="E165" s="1" t="n">
        <v>46311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10649-2025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45721</v>
      </c>
      <c r="E166" s="1" t="n">
        <v>46311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7429-2023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44971</v>
      </c>
      <c r="E167" s="1" t="n">
        <v>46311</v>
      </c>
      <c r="F167" t="inlineStr">
        <is>
          <t>VÄSTERBOTTENS LÄN</t>
        </is>
      </c>
      <c r="G167" t="inlineStr">
        <is>
          <t>DOROTEA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46311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17537-2026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46120</v>
      </c>
      <c r="E169" s="1" t="n">
        <v>46311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46311</v>
      </c>
      <c r="F170" t="inlineStr">
        <is>
          <t>VÄSTERBOTTENS LÄN</t>
        </is>
      </c>
      <c r="G170" t="inlineStr">
        <is>
          <t>DOROTEA</t>
        </is>
      </c>
      <c r="H170" t="inlineStr">
        <is>
          <t>Övriga Aktiebolag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41871-2025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45903</v>
      </c>
      <c r="E171" s="1" t="n">
        <v>46311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45331</v>
      </c>
      <c r="E172" s="1" t="n">
        <v>46311</v>
      </c>
      <c r="F172" t="inlineStr">
        <is>
          <t>VÄSTERBOTTENS LÄN</t>
        </is>
      </c>
      <c r="G172" t="inlineStr">
        <is>
          <t>DOROTEA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46311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46123</v>
      </c>
      <c r="E174" s="1" t="n">
        <v>46311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46125</v>
      </c>
      <c r="E175" s="1" t="n">
        <v>46311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18.3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46311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23300-2023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46311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46126</v>
      </c>
      <c r="E178" s="1" t="n">
        <v>46311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45036</v>
      </c>
      <c r="E179" s="1" t="n">
        <v>46311</v>
      </c>
      <c r="F179" t="inlineStr">
        <is>
          <t>VÄSTERBOTTENS LÄN</t>
        </is>
      </c>
      <c r="G179" t="inlineStr">
        <is>
          <t>DOROTEA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44956</v>
      </c>
      <c r="E180" s="1" t="n">
        <v>46311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35990-2023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45148</v>
      </c>
      <c r="E181" s="1" t="n">
        <v>46311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44719</v>
      </c>
      <c r="E182" s="1" t="n">
        <v>46311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45614</v>
      </c>
      <c r="E183" s="1" t="n">
        <v>46311</v>
      </c>
      <c r="F183" t="inlineStr">
        <is>
          <t>VÄSTERBOTTENS LÄN</t>
        </is>
      </c>
      <c r="G183" t="inlineStr">
        <is>
          <t>DOROTEA</t>
        </is>
      </c>
      <c r="I183" t="n">
        <v>26.5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46311</v>
      </c>
      <c r="F184" t="inlineStr">
        <is>
          <t>VÄSTERBOTTENS LÄN</t>
        </is>
      </c>
      <c r="G184" t="inlineStr">
        <is>
          <t>DOROTEA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22942-2024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45448</v>
      </c>
      <c r="E185" s="1" t="n">
        <v>46311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46133</v>
      </c>
      <c r="E186" s="1" t="n">
        <v>46311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46133</v>
      </c>
      <c r="E187" s="1" t="n">
        <v>46311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19446-2026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46133</v>
      </c>
      <c r="E188" s="1" t="n">
        <v>46311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20316-2026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46311</v>
      </c>
      <c r="F189" t="inlineStr">
        <is>
          <t>VÄSTERBOTTENS LÄN</t>
        </is>
      </c>
      <c r="G189" t="inlineStr">
        <is>
          <t>DOROTEA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46311</v>
      </c>
      <c r="F190" t="inlineStr">
        <is>
          <t>VÄSTERBOTTENS LÄN</t>
        </is>
      </c>
      <c r="G190" t="inlineStr">
        <is>
          <t>DOROTEA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46311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45672</v>
      </c>
      <c r="E192" s="1" t="n">
        <v>46311</v>
      </c>
      <c r="F192" t="inlineStr">
        <is>
          <t>VÄSTERBOTTENS LÄN</t>
        </is>
      </c>
      <c r="G192" t="inlineStr">
        <is>
          <t>DOROTEA</t>
        </is>
      </c>
      <c r="H192" t="inlineStr">
        <is>
          <t>Kommuner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34503-2025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46311</v>
      </c>
      <c r="F193" t="inlineStr">
        <is>
          <t>VÄSTERBOTTENS LÄN</t>
        </is>
      </c>
      <c r="G193" t="inlineStr">
        <is>
          <t>DOROTEA</t>
        </is>
      </c>
      <c r="I193" t="n">
        <v>14.7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25028-2024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45461</v>
      </c>
      <c r="E194" s="1" t="n">
        <v>46311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46140</v>
      </c>
      <c r="E195" s="1" t="n">
        <v>46311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46311</v>
      </c>
      <c r="F196" t="inlineStr">
        <is>
          <t>VÄSTERBOTTENS LÄN</t>
        </is>
      </c>
      <c r="G196" t="inlineStr">
        <is>
          <t>DOROTEA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45866</v>
      </c>
      <c r="E197" s="1" t="n">
        <v>46311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45295</v>
      </c>
      <c r="E198" s="1" t="n">
        <v>46311</v>
      </c>
      <c r="F198" t="inlineStr">
        <is>
          <t>VÄSTERBOTTENS LÄN</t>
        </is>
      </c>
      <c r="G198" t="inlineStr">
        <is>
          <t>DOROTEA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46010</v>
      </c>
      <c r="E199" s="1" t="n">
        <v>46311</v>
      </c>
      <c r="F199" t="inlineStr">
        <is>
          <t>VÄSTERBOTTENS LÄN</t>
        </is>
      </c>
      <c r="G199" t="inlineStr">
        <is>
          <t>DOROTEA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4617-2023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44956</v>
      </c>
      <c r="E200" s="1" t="n">
        <v>46311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46311</v>
      </c>
      <c r="F201" t="inlineStr">
        <is>
          <t>VÄSTERBOTTENS LÄN</t>
        </is>
      </c>
      <c r="G201" t="inlineStr">
        <is>
          <t>DOROTEA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20321-2026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46136</v>
      </c>
      <c r="E202" s="1" t="n">
        <v>46311</v>
      </c>
      <c r="F202" t="inlineStr">
        <is>
          <t>VÄSTERBOTTENS LÄN</t>
        </is>
      </c>
      <c r="G202" t="inlineStr">
        <is>
          <t>DOROTEA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46311</v>
      </c>
      <c r="F203" t="inlineStr">
        <is>
          <t>VÄSTERBOTTENS LÄN</t>
        </is>
      </c>
      <c r="G203" t="inlineStr">
        <is>
          <t>DOROTEA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63575-2025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46311</v>
      </c>
      <c r="F204" t="inlineStr">
        <is>
          <t>VÄSTERBOTTENS LÄN</t>
        </is>
      </c>
      <c r="G204" t="inlineStr">
        <is>
          <t>DOROTEA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53272-2024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45614</v>
      </c>
      <c r="E205" s="1" t="n">
        <v>46311</v>
      </c>
      <c r="F205" t="inlineStr">
        <is>
          <t>VÄSTERBOTTENS LÄN</t>
        </is>
      </c>
      <c r="G205" t="inlineStr">
        <is>
          <t>DOROTEA</t>
        </is>
      </c>
      <c r="I205" t="n">
        <v>31.7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55889-2022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44888</v>
      </c>
      <c r="E206" s="1" t="n">
        <v>46311</v>
      </c>
      <c r="F206" t="inlineStr">
        <is>
          <t>VÄSTERBOTTENS LÄN</t>
        </is>
      </c>
      <c r="G206" t="inlineStr">
        <is>
          <t>DOROTEA</t>
        </is>
      </c>
      <c r="I206" t="n">
        <v>15.8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46311</v>
      </c>
      <c r="F207" t="inlineStr">
        <is>
          <t>VÄSTERBOTTENS LÄN</t>
        </is>
      </c>
      <c r="G207" t="inlineStr">
        <is>
          <t>DOROTEA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45519</v>
      </c>
      <c r="E208" s="1" t="n">
        <v>46311</v>
      </c>
      <c r="F208" t="inlineStr">
        <is>
          <t>VÄSTERBOTTENS LÄN</t>
        </is>
      </c>
      <c r="G208" t="inlineStr">
        <is>
          <t>DOROTEA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45642</v>
      </c>
      <c r="E209" s="1" t="n">
        <v>46311</v>
      </c>
      <c r="F209" t="inlineStr">
        <is>
          <t>VÄSTERBOTTENS LÄN</t>
        </is>
      </c>
      <c r="G209" t="inlineStr">
        <is>
          <t>DOROTEA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53092-2024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45611</v>
      </c>
      <c r="E210" s="1" t="n">
        <v>46311</v>
      </c>
      <c r="F210" t="inlineStr">
        <is>
          <t>VÄSTERBOTTENS LÄN</t>
        </is>
      </c>
      <c r="G210" t="inlineStr">
        <is>
          <t>DOROTEA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59329-2025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46311</v>
      </c>
      <c r="F211" t="inlineStr">
        <is>
          <t>VÄSTERBOTTENS LÄN</t>
        </is>
      </c>
      <c r="G211" t="inlineStr">
        <is>
          <t>DOROTEA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45705</v>
      </c>
      <c r="E212" s="1" t="n">
        <v>46311</v>
      </c>
      <c r="F212" t="inlineStr">
        <is>
          <t>VÄSTERBOTTENS LÄN</t>
        </is>
      </c>
      <c r="G212" t="inlineStr">
        <is>
          <t>DOROTEA</t>
        </is>
      </c>
      <c r="I212" t="n">
        <v>13.3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37282-2025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45876</v>
      </c>
      <c r="E213" s="1" t="n">
        <v>46311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45351</v>
      </c>
      <c r="E214" s="1" t="n">
        <v>46311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46311</v>
      </c>
      <c r="F215" t="inlineStr">
        <is>
          <t>VÄSTERBOTTENS LÄN</t>
        </is>
      </c>
      <c r="G215" t="inlineStr">
        <is>
          <t>DOROTEA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46311</v>
      </c>
      <c r="F216" t="inlineStr">
        <is>
          <t>VÄSTERBOTTENS LÄN</t>
        </is>
      </c>
      <c r="G216" t="inlineStr">
        <is>
          <t>DOROTEA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20390-2026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46139</v>
      </c>
      <c r="E217" s="1" t="n">
        <v>46311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45223</v>
      </c>
      <c r="E218" s="1" t="n">
        <v>46311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60163-2024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45642</v>
      </c>
      <c r="E219" s="1" t="n">
        <v>46311</v>
      </c>
      <c r="F219" t="inlineStr">
        <is>
          <t>VÄSTERBOTTENS LÄN</t>
        </is>
      </c>
      <c r="G219" t="inlineStr">
        <is>
          <t>DOROTEA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46136</v>
      </c>
      <c r="E220" s="1" t="n">
        <v>46311</v>
      </c>
      <c r="F220" t="inlineStr">
        <is>
          <t>VÄSTERBOTTENS LÄN</t>
        </is>
      </c>
      <c r="G220" t="inlineStr">
        <is>
          <t>DOROTEA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45125</v>
      </c>
      <c r="E221" s="1" t="n">
        <v>46311</v>
      </c>
      <c r="F221" t="inlineStr">
        <is>
          <t>VÄSTERBOTTENS LÄN</t>
        </is>
      </c>
      <c r="G221" t="inlineStr">
        <is>
          <t>DOROTEA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45678</v>
      </c>
      <c r="E222" s="1" t="n">
        <v>46311</v>
      </c>
      <c r="F222" t="inlineStr">
        <is>
          <t>VÄSTERBOTTENS LÄN</t>
        </is>
      </c>
      <c r="G222" t="inlineStr">
        <is>
          <t>DOROTEA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46311</v>
      </c>
      <c r="F223" t="inlineStr">
        <is>
          <t>VÄSTERBOTTENS LÄN</t>
        </is>
      </c>
      <c r="G223" t="inlineStr">
        <is>
          <t>DOROTEA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46311</v>
      </c>
      <c r="F224" t="inlineStr">
        <is>
          <t>VÄSTERBOTTENS LÄN</t>
        </is>
      </c>
      <c r="G224" t="inlineStr">
        <is>
          <t>DOROTEA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20754-2026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46311</v>
      </c>
      <c r="F225" t="inlineStr">
        <is>
          <t>VÄSTERBOTTENS LÄN</t>
        </is>
      </c>
      <c r="G225" t="inlineStr">
        <is>
          <t>DOROTEA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43720-2025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45912</v>
      </c>
      <c r="E226" s="1" t="n">
        <v>46311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20231-2026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46311</v>
      </c>
      <c r="F227" t="inlineStr">
        <is>
          <t>VÄSTERBOTTENS LÄN</t>
        </is>
      </c>
      <c r="G227" t="inlineStr">
        <is>
          <t>DOROTEA</t>
        </is>
      </c>
      <c r="I227" t="n">
        <v>21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46311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46311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46311</v>
      </c>
      <c r="F230" t="inlineStr">
        <is>
          <t>VÄSTERBOTTENS LÄN</t>
        </is>
      </c>
      <c r="G230" t="inlineStr">
        <is>
          <t>DOROTEA</t>
        </is>
      </c>
      <c r="I230" t="n">
        <v>17.8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46311</v>
      </c>
      <c r="F231" t="inlineStr">
        <is>
          <t>VÄSTERBOTTENS LÄN</t>
        </is>
      </c>
      <c r="G231" t="inlineStr">
        <is>
          <t>DOROTEA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46311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46146</v>
      </c>
      <c r="E233" s="1" t="n">
        <v>46311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43866-2025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46311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40434-2023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45169</v>
      </c>
      <c r="E235" s="1" t="n">
        <v>46311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21152-2026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46311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46311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46311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45170</v>
      </c>
      <c r="E239" s="1" t="n">
        <v>46311</v>
      </c>
      <c r="F239" t="inlineStr">
        <is>
          <t>VÄSTERBOTTENS LÄN</t>
        </is>
      </c>
      <c r="G239" t="inlineStr">
        <is>
          <t>DOROTEA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60145-2021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44494</v>
      </c>
      <c r="E240" s="1" t="n">
        <v>46311</v>
      </c>
      <c r="F240" t="inlineStr">
        <is>
          <t>VÄSTERBOTTENS LÄN</t>
        </is>
      </c>
      <c r="G240" t="inlineStr">
        <is>
          <t>DOROTEA</t>
        </is>
      </c>
      <c r="I240" t="n">
        <v>13.3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46147</v>
      </c>
      <c r="E241" s="1" t="n">
        <v>46311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44282-2025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45916</v>
      </c>
      <c r="E242" s="1" t="n">
        <v>46311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46147</v>
      </c>
      <c r="E243" s="1" t="n">
        <v>46311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21749-2026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46311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21812-2026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46150</v>
      </c>
      <c r="E245" s="1" t="n">
        <v>46311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46311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46311</v>
      </c>
      <c r="F247" t="inlineStr">
        <is>
          <t>VÄSTERBOTTENS LÄN</t>
        </is>
      </c>
      <c r="G247" t="inlineStr">
        <is>
          <t>DOROTEA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46311</v>
      </c>
      <c r="F248" t="inlineStr">
        <is>
          <t>VÄSTERBOTTENS LÄN</t>
        </is>
      </c>
      <c r="G248" t="inlineStr">
        <is>
          <t>DOROTEA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27780-2026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46311</v>
      </c>
      <c r="F249" t="inlineStr">
        <is>
          <t>VÄSTERBOTTENS LÄN</t>
        </is>
      </c>
      <c r="G249" t="inlineStr">
        <is>
          <t>DOROTEA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45636</v>
      </c>
      <c r="E250" s="1" t="n">
        <v>46311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22128-2026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46153</v>
      </c>
      <c r="E251" s="1" t="n">
        <v>46311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55888-2022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44888</v>
      </c>
      <c r="E252" s="1" t="n">
        <v>46311</v>
      </c>
      <c r="F252" t="inlineStr">
        <is>
          <t>VÄSTERBOTTENS LÄN</t>
        </is>
      </c>
      <c r="G252" t="inlineStr">
        <is>
          <t>DOROTEA</t>
        </is>
      </c>
      <c r="I252" t="n">
        <v>7.6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22214-2026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46311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46311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45475</v>
      </c>
      <c r="E255" s="1" t="n">
        <v>46311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46311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46311</v>
      </c>
      <c r="F257" t="inlineStr">
        <is>
          <t>VÄSTERBOTTENS LÄN</t>
        </is>
      </c>
      <c r="G257" t="inlineStr">
        <is>
          <t>DOROTEA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15352-2025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45747</v>
      </c>
      <c r="E258" s="1" t="n">
        <v>46311</v>
      </c>
      <c r="F258" t="inlineStr">
        <is>
          <t>VÄSTERBOTTENS LÄN</t>
        </is>
      </c>
      <c r="G258" t="inlineStr">
        <is>
          <t>DOROTEA</t>
        </is>
      </c>
      <c r="I258" t="n">
        <v>10.3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46311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44194-2025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46311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8.4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44190-2025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46311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45916</v>
      </c>
      <c r="E262" s="1" t="n">
        <v>46311</v>
      </c>
      <c r="F262" t="inlineStr">
        <is>
          <t>VÄSTERBOTTENS LÄN</t>
        </is>
      </c>
      <c r="G262" t="inlineStr">
        <is>
          <t>DOROTEA</t>
        </is>
      </c>
      <c r="H262" t="inlineStr">
        <is>
          <t>Övriga statliga verk och myndigheter</t>
        </is>
      </c>
      <c r="I262" t="n">
        <v>15.2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44594-2025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46311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22650-2026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46155</v>
      </c>
      <c r="E264" s="1" t="n">
        <v>46311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44593-2025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45917</v>
      </c>
      <c r="E265" s="1" t="n">
        <v>46311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45013</v>
      </c>
      <c r="E266" s="1" t="n">
        <v>46311</v>
      </c>
      <c r="F266" t="inlineStr">
        <is>
          <t>VÄSTERBOTTENS LÄN</t>
        </is>
      </c>
      <c r="G266" t="inlineStr">
        <is>
          <t>DOROTEA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44748</v>
      </c>
      <c r="E267" s="1" t="n">
        <v>46311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44784-2025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46311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47494-2023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45202</v>
      </c>
      <c r="E269" s="1" t="n">
        <v>46311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46107</v>
      </c>
      <c r="E270" s="1" t="n">
        <v>46311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38377-2023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46311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45882</v>
      </c>
      <c r="E272" s="1" t="n">
        <v>46311</v>
      </c>
      <c r="F272" t="inlineStr">
        <is>
          <t>VÄSTERBOTTENS LÄN</t>
        </is>
      </c>
      <c r="G272" t="inlineStr">
        <is>
          <t>DOROTEA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44974</v>
      </c>
      <c r="E273" s="1" t="n">
        <v>46311</v>
      </c>
      <c r="F273" t="inlineStr">
        <is>
          <t>VÄSTERBOTTENS LÄN</t>
        </is>
      </c>
      <c r="G273" t="inlineStr">
        <is>
          <t>DOROTEA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31497-2024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45505</v>
      </c>
      <c r="E274" s="1" t="n">
        <v>46311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23336-2026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46162</v>
      </c>
      <c r="E275" s="1" t="n">
        <v>46311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46311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45845</v>
      </c>
      <c r="E277" s="1" t="n">
        <v>46311</v>
      </c>
      <c r="F277" t="inlineStr">
        <is>
          <t>VÄSTERBOTTENS LÄN</t>
        </is>
      </c>
      <c r="G277" t="inlineStr">
        <is>
          <t>DOROTEA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30461-2024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45491</v>
      </c>
      <c r="E278" s="1" t="n">
        <v>46311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45962</v>
      </c>
      <c r="E279" s="1" t="n">
        <v>46311</v>
      </c>
      <c r="F279" t="inlineStr">
        <is>
          <t>VÄSTERBOTTENS LÄN</t>
        </is>
      </c>
      <c r="G279" t="inlineStr">
        <is>
          <t>DOROTEA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23214-2026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46162</v>
      </c>
      <c r="E280" s="1" t="n">
        <v>46311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34408-2025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45845</v>
      </c>
      <c r="E281" s="1" t="n">
        <v>46311</v>
      </c>
      <c r="F281" t="inlineStr">
        <is>
          <t>VÄSTERBOTTENS LÄN</t>
        </is>
      </c>
      <c r="G281" t="inlineStr">
        <is>
          <t>DOROTEA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46311</v>
      </c>
      <c r="F282" t="inlineStr">
        <is>
          <t>VÄSTERBOTTENS LÄN</t>
        </is>
      </c>
      <c r="G282" t="inlineStr">
        <is>
          <t>DOROTEA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57794-2023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45246</v>
      </c>
      <c r="E283" s="1" t="n">
        <v>46311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50582-2024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45600</v>
      </c>
      <c r="E284" s="1" t="n">
        <v>46311</v>
      </c>
      <c r="F284" t="inlineStr">
        <is>
          <t>VÄSTERBOTTENS LÄN</t>
        </is>
      </c>
      <c r="G284" t="inlineStr">
        <is>
          <t>DOROTEA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45642</v>
      </c>
      <c r="E285" s="1" t="n">
        <v>46311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14163-2024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45392</v>
      </c>
      <c r="E286" s="1" t="n">
        <v>46311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9103-2023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44979</v>
      </c>
      <c r="E287" s="1" t="n">
        <v>46311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45547</v>
      </c>
      <c r="E288" s="1" t="n">
        <v>46311</v>
      </c>
      <c r="F288" t="inlineStr">
        <is>
          <t>VÄSTERBOTTENS LÄN</t>
        </is>
      </c>
      <c r="G288" t="inlineStr">
        <is>
          <t>DOROTEA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24839-2026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46174</v>
      </c>
      <c r="E289" s="1" t="n">
        <v>46311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24852-2026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46311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46311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46817-2022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44848</v>
      </c>
      <c r="E292" s="1" t="n">
        <v>46311</v>
      </c>
      <c r="F292" t="inlineStr">
        <is>
          <t>VÄSTERBOTTENS LÄN</t>
        </is>
      </c>
      <c r="G292" t="inlineStr">
        <is>
          <t>DOROTEA</t>
        </is>
      </c>
      <c r="I292" t="n">
        <v>29.8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46311</v>
      </c>
      <c r="F293" t="inlineStr">
        <is>
          <t>VÄSTERBOTTENS LÄN</t>
        </is>
      </c>
      <c r="G293" t="inlineStr">
        <is>
          <t>DOROTEA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14255-2026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46311</v>
      </c>
      <c r="F294" t="inlineStr">
        <is>
          <t>VÄSTERBOTTENS LÄN</t>
        </is>
      </c>
      <c r="G294" t="inlineStr">
        <is>
          <t>DOROTEA</t>
        </is>
      </c>
      <c r="I294" t="n">
        <v>26.2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46311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45936</v>
      </c>
      <c r="E296" s="1" t="n">
        <v>46311</v>
      </c>
      <c r="F296" t="inlineStr">
        <is>
          <t>VÄSTERBOTTENS LÄN</t>
        </is>
      </c>
      <c r="G296" t="inlineStr">
        <is>
          <t>DOROTEA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45565</v>
      </c>
      <c r="E297" s="1" t="n">
        <v>46311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46178</v>
      </c>
      <c r="E298" s="1" t="n">
        <v>46311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26237-2026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46182</v>
      </c>
      <c r="E299" s="1" t="n">
        <v>46311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46965-2024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45586</v>
      </c>
      <c r="E300" s="1" t="n">
        <v>46311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Sveaskog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46182</v>
      </c>
      <c r="E301" s="1" t="n">
        <v>46311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46311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44980</v>
      </c>
      <c r="E303" s="1" t="n">
        <v>46311</v>
      </c>
      <c r="F303" t="inlineStr">
        <is>
          <t>VÄSTERBOTTENS LÄN</t>
        </is>
      </c>
      <c r="G303" t="inlineStr">
        <is>
          <t>DOROTEA</t>
        </is>
      </c>
      <c r="I303" t="n">
        <v>18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46185</v>
      </c>
      <c r="E304" s="1" t="n">
        <v>46311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46311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9.800000000000001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46311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27738-2026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46191</v>
      </c>
      <c r="E307" s="1" t="n">
        <v>46311</v>
      </c>
      <c r="F307" t="inlineStr">
        <is>
          <t>VÄSTERBOTTENS LÄN</t>
        </is>
      </c>
      <c r="G307" t="inlineStr">
        <is>
          <t>DOROTEA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46195</v>
      </c>
      <c r="E308" s="1" t="n">
        <v>46311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46311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27477-2023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45097</v>
      </c>
      <c r="E310" s="1" t="n">
        <v>46311</v>
      </c>
      <c r="F310" t="inlineStr">
        <is>
          <t>VÄSTERBOTTENS LÄN</t>
        </is>
      </c>
      <c r="G310" t="inlineStr">
        <is>
          <t>DOROTEA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44942</v>
      </c>
      <c r="E311" s="1" t="n">
        <v>46311</v>
      </c>
      <c r="F311" t="inlineStr">
        <is>
          <t>VÄSTERBOTTENS LÄN</t>
        </is>
      </c>
      <c r="G311" t="inlineStr">
        <is>
          <t>DOROTEA</t>
        </is>
      </c>
      <c r="I311" t="n">
        <v>22.7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28360-2026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46196</v>
      </c>
      <c r="E312" s="1" t="n">
        <v>46311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49.5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42889-2024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46311</v>
      </c>
      <c r="F313" t="inlineStr">
        <is>
          <t>VÄSTERBOTTENS LÄN</t>
        </is>
      </c>
      <c r="G313" t="inlineStr">
        <is>
          <t>DOROTEA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28782-2026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46311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7.3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28741-2026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46198</v>
      </c>
      <c r="E315" s="1" t="n">
        <v>46311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44820-2024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46311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28783-2026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46198</v>
      </c>
      <c r="E317" s="1" t="n">
        <v>46311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25719-2024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46311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37105-2024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45539</v>
      </c>
      <c r="E319" s="1" t="n">
        <v>46311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59653-2024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45639</v>
      </c>
      <c r="E320" s="1" t="n">
        <v>46311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29757-2026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46204</v>
      </c>
      <c r="E321" s="1" t="n">
        <v>46311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17783-2023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45036</v>
      </c>
      <c r="E322" s="1" t="n">
        <v>46311</v>
      </c>
      <c r="F322" t="inlineStr">
        <is>
          <t>VÄSTERBOTTENS LÄN</t>
        </is>
      </c>
      <c r="G322" t="inlineStr">
        <is>
          <t>DOROTEA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22944-2024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45448</v>
      </c>
      <c r="E323" s="1" t="n">
        <v>46311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8852-2024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45356</v>
      </c>
      <c r="E324" s="1" t="n">
        <v>46311</v>
      </c>
      <c r="F324" t="inlineStr">
        <is>
          <t>VÄSTERBOTTENS LÄN</t>
        </is>
      </c>
      <c r="G324" t="inlineStr">
        <is>
          <t>DOROTEA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30078-2026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46206</v>
      </c>
      <c r="E325" s="1" t="n">
        <v>46311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19657-2025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45770</v>
      </c>
      <c r="E326" s="1" t="n">
        <v>46311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46311</v>
      </c>
      <c r="F327" t="inlineStr">
        <is>
          <t>VÄSTERBOTTENS LÄN</t>
        </is>
      </c>
      <c r="G327" t="inlineStr">
        <is>
          <t>DOROTEA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8246-2024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45351</v>
      </c>
      <c r="E328" s="1" t="n">
        <v>46311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30190-2026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46311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46211</v>
      </c>
      <c r="E330" s="1" t="n">
        <v>46311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30645-2026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46211</v>
      </c>
      <c r="E331" s="1" t="n">
        <v>46311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46212</v>
      </c>
      <c r="E332" s="1" t="n">
        <v>46311</v>
      </c>
      <c r="F332" t="inlineStr">
        <is>
          <t>VÄSTERBOTTENS LÄN</t>
        </is>
      </c>
      <c r="G332" t="inlineStr">
        <is>
          <t>DOROTEA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46311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46212</v>
      </c>
      <c r="E334" s="1" t="n">
        <v>46311</v>
      </c>
      <c r="F334" t="inlineStr">
        <is>
          <t>VÄSTERBOTTENS LÄN</t>
        </is>
      </c>
      <c r="G334" t="inlineStr">
        <is>
          <t>DOROTEA</t>
        </is>
      </c>
      <c r="I334" t="n">
        <v>8.4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30823-2026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46212</v>
      </c>
      <c r="E335" s="1" t="n">
        <v>46311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31016-2026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46213</v>
      </c>
      <c r="E336" s="1" t="n">
        <v>46311</v>
      </c>
      <c r="F336" t="inlineStr">
        <is>
          <t>VÄSTERBOTTENS LÄN</t>
        </is>
      </c>
      <c r="G336" t="inlineStr">
        <is>
          <t>DOROTEA</t>
        </is>
      </c>
      <c r="I336" t="n">
        <v>7.8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46213</v>
      </c>
      <c r="E337" s="1" t="n">
        <v>46311</v>
      </c>
      <c r="F337" t="inlineStr">
        <is>
          <t>VÄSTERBOTTENS LÄN</t>
        </is>
      </c>
      <c r="G337" t="inlineStr">
        <is>
          <t>DOROTEA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46217</v>
      </c>
      <c r="E338" s="1" t="n">
        <v>46311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59395-2023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45253</v>
      </c>
      <c r="E339" s="1" t="n">
        <v>46311</v>
      </c>
      <c r="F339" t="inlineStr">
        <is>
          <t>VÄSTERBOTTENS LÄN</t>
        </is>
      </c>
      <c r="G339" t="inlineStr">
        <is>
          <t>DOROTEA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59397-2023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45253</v>
      </c>
      <c r="E340" s="1" t="n">
        <v>46311</v>
      </c>
      <c r="F340" t="inlineStr">
        <is>
          <t>VÄSTERBOTTENS LÄN</t>
        </is>
      </c>
      <c r="G340" t="inlineStr">
        <is>
          <t>DOROTEA</t>
        </is>
      </c>
      <c r="I340" t="n">
        <v>8.5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31179-2026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46217</v>
      </c>
      <c r="E341" s="1" t="n">
        <v>46311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20759-2023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45055</v>
      </c>
      <c r="E342" s="1" t="n">
        <v>46311</v>
      </c>
      <c r="F342" t="inlineStr">
        <is>
          <t>VÄSTERBOTTENS LÄN</t>
        </is>
      </c>
      <c r="G342" t="inlineStr">
        <is>
          <t>DOROTEA</t>
        </is>
      </c>
      <c r="H342" t="inlineStr">
        <is>
          <t>Övriga statliga verk och myndigheter</t>
        </is>
      </c>
      <c r="I342" t="n">
        <v>13.9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46218</v>
      </c>
      <c r="E343" s="1" t="n">
        <v>46311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46218</v>
      </c>
      <c r="E344" s="1" t="n">
        <v>46311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67686-2021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44524</v>
      </c>
      <c r="E345" s="1" t="n">
        <v>46311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46218</v>
      </c>
      <c r="E346" s="1" t="n">
        <v>46311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32821-2024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45516</v>
      </c>
      <c r="E347" s="1" t="n">
        <v>46311</v>
      </c>
      <c r="F347" t="inlineStr">
        <is>
          <t>VÄSTERBOTTENS LÄN</t>
        </is>
      </c>
      <c r="G347" t="inlineStr">
        <is>
          <t>DOROTEA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44889</v>
      </c>
      <c r="E348" s="1" t="n">
        <v>46311</v>
      </c>
      <c r="F348" t="inlineStr">
        <is>
          <t>VÄSTERBOTTENS LÄN</t>
        </is>
      </c>
      <c r="G348" t="inlineStr">
        <is>
          <t>DOROTEA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31439-2026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46220</v>
      </c>
      <c r="E349" s="1" t="n">
        <v>46311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10.1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46311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8.199999999999999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31575-2026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46224</v>
      </c>
      <c r="E351" s="1" t="n">
        <v>46311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31573-2026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46224</v>
      </c>
      <c r="E352" s="1" t="n">
        <v>46311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46224</v>
      </c>
      <c r="E353" s="1" t="n">
        <v>46311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34107-2023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45125</v>
      </c>
      <c r="E354" s="1" t="n">
        <v>46311</v>
      </c>
      <c r="F354" t="inlineStr">
        <is>
          <t>VÄSTERBOTTENS LÄN</t>
        </is>
      </c>
      <c r="G354" t="inlineStr">
        <is>
          <t>DOROTEA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35000-2023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45142</v>
      </c>
      <c r="E355" s="1" t="n">
        <v>46311</v>
      </c>
      <c r="F355" t="inlineStr">
        <is>
          <t>VÄSTERBOTTENS LÄN</t>
        </is>
      </c>
      <c r="G355" t="inlineStr">
        <is>
          <t>DOROTEA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52276-2023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45217</v>
      </c>
      <c r="E356" s="1" t="n">
        <v>46311</v>
      </c>
      <c r="F356" t="inlineStr">
        <is>
          <t>VÄSTERBOTTENS LÄN</t>
        </is>
      </c>
      <c r="G356" t="inlineStr">
        <is>
          <t>DOROTEA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46311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46311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45966</v>
      </c>
      <c r="E359" s="1" t="n">
        <v>46311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53795-2022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44876</v>
      </c>
      <c r="E360" s="1" t="n">
        <v>46311</v>
      </c>
      <c r="F360" t="inlineStr">
        <is>
          <t>VÄSTERBOTTENS LÄN</t>
        </is>
      </c>
      <c r="G360" t="inlineStr">
        <is>
          <t>DOROTEA</t>
        </is>
      </c>
      <c r="I360" t="n">
        <v>12.3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13170-2025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45735</v>
      </c>
      <c r="E361" s="1" t="n">
        <v>46311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37826-2026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46279</v>
      </c>
      <c r="E362" s="1" t="n">
        <v>46311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46311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38087-2026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46281</v>
      </c>
      <c r="E364" s="1" t="n">
        <v>46311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46282</v>
      </c>
      <c r="E365" s="1" t="n">
        <v>46311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56428-2025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46311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46311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22450-2024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45446</v>
      </c>
      <c r="E368" s="1" t="n">
        <v>46311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60153-2024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45642</v>
      </c>
      <c r="E369" s="1" t="n">
        <v>46311</v>
      </c>
      <c r="F369" t="inlineStr">
        <is>
          <t>VÄSTERBOTTENS LÄN</t>
        </is>
      </c>
      <c r="G369" t="inlineStr">
        <is>
          <t>DOROTEA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57245-2025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46311</v>
      </c>
      <c r="F370" t="inlineStr">
        <is>
          <t>VÄSTERBOTTENS LÄN</t>
        </is>
      </c>
      <c r="G370" t="inlineStr">
        <is>
          <t>DOROTEA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46311</v>
      </c>
      <c r="F371" t="inlineStr">
        <is>
          <t>VÄSTERBOTTENS LÄN</t>
        </is>
      </c>
      <c r="G371" t="inlineStr">
        <is>
          <t>DOROTEA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46311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45977</v>
      </c>
      <c r="E373" s="1" t="n">
        <v>46311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60015-2023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45257</v>
      </c>
      <c r="E374" s="1" t="n">
        <v>46311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46311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57481-2025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46311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45980</v>
      </c>
      <c r="E377" s="1" t="n">
        <v>46311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45315</v>
      </c>
      <c r="E378" s="1" t="n">
        <v>46311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10402-2025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45720</v>
      </c>
      <c r="E379" s="1" t="n">
        <v>46311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45982</v>
      </c>
      <c r="E380" s="1" t="n">
        <v>46311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18.2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57722-2025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46311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39088-2026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46287</v>
      </c>
      <c r="E382" s="1" t="n">
        <v>46311</v>
      </c>
      <c r="F382" t="inlineStr">
        <is>
          <t>VÄSTERBOTTENS LÄN</t>
        </is>
      </c>
      <c r="G382" t="inlineStr">
        <is>
          <t>DOROTEA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46311</v>
      </c>
      <c r="F383" t="inlineStr">
        <is>
          <t>VÄSTERBOTTENS LÄN</t>
        </is>
      </c>
      <c r="G383" t="inlineStr">
        <is>
          <t>DOROTEA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59394-2023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45253</v>
      </c>
      <c r="E384" s="1" t="n">
        <v>46311</v>
      </c>
      <c r="F384" t="inlineStr">
        <is>
          <t>VÄSTERBOTTENS LÄN</t>
        </is>
      </c>
      <c r="G384" t="inlineStr">
        <is>
          <t>DOROTEA</t>
        </is>
      </c>
      <c r="I384" t="n">
        <v>28.8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33364-2026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46247</v>
      </c>
      <c r="E385" s="1" t="n">
        <v>46311</v>
      </c>
      <c r="F385" t="inlineStr">
        <is>
          <t>VÄSTERBOTTENS LÄN</t>
        </is>
      </c>
      <c r="G385" t="inlineStr">
        <is>
          <t>DOROTEA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57947-2025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45982</v>
      </c>
      <c r="E386" s="1" t="n">
        <v>46311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27305-2024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45471</v>
      </c>
      <c r="E387" s="1" t="n">
        <v>46311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28549-2023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45103</v>
      </c>
      <c r="E388" s="1" t="n">
        <v>46311</v>
      </c>
      <c r="F388" t="inlineStr">
        <is>
          <t>VÄSTERBOTTENS LÄN</t>
        </is>
      </c>
      <c r="G388" t="inlineStr">
        <is>
          <t>DOROTEA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58600-2025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45986</v>
      </c>
      <c r="E389" s="1" t="n">
        <v>46311</v>
      </c>
      <c r="F389" t="inlineStr">
        <is>
          <t>VÄSTERBOTTENS LÄN</t>
        </is>
      </c>
      <c r="G389" t="inlineStr">
        <is>
          <t>DOROTEA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46311</v>
      </c>
      <c r="F390" t="inlineStr">
        <is>
          <t>VÄSTERBOTTENS LÄN</t>
        </is>
      </c>
      <c r="G390" t="inlineStr">
        <is>
          <t>DOROTEA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59066-2025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46311</v>
      </c>
      <c r="F391" t="inlineStr">
        <is>
          <t>VÄSTERBOTTENS LÄN</t>
        </is>
      </c>
      <c r="G391" t="inlineStr">
        <is>
          <t>DOROTEA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59054-2025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46311</v>
      </c>
      <c r="F392" t="inlineStr">
        <is>
          <t>VÄSTERBOTTENS LÄN</t>
        </is>
      </c>
      <c r="G392" t="inlineStr">
        <is>
          <t>DOROTEA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43944-2024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45572</v>
      </c>
      <c r="E393" s="1" t="n">
        <v>46311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45478</v>
      </c>
      <c r="E394" s="1" t="n">
        <v>46311</v>
      </c>
      <c r="F394" t="inlineStr">
        <is>
          <t>VÄSTERBOTTENS LÄN</t>
        </is>
      </c>
      <c r="G394" t="inlineStr">
        <is>
          <t>DOROTEA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46293</v>
      </c>
      <c r="E395" s="1" t="n">
        <v>46311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35934-2026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46265</v>
      </c>
      <c r="E396" s="1" t="n">
        <v>46311</v>
      </c>
      <c r="F396" t="inlineStr">
        <is>
          <t>VÄSTERBOTTENS LÄN</t>
        </is>
      </c>
      <c r="G396" t="inlineStr">
        <is>
          <t>DOROTEA</t>
        </is>
      </c>
      <c r="H396" t="inlineStr">
        <is>
          <t>Allmännings- och besparingsskogar</t>
        </is>
      </c>
      <c r="I396" t="n">
        <v>12.6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53382-2024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45614</v>
      </c>
      <c r="E397" s="1" t="n">
        <v>46311</v>
      </c>
      <c r="F397" t="inlineStr">
        <is>
          <t>VÄSTERBOTTENS LÄN</t>
        </is>
      </c>
      <c r="G397" t="inlineStr">
        <is>
          <t>DOROTEA</t>
        </is>
      </c>
      <c r="I397" t="n">
        <v>11.2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35937-2025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45862</v>
      </c>
      <c r="E398" s="1" t="n">
        <v>46311</v>
      </c>
      <c r="F398" t="inlineStr">
        <is>
          <t>VÄSTERBOTTENS LÄN</t>
        </is>
      </c>
      <c r="G398" t="inlineStr">
        <is>
          <t>DOROTEA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33738-2024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45520</v>
      </c>
      <c r="E399" s="1" t="n">
        <v>46311</v>
      </c>
      <c r="F399" t="inlineStr">
        <is>
          <t>VÄSTERBOTTENS LÄN</t>
        </is>
      </c>
      <c r="G399" t="inlineStr">
        <is>
          <t>DOROTEA</t>
        </is>
      </c>
      <c r="I399" t="n">
        <v>11.1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46248</v>
      </c>
      <c r="E400" s="1" t="n">
        <v>46311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35925-2026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46265</v>
      </c>
      <c r="E401" s="1" t="n">
        <v>46311</v>
      </c>
      <c r="F401" t="inlineStr">
        <is>
          <t>VÄSTERBOTTENS LÄN</t>
        </is>
      </c>
      <c r="G401" t="inlineStr">
        <is>
          <t>DOROTEA</t>
        </is>
      </c>
      <c r="H401" t="inlineStr">
        <is>
          <t>Allmännings- och besparingsskogar</t>
        </is>
      </c>
      <c r="I401" t="n">
        <v>16.4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60724-2025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45996</v>
      </c>
      <c r="E402" s="1" t="n">
        <v>46311</v>
      </c>
      <c r="F402" t="inlineStr">
        <is>
          <t>VÄSTERBOTTENS LÄN</t>
        </is>
      </c>
      <c r="G402" t="inlineStr">
        <is>
          <t>DOROTEA</t>
        </is>
      </c>
      <c r="I402" t="n">
        <v>23.9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34186-2026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46311</v>
      </c>
      <c r="F403" t="inlineStr">
        <is>
          <t>VÄSTERBOTTENS LÄN</t>
        </is>
      </c>
      <c r="G403" t="inlineStr">
        <is>
          <t>DOROTEA</t>
        </is>
      </c>
      <c r="I403" t="n">
        <v>13.6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34149-2026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46311</v>
      </c>
      <c r="F404" t="inlineStr">
        <is>
          <t>VÄSTERBOTTENS LÄN</t>
        </is>
      </c>
      <c r="G404" t="inlineStr">
        <is>
          <t>DOROTEA</t>
        </is>
      </c>
      <c r="I404" t="n">
        <v>11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34189-2026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46311</v>
      </c>
      <c r="F405" t="inlineStr">
        <is>
          <t>VÄSTERBOTTENS LÄN</t>
        </is>
      </c>
      <c r="G405" t="inlineStr">
        <is>
          <t>DOROTEA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62193-2025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46003</v>
      </c>
      <c r="E406" s="1" t="n">
        <v>46311</v>
      </c>
      <c r="F406" t="inlineStr">
        <is>
          <t>VÄSTERBOTTENS LÄN</t>
        </is>
      </c>
      <c r="G406" t="inlineStr">
        <is>
          <t>DOROTEA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46295</v>
      </c>
      <c r="E407" s="1" t="n">
        <v>46311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34187-2026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46311</v>
      </c>
      <c r="F408" t="inlineStr">
        <is>
          <t>VÄSTERBOTTENS LÄN</t>
        </is>
      </c>
      <c r="G408" t="inlineStr">
        <is>
          <t>DOROTEA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46311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37072-2024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45539</v>
      </c>
      <c r="E410" s="1" t="n">
        <v>46311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8.199999999999999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42104-2024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45562</v>
      </c>
      <c r="E411" s="1" t="n">
        <v>46311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62399-2025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46007</v>
      </c>
      <c r="E412" s="1" t="n">
        <v>46311</v>
      </c>
      <c r="F412" t="inlineStr">
        <is>
          <t>VÄSTERBOTTENS LÄN</t>
        </is>
      </c>
      <c r="G412" t="inlineStr">
        <is>
          <t>DOROTEA</t>
        </is>
      </c>
      <c r="I412" t="n">
        <v>16.7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62422-2025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46311</v>
      </c>
      <c r="F413" t="inlineStr">
        <is>
          <t>VÄSTERBOTTENS LÄN</t>
        </is>
      </c>
      <c r="G413" t="inlineStr">
        <is>
          <t>DOROTEA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62423-2025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46007</v>
      </c>
      <c r="E414" s="1" t="n">
        <v>46311</v>
      </c>
      <c r="F414" t="inlineStr">
        <is>
          <t>VÄSTERBOTTENS LÄN</t>
        </is>
      </c>
      <c r="G414" t="inlineStr">
        <is>
          <t>DOROTEA</t>
        </is>
      </c>
      <c r="I414" t="n">
        <v>13.2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45755</v>
      </c>
      <c r="E415" s="1" t="n">
        <v>46311</v>
      </c>
      <c r="F415" t="inlineStr">
        <is>
          <t>VÄSTERBOTTENS LÄN</t>
        </is>
      </c>
      <c r="G415" t="inlineStr">
        <is>
          <t>DOROTEA</t>
        </is>
      </c>
      <c r="I415" t="n">
        <v>7.6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62424-2025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46007</v>
      </c>
      <c r="E416" s="1" t="n">
        <v>46311</v>
      </c>
      <c r="F416" t="inlineStr">
        <is>
          <t>VÄSTERBOTTENS LÄN</t>
        </is>
      </c>
      <c r="G416" t="inlineStr">
        <is>
          <t>DOROTEA</t>
        </is>
      </c>
      <c r="I416" t="n">
        <v>12.3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62974-2025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46311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9.4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63939-2025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46311</v>
      </c>
      <c r="F418" t="inlineStr">
        <is>
          <t>VÄSTERBOTTENS LÄN</t>
        </is>
      </c>
      <c r="G418" t="inlineStr">
        <is>
          <t>DOROTEA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22774-2025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45789</v>
      </c>
      <c r="E419" s="1" t="n">
        <v>46311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19889-2025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45771</v>
      </c>
      <c r="E420" s="1" t="n">
        <v>46311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23457-2025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45792</v>
      </c>
      <c r="E421" s="1" t="n">
        <v>46311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41157-2026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46300</v>
      </c>
      <c r="E422" s="1" t="n">
        <v>46311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46254</v>
      </c>
      <c r="E423" s="1" t="n">
        <v>46311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29737-2024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45485</v>
      </c>
      <c r="E424" s="1" t="n">
        <v>46311</v>
      </c>
      <c r="F424" t="inlineStr">
        <is>
          <t>VÄSTERBOTTENS LÄN</t>
        </is>
      </c>
      <c r="G424" t="inlineStr">
        <is>
          <t>DOROTEA</t>
        </is>
      </c>
      <c r="I424" t="n">
        <v>10.2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13451-2022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44645</v>
      </c>
      <c r="E425" s="1" t="n">
        <v>46311</v>
      </c>
      <c r="F425" t="inlineStr">
        <is>
          <t>VÄSTERBOTTENS LÄN</t>
        </is>
      </c>
      <c r="G425" t="inlineStr">
        <is>
          <t>DOROTEA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45140</v>
      </c>
      <c r="E426" s="1" t="n">
        <v>46311</v>
      </c>
      <c r="F426" t="inlineStr">
        <is>
          <t>VÄSTERBOTTENS LÄN</t>
        </is>
      </c>
      <c r="G426" t="inlineStr">
        <is>
          <t>DOROTEA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63745-2025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46017</v>
      </c>
      <c r="E427" s="1" t="n">
        <v>46311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39470-2024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45551</v>
      </c>
      <c r="E428" s="1" t="n">
        <v>46311</v>
      </c>
      <c r="F428" t="inlineStr">
        <is>
          <t>VÄSTERBOTTENS LÄN</t>
        </is>
      </c>
      <c r="G428" t="inlineStr">
        <is>
          <t>DOROTEA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33113-2024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45517</v>
      </c>
      <c r="E429" s="1" t="n">
        <v>46311</v>
      </c>
      <c r="F429" t="inlineStr">
        <is>
          <t>VÄSTERBOTTENS LÄN</t>
        </is>
      </c>
      <c r="G429" t="inlineStr">
        <is>
          <t>DOROTEA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53380-2024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45614</v>
      </c>
      <c r="E430" s="1" t="n">
        <v>46311</v>
      </c>
      <c r="F430" t="inlineStr">
        <is>
          <t>VÄSTERBOTTENS LÄN</t>
        </is>
      </c>
      <c r="G430" t="inlineStr">
        <is>
          <t>DOROTEA</t>
        </is>
      </c>
      <c r="I430" t="n">
        <v>12.8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41261-2026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46300</v>
      </c>
      <c r="E431" s="1" t="n">
        <v>46311</v>
      </c>
      <c r="F431" t="inlineStr">
        <is>
          <t>VÄSTERBOTTENS LÄN</t>
        </is>
      </c>
      <c r="G431" t="inlineStr">
        <is>
          <t>DOROTEA</t>
        </is>
      </c>
      <c r="I431" t="n">
        <v>13.1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46311</v>
      </c>
      <c r="F432" t="inlineStr">
        <is>
          <t>VÄSTERBOTTENS LÄN</t>
        </is>
      </c>
      <c r="G432" t="inlineStr">
        <is>
          <t>DOROTEA</t>
        </is>
      </c>
      <c r="I432" t="n">
        <v>18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46261</v>
      </c>
      <c r="E433" s="1" t="n">
        <v>46311</v>
      </c>
      <c r="F433" t="inlineStr">
        <is>
          <t>VÄSTERBOTTENS LÄN</t>
        </is>
      </c>
      <c r="G433" t="inlineStr">
        <is>
          <t>DOROTEA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46261</v>
      </c>
      <c r="E434" s="1" t="n">
        <v>46311</v>
      </c>
      <c r="F434" t="inlineStr">
        <is>
          <t>VÄSTERBOTTENS LÄN</t>
        </is>
      </c>
      <c r="G434" t="inlineStr">
        <is>
          <t>DOROTEA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46311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42037-2026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46304</v>
      </c>
      <c r="E436" s="1" t="n">
        <v>46311</v>
      </c>
      <c r="F436" t="inlineStr">
        <is>
          <t>VÄSTERBOTTENS LÄN</t>
        </is>
      </c>
      <c r="G436" t="inlineStr">
        <is>
          <t>DOROTEA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35335-2026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46261</v>
      </c>
      <c r="E437" s="1" t="n">
        <v>46311</v>
      </c>
      <c r="F437" t="inlineStr">
        <is>
          <t>VÄSTERBOTTENS LÄN</t>
        </is>
      </c>
      <c r="G437" t="inlineStr">
        <is>
          <t>DOROTEA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42036-2026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46304</v>
      </c>
      <c r="E438" s="1" t="n">
        <v>46311</v>
      </c>
      <c r="F438" t="inlineStr">
        <is>
          <t>VÄSTERBOTTENS LÄN</t>
        </is>
      </c>
      <c r="G438" t="inlineStr">
        <is>
          <t>DOROTEA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35296-2026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46261</v>
      </c>
      <c r="E439" s="1" t="n">
        <v>46311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46038</v>
      </c>
      <c r="E440" s="1" t="n">
        <v>46311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46311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46042</v>
      </c>
      <c r="E442" s="1" t="n">
        <v>46311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46261</v>
      </c>
      <c r="E443" s="1" t="n">
        <v>46311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46311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46029</v>
      </c>
      <c r="E445" s="1" t="n">
        <v>46311</v>
      </c>
      <c r="F445" t="inlineStr">
        <is>
          <t>VÄSTERBOTTENS LÄN</t>
        </is>
      </c>
      <c r="G445" t="inlineStr">
        <is>
          <t>DOROTEA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42050-2026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46304</v>
      </c>
      <c r="E446" s="1" t="n">
        <v>46311</v>
      </c>
      <c r="F446" t="inlineStr">
        <is>
          <t>VÄSTERBOTTENS LÄN</t>
        </is>
      </c>
      <c r="G446" t="inlineStr">
        <is>
          <t>DOROTEA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3845-2026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46043</v>
      </c>
      <c r="E447" s="1" t="n">
        <v>46311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63885-2025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46010</v>
      </c>
      <c r="E448" s="1" t="n">
        <v>46311</v>
      </c>
      <c r="F448" t="inlineStr">
        <is>
          <t>VÄSTERBOTTENS LÄN</t>
        </is>
      </c>
      <c r="G448" t="inlineStr">
        <is>
          <t>DOROTEA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46311</v>
      </c>
      <c r="F449" t="inlineStr">
        <is>
          <t>VÄSTERBOTTENS LÄN</t>
        </is>
      </c>
      <c r="G449" t="inlineStr">
        <is>
          <t>DOROTEA</t>
        </is>
      </c>
      <c r="I449" t="n">
        <v>11.8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12773-2026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46311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46051</v>
      </c>
      <c r="E451" s="1" t="n">
        <v>46311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46051</v>
      </c>
      <c r="E452" s="1" t="n">
        <v>46311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46055</v>
      </c>
      <c r="E453" s="1" t="n">
        <v>46311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46262</v>
      </c>
      <c r="E454" s="1" t="n">
        <v>46311</v>
      </c>
      <c r="F454" t="inlineStr">
        <is>
          <t>VÄSTERBOTTENS LÄN</t>
        </is>
      </c>
      <c r="G454" t="inlineStr">
        <is>
          <t>DOROTEA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6134-2026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46054</v>
      </c>
      <c r="E455" s="1" t="n">
        <v>46311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36255-2026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46268</v>
      </c>
      <c r="E456" s="1" t="n">
        <v>46311</v>
      </c>
      <c r="F456" t="inlineStr">
        <is>
          <t>VÄSTERBOTTENS LÄN</t>
        </is>
      </c>
      <c r="G456" t="inlineStr">
        <is>
          <t>DOROTEA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7713-2026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46059</v>
      </c>
      <c r="E457" s="1" t="n">
        <v>46311</v>
      </c>
      <c r="F457" t="inlineStr">
        <is>
          <t>VÄSTERBOTTENS LÄN</t>
        </is>
      </c>
      <c r="G457" t="inlineStr">
        <is>
          <t>DOROTEA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46059</v>
      </c>
      <c r="E458" s="1" t="n">
        <v>46311</v>
      </c>
      <c r="F458" t="inlineStr">
        <is>
          <t>VÄSTERBOTTENS LÄN</t>
        </is>
      </c>
      <c r="G458" t="inlineStr">
        <is>
          <t>DOROTEA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7963-2026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46063</v>
      </c>
      <c r="E459" s="1" t="n">
        <v>46311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42811-2026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46309</v>
      </c>
      <c r="E460" s="1" t="n">
        <v>46311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41539-2026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46301</v>
      </c>
      <c r="E461" s="1" t="n">
        <v>46311</v>
      </c>
      <c r="F461" t="inlineStr">
        <is>
          <t>VÄSTERBOTTENS LÄN</t>
        </is>
      </c>
      <c r="G461" t="inlineStr">
        <is>
          <t>DOROTEA</t>
        </is>
      </c>
      <c r="I461" t="n">
        <v>10.5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42809-2026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46309</v>
      </c>
      <c r="E462" s="1" t="n">
        <v>46311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46309</v>
      </c>
      <c r="E463" s="1" t="n">
        <v>46311</v>
      </c>
      <c r="F463" t="inlineStr">
        <is>
          <t>VÄSTERBOTTENS LÄN</t>
        </is>
      </c>
      <c r="G463" t="inlineStr">
        <is>
          <t>DOROTEA</t>
        </is>
      </c>
      <c r="I463" t="n">
        <v>9.199999999999999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9796-2026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46072</v>
      </c>
      <c r="E464" s="1" t="n">
        <v>46311</v>
      </c>
      <c r="F464" t="inlineStr">
        <is>
          <t>VÄSTERBOTTENS LÄN</t>
        </is>
      </c>
      <c r="G464" t="inlineStr">
        <is>
          <t>DOROTEA</t>
        </is>
      </c>
      <c r="I464" t="n">
        <v>20.1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11817-2026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46085</v>
      </c>
      <c r="E465" s="1" t="n">
        <v>46311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12082-2026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46086</v>
      </c>
      <c r="E466" s="1" t="n">
        <v>46311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24003-2025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45796</v>
      </c>
      <c r="E467" s="1" t="n">
        <v>46311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17133-2025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45755</v>
      </c>
      <c r="E468" s="1" t="n">
        <v>46311</v>
      </c>
      <c r="F468" t="inlineStr">
        <is>
          <t>VÄSTERBOTTENS LÄN</t>
        </is>
      </c>
      <c r="G468" t="inlineStr">
        <is>
          <t>DOROTEA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35202-2025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45852</v>
      </c>
      <c r="E469" s="1" t="n">
        <v>46311</v>
      </c>
      <c r="F469" t="inlineStr">
        <is>
          <t>VÄSTERBOTTENS LÄN</t>
        </is>
      </c>
      <c r="G469" t="inlineStr">
        <is>
          <t>DOROTEA</t>
        </is>
      </c>
      <c r="H469" t="inlineStr">
        <is>
          <t>Allmännings- och besparingsskogar</t>
        </is>
      </c>
      <c r="I469" t="n">
        <v>22.1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45852</v>
      </c>
      <c r="E470" s="1" t="n">
        <v>46311</v>
      </c>
      <c r="F470" t="inlineStr">
        <is>
          <t>VÄSTERBOTTENS LÄN</t>
        </is>
      </c>
      <c r="G470" t="inlineStr">
        <is>
          <t>DOROTEA</t>
        </is>
      </c>
      <c r="H470" t="inlineStr">
        <is>
          <t>Allmännings- och besparingsskogar</t>
        </is>
      </c>
      <c r="I470" t="n">
        <v>20.3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2945-2024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45506</v>
      </c>
      <c r="E471" s="1" t="n">
        <v>46311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1058-2025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45749</v>
      </c>
      <c r="E472" s="1" t="n">
        <v>46311</v>
      </c>
      <c r="F472" t="inlineStr">
        <is>
          <t>VÄSTERBOTTENS LÄN</t>
        </is>
      </c>
      <c r="G472" t="inlineStr">
        <is>
          <t>DOROTEA</t>
        </is>
      </c>
      <c r="I472" t="n">
        <v>10.9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844-2025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45733</v>
      </c>
      <c r="E473" s="1" t="n">
        <v>46311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1293.5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2195-2025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45858</v>
      </c>
      <c r="E474" s="1" t="n">
        <v>46311</v>
      </c>
      <c r="F474" t="inlineStr">
        <is>
          <t>VÄSTERBOTTENS LÄN</t>
        </is>
      </c>
      <c r="G474" t="inlineStr">
        <is>
          <t>DOROTEA</t>
        </is>
      </c>
      <c r="I474" t="n">
        <v>27.4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2283-2025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45876</v>
      </c>
      <c r="E475" s="1" t="n">
        <v>46311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2360-2025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45889</v>
      </c>
      <c r="E476" s="1" t="n">
        <v>46311</v>
      </c>
      <c r="F476" t="inlineStr">
        <is>
          <t>VÄSTERBOTTENS LÄN</t>
        </is>
      </c>
      <c r="G476" t="inlineStr">
        <is>
          <t>DOROTEA</t>
        </is>
      </c>
      <c r="H476" t="inlineStr">
        <is>
          <t>SCA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2407-2026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46279</v>
      </c>
      <c r="E477" s="1" t="n">
        <v>46311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1763-2026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46189</v>
      </c>
      <c r="E478" s="1" t="n">
        <v>46311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13.2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2026-10-16T02:15:22Z</dcterms:created>
  <dcterms:modified xmlns:dcterms="http://purl.org/dc/terms/" xmlns:xsi="http://www.w3.org/2001/XMLSchema-instance" xsi:type="dcterms:W3CDTF">2026-10-16T02:15:23Z</dcterms:modified>
</cp:coreProperties>
</file>