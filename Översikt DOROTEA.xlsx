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46316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46316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35203-2025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45852</v>
      </c>
      <c r="E4" s="1" t="n">
        <v>46316</v>
      </c>
      <c r="F4" t="inlineStr">
        <is>
          <t>VÄSTERBOTTENS LÄN</t>
        </is>
      </c>
      <c r="G4" t="inlineStr">
        <is>
          <t>DOROTEA</t>
        </is>
      </c>
      <c r="H4" t="inlineStr">
        <is>
          <t>Allmännings- och besparingsskogar</t>
        </is>
      </c>
      <c r="I4" t="n">
        <v>20.3</v>
      </c>
      <c r="J4" t="n">
        <v>1</v>
      </c>
      <c r="K4" t="n">
        <v>1</v>
      </c>
      <c r="L4" t="n">
        <v>8</v>
      </c>
      <c r="M4" t="n">
        <v>5</v>
      </c>
      <c r="N4" t="n">
        <v>0</v>
      </c>
      <c r="O4" t="n">
        <v>0</v>
      </c>
      <c r="P4" t="n">
        <v>0</v>
      </c>
      <c r="Q4" t="n">
        <v>13</v>
      </c>
      <c r="R4" t="n">
        <v>5</v>
      </c>
      <c r="S4" t="n">
        <v>14</v>
      </c>
      <c r="T4" t="n">
        <v>14</v>
      </c>
      <c r="U4" t="n">
        <v>14</v>
      </c>
      <c r="V4" s="2" t="inlineStr">
        <is>
          <t>Garnlav
Gränsticka
Liten sotlav
Skuggnål
Vitskaftad svartspik
Doftskinn
Harticka
Liten svartspik
Rynkskinn
Stjärntagging
Talltita
Ullticka
Vitgrynig nållav
Trådticka</t>
        </is>
      </c>
      <c r="W4">
        <f>HYPERLINK("https://klasma.github.io/Logging_2425/artfynd/A 35203-2025 artfynd.xlsx", "A 35203-2025")</f>
        <v/>
      </c>
      <c r="X4">
        <f>HYPERLINK("https://klasma.github.io/Logging_2425/kartor/A 35203-2025 karta.png", "A 35203-2025")</f>
        <v/>
      </c>
      <c r="Y4">
        <f>HYPERLINK("https://klasma.github.io/Logging_2425/kartor_geotiff/A 35203-2025 georefererad karta.tif", "A 35203-2025")</f>
        <v/>
      </c>
      <c r="AA4">
        <f>HYPERLINK("https://klasma.github.io/Logging_2425/klagomål/A 35203-2025 FSC-klagomål.docx", "A 35203-2025")</f>
        <v/>
      </c>
      <c r="AB4">
        <f>HYPERLINK("https://klasma.github.io/Logging_2425/klagomålsmail/A 35203-2025 FSC-klagomål mail.docx", "A 35203-2025")</f>
        <v/>
      </c>
      <c r="AC4">
        <f>HYPERLINK("https://klasma.github.io/Logging_2425/tillsyn/A 35203-2025 tillsynsbegäran.docx", "A 35203-2025")</f>
        <v/>
      </c>
      <c r="AD4">
        <f>HYPERLINK("https://klasma.github.io/Logging_2425/tillsynsmail/A 35203-2025 tillsynsbegäran mail.docx", "A 35203-2025")</f>
        <v/>
      </c>
      <c r="AE4">
        <f>HYPERLINK("https://klasma.github.io/Logging_2425/fåglar/A 35203-2025 prioriterade fågelarter.docx", "A 35203-2025")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46316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35202-2025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45852</v>
      </c>
      <c r="E6" s="1" t="n">
        <v>46316</v>
      </c>
      <c r="F6" t="inlineStr">
        <is>
          <t>VÄSTERBOTTENS LÄN</t>
        </is>
      </c>
      <c r="G6" t="inlineStr">
        <is>
          <t>DOROTEA</t>
        </is>
      </c>
      <c r="H6" t="inlineStr">
        <is>
          <t>Allmännings- och besparingsskogar</t>
        </is>
      </c>
      <c r="I6" t="n">
        <v>22.1</v>
      </c>
      <c r="J6" t="n">
        <v>0</v>
      </c>
      <c r="K6" t="n">
        <v>1</v>
      </c>
      <c r="L6" t="n">
        <v>8</v>
      </c>
      <c r="M6" t="n">
        <v>3</v>
      </c>
      <c r="N6" t="n">
        <v>0</v>
      </c>
      <c r="O6" t="n">
        <v>0</v>
      </c>
      <c r="P6" t="n">
        <v>0</v>
      </c>
      <c r="Q6" t="n">
        <v>11</v>
      </c>
      <c r="R6" t="n">
        <v>3</v>
      </c>
      <c r="S6" t="n">
        <v>12</v>
      </c>
      <c r="T6" t="n">
        <v>18</v>
      </c>
      <c r="U6" t="n">
        <v>18</v>
      </c>
      <c r="V6" s="2" t="inlineStr">
        <is>
          <t>Garnlav
Skuggnål
Vitskaftad svartspik
Brunpudrad nållav
Gammelgransskål
Harticka
Kavernularia
Knottrig blåslav
Rödbrun blekspik
Skrovellav
Vitgrynig nållav
Rostfläck</t>
        </is>
      </c>
      <c r="W6">
        <f>HYPERLINK("https://klasma.github.io/Logging_2425/artfynd/A 35202-2025 artfynd.xlsx", "A 35202-2025")</f>
        <v/>
      </c>
      <c r="X6">
        <f>HYPERLINK("https://klasma.github.io/Logging_2425/kartor/A 35202-2025 karta.png", "A 35202-2025")</f>
        <v/>
      </c>
      <c r="Y6">
        <f>HYPERLINK("https://klasma.github.io/Logging_2425/kartor_geotiff/A 35202-2025 georefererad karta.tif", "A 35202-2025")</f>
        <v/>
      </c>
      <c r="AA6">
        <f>HYPERLINK("https://klasma.github.io/Logging_2425/klagomål/A 35202-2025 FSC-klagomål.docx", "A 35202-2025")</f>
        <v/>
      </c>
      <c r="AB6">
        <f>HYPERLINK("https://klasma.github.io/Logging_2425/klagomålsmail/A 35202-2025 FSC-klagomål mail.docx", "A 35202-2025")</f>
        <v/>
      </c>
      <c r="AC6">
        <f>HYPERLINK("https://klasma.github.io/Logging_2425/tillsyn/A 35202-2025 tillsynsbegäran.docx", "A 35202-2025")</f>
        <v/>
      </c>
      <c r="AD6">
        <f>HYPERLINK("https://klasma.github.io/Logging_2425/tillsynsmail/A 35202-2025 tillsynsbegäran mail.docx", "A 35202-2025")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46316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46316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46316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46316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46316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46316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46316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46316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46316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46316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46316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28671-2026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46316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27</v>
      </c>
      <c r="J18" t="n">
        <v>0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Ostticka
Rosenticka
Skinnlav
Stuplav</t>
        </is>
      </c>
      <c r="W18">
        <f>HYPERLINK("https://klasma.github.io/Logging_2425/artfynd/A 28671-2026 artfynd.xlsx", "A 28671-2026")</f>
        <v/>
      </c>
      <c r="X18">
        <f>HYPERLINK("https://klasma.github.io/Logging_2425/kartor/A 28671-2026 karta.png", "A 28671-2026")</f>
        <v/>
      </c>
      <c r="Y18">
        <f>HYPERLINK("https://klasma.github.io/Logging_2425/kartor_geotiff/A 28671-2026 georefererad karta.tif", "A 28671-2026")</f>
        <v/>
      </c>
      <c r="AA18">
        <f>HYPERLINK("https://klasma.github.io/Logging_2425/klagomål/A 28671-2026 FSC-klagomål.docx", "A 28671-2026")</f>
        <v/>
      </c>
      <c r="AB18">
        <f>HYPERLINK("https://klasma.github.io/Logging_2425/klagomålsmail/A 28671-2026 FSC-klagomål mail.docx", "A 28671-2026")</f>
        <v/>
      </c>
      <c r="AC18">
        <f>HYPERLINK("https://klasma.github.io/Logging_2425/tillsyn/A 28671-2026 tillsynsbegäran.docx", "A 28671-2026")</f>
        <v/>
      </c>
      <c r="AD18">
        <f>HYPERLINK("https://klasma.github.io/Logging_2425/tillsynsmail/A 28671-2026 tillsynsbegäran mail.docx", "A 28671-2026")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46316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46316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28909-2025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45820</v>
      </c>
      <c r="E21" s="1" t="n">
        <v>46316</v>
      </c>
      <c r="F21" t="inlineStr">
        <is>
          <t>VÄSTERBOTTENS LÄN</t>
        </is>
      </c>
      <c r="G21" t="inlineStr">
        <is>
          <t>DOROTEA</t>
        </is>
      </c>
      <c r="H21" t="inlineStr">
        <is>
          <t>Kyrkan</t>
        </is>
      </c>
      <c r="I21" t="n">
        <v>5.5</v>
      </c>
      <c r="J21" t="n">
        <v>1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8</v>
      </c>
      <c r="U21" t="n">
        <v>8</v>
      </c>
      <c r="V21" s="2" t="inlineStr">
        <is>
          <t>Kolflarnlav
Mörk kolflarnlav
Tretåig hackspett</t>
        </is>
      </c>
      <c r="W21">
        <f>HYPERLINK("https://klasma.github.io/Logging_2425/artfynd/A 28909-2025 artfynd.xlsx", "A 28909-2025")</f>
        <v/>
      </c>
      <c r="X21">
        <f>HYPERLINK("https://klasma.github.io/Logging_2425/kartor/A 28909-2025 karta.png", "A 28909-2025")</f>
        <v/>
      </c>
      <c r="Y21">
        <f>HYPERLINK("https://klasma.github.io/Logging_2425/kartor_geotiff/A 28909-2025 georefererad karta.tif", "A 28909-2025")</f>
        <v/>
      </c>
      <c r="AA21">
        <f>HYPERLINK("https://klasma.github.io/Logging_2425/klagomål/A 28909-2025 FSC-klagomål.docx", "A 28909-2025")</f>
        <v/>
      </c>
      <c r="AB21">
        <f>HYPERLINK("https://klasma.github.io/Logging_2425/klagomålsmail/A 28909-2025 FSC-klagomål mail.docx", "A 28909-2025")</f>
        <v/>
      </c>
      <c r="AC21">
        <f>HYPERLINK("https://klasma.github.io/Logging_2425/tillsyn/A 28909-2025 tillsynsbegäran.docx", "A 28909-2025")</f>
        <v/>
      </c>
      <c r="AD21">
        <f>HYPERLINK("https://klasma.github.io/Logging_2425/tillsynsmail/A 28909-2025 tillsynsbegäran mail.docx", "A 28909-2025")</f>
        <v/>
      </c>
      <c r="AE21">
        <f>HYPERLINK("https://klasma.github.io/Logging_2425/fåglar/A 28909-2025 prioriterade fågelarter.docx", "A 28909-2025")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46316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46316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46316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46316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46316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46316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46316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49045-2025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46316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4.5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Tretåig hackspett</t>
        </is>
      </c>
      <c r="W29">
        <f>HYPERLINK("https://klasma.github.io/Logging_2425/artfynd/A 49045-2025 artfynd.xlsx", "A 49045-2025")</f>
        <v/>
      </c>
      <c r="X29">
        <f>HYPERLINK("https://klasma.github.io/Logging_2425/kartor/A 49045-2025 karta.png", "A 49045-2025")</f>
        <v/>
      </c>
      <c r="Y29">
        <f>HYPERLINK("https://klasma.github.io/Logging_2425/kartor_geotiff/A 49045-2025 georefererad karta.tif", "A 49045-2025")</f>
        <v/>
      </c>
      <c r="AA29">
        <f>HYPERLINK("https://klasma.github.io/Logging_2425/klagomål/A 49045-2025 FSC-klagomål.docx", "A 49045-2025")</f>
        <v/>
      </c>
      <c r="AB29">
        <f>HYPERLINK("https://klasma.github.io/Logging_2425/klagomålsmail/A 49045-2025 FSC-klagomål mail.docx", "A 49045-2025")</f>
        <v/>
      </c>
      <c r="AC29">
        <f>HYPERLINK("https://klasma.github.io/Logging_2425/tillsyn/A 49045-2025 tillsynsbegäran.docx", "A 49045-2025")</f>
        <v/>
      </c>
      <c r="AD29">
        <f>HYPERLINK("https://klasma.github.io/Logging_2425/tillsynsmail/A 49045-2025 tillsynsbegäran mail.docx", "A 49045-2025")</f>
        <v/>
      </c>
      <c r="AE29">
        <f>HYPERLINK("https://klasma.github.io/Logging_2425/fåglar/A 49045-2025 prioriterade fågelarter.docx", "A 49045-2025")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46316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46316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40013-2024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45553</v>
      </c>
      <c r="E32" s="1" t="n">
        <v>46316</v>
      </c>
      <c r="F32" t="inlineStr">
        <is>
          <t>VÄSTERBOTTENS LÄN</t>
        </is>
      </c>
      <c r="G32" t="inlineStr">
        <is>
          <t>DOROTEA</t>
        </is>
      </c>
      <c r="H32" t="inlineStr">
        <is>
          <t>Övriga statliga verk och myndigheter</t>
        </is>
      </c>
      <c r="I32" t="n">
        <v>1.5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Tretåig hackspett
Tjäder</t>
        </is>
      </c>
      <c r="W32">
        <f>HYPERLINK("https://klasma.github.io/Logging_2425/artfynd/A 40013-2024 artfynd.xlsx", "A 40013-2024")</f>
        <v/>
      </c>
      <c r="X32">
        <f>HYPERLINK("https://klasma.github.io/Logging_2425/kartor/A 40013-2024 karta.png", "A 40013-2024")</f>
        <v/>
      </c>
      <c r="Y32">
        <f>HYPERLINK("https://klasma.github.io/Logging_2425/kartor_geotiff/A 40013-2024 georefererad karta.tif", "A 40013-2024")</f>
        <v/>
      </c>
      <c r="AA32">
        <f>HYPERLINK("https://klasma.github.io/Logging_2425/klagomål/A 40013-2024 FSC-klagomål.docx", "A 40013-2024")</f>
        <v/>
      </c>
      <c r="AB32">
        <f>HYPERLINK("https://klasma.github.io/Logging_2425/klagomålsmail/A 40013-2024 FSC-klagomål mail.docx", "A 40013-2024")</f>
        <v/>
      </c>
      <c r="AC32">
        <f>HYPERLINK("https://klasma.github.io/Logging_2425/tillsyn/A 40013-2024 tillsynsbegäran.docx", "A 40013-2024")</f>
        <v/>
      </c>
      <c r="AD32">
        <f>HYPERLINK("https://klasma.github.io/Logging_2425/tillsynsmail/A 40013-2024 tillsynsbegäran mail.docx", "A 40013-2024")</f>
        <v/>
      </c>
      <c r="AE32">
        <f>HYPERLINK("https://klasma.github.io/Logging_2425/fåglar/A 40013-2024 prioriterade fågelarter.docx", "A 40013-2024")</f>
        <v/>
      </c>
    </row>
    <row r="33" ht="15" customHeight="1">
      <c r="A33" t="inlineStr">
        <is>
          <t>A 33263-2025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46316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Gammelgransskål
Vedticka</t>
        </is>
      </c>
      <c r="W33">
        <f>HYPERLINK("https://klasma.github.io/Logging_2425/artfynd/A 33263-2025 artfynd.xlsx", "A 33263-2025")</f>
        <v/>
      </c>
      <c r="X33">
        <f>HYPERLINK("https://klasma.github.io/Logging_2425/kartor/A 33263-2025 karta.png", "A 33263-2025")</f>
        <v/>
      </c>
      <c r="Y33">
        <f>HYPERLINK("https://klasma.github.io/Logging_2425/kartor_geotiff/A 33263-2025 georefererad karta.tif", "A 33263-2025")</f>
        <v/>
      </c>
      <c r="AA33">
        <f>HYPERLINK("https://klasma.github.io/Logging_2425/klagomål/A 33263-2025 FSC-klagomål.docx", "A 33263-2025")</f>
        <v/>
      </c>
      <c r="AB33">
        <f>HYPERLINK("https://klasma.github.io/Logging_2425/klagomålsmail/A 33263-2025 FSC-klagomål mail.docx", "A 33263-2025")</f>
        <v/>
      </c>
      <c r="AC33">
        <f>HYPERLINK("https://klasma.github.io/Logging_2425/tillsyn/A 33263-2025 tillsynsbegäran.docx", "A 33263-2025")</f>
        <v/>
      </c>
      <c r="AD33">
        <f>HYPERLINK("https://klasma.github.io/Logging_2425/tillsynsmail/A 33263-2025 tillsynsbegäran mail.docx", "A 33263-2025")</f>
        <v/>
      </c>
    </row>
    <row r="34" ht="15" customHeight="1">
      <c r="A34" t="inlineStr">
        <is>
          <t>A 19589-2024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45429</v>
      </c>
      <c r="E34" s="1" t="n">
        <v>46316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Lunglav
Talltita</t>
        </is>
      </c>
      <c r="W34">
        <f>HYPERLINK("https://klasma.github.io/Logging_2425/artfynd/A 19589-2024 artfynd.xlsx", "A 19589-2024")</f>
        <v/>
      </c>
      <c r="X34">
        <f>HYPERLINK("https://klasma.github.io/Logging_2425/kartor/A 19589-2024 karta.png", "A 19589-2024")</f>
        <v/>
      </c>
      <c r="Y34">
        <f>HYPERLINK("https://klasma.github.io/Logging_2425/kartor_geotiff/A 19589-2024 georefererad karta.tif", "A 19589-2024")</f>
        <v/>
      </c>
      <c r="AA34">
        <f>HYPERLINK("https://klasma.github.io/Logging_2425/klagomål/A 19589-2024 FSC-klagomål.docx", "A 19589-2024")</f>
        <v/>
      </c>
      <c r="AB34">
        <f>HYPERLINK("https://klasma.github.io/Logging_2425/klagomålsmail/A 19589-2024 FSC-klagomål mail.docx", "A 19589-2024")</f>
        <v/>
      </c>
      <c r="AC34">
        <f>HYPERLINK("https://klasma.github.io/Logging_2425/tillsyn/A 19589-2024 tillsynsbegäran.docx", "A 19589-2024")</f>
        <v/>
      </c>
      <c r="AD34">
        <f>HYPERLINK("https://klasma.github.io/Logging_2425/tillsynsmail/A 19589-2024 tillsynsbegäran mail.docx", "A 19589-2024")</f>
        <v/>
      </c>
      <c r="AE34">
        <f>HYPERLINK("https://klasma.github.io/Logging_2425/fåglar/A 19589-2024 prioriterade fågelarter.docx", "A 19589-2024")</f>
        <v/>
      </c>
    </row>
    <row r="35" ht="15" customHeight="1">
      <c r="A35" t="inlineStr">
        <is>
          <t>A 40654-2026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46296</v>
      </c>
      <c r="E35" s="1" t="n">
        <v>46316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8.800000000000001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Plattlummer
Mattlummer</t>
        </is>
      </c>
      <c r="W35">
        <f>HYPERLINK("https://klasma.github.io/Logging_2425/artfynd/A 40654-2026 artfynd.xlsx", "A 40654-2026")</f>
        <v/>
      </c>
      <c r="X35">
        <f>HYPERLINK("https://klasma.github.io/Logging_2425/kartor/A 40654-2026 karta.png", "A 40654-2026")</f>
        <v/>
      </c>
      <c r="Y35">
        <f>HYPERLINK("https://klasma.github.io/Logging_2425/kartor_geotiff/A 40654-2026 georefererad karta.tif", "A 40654-2026")</f>
        <v/>
      </c>
      <c r="AA35">
        <f>HYPERLINK("https://klasma.github.io/Logging_2425/klagomål/A 40654-2026 FSC-klagomål.docx", "A 40654-2026")</f>
        <v/>
      </c>
      <c r="AB35">
        <f>HYPERLINK("https://klasma.github.io/Logging_2425/klagomålsmail/A 40654-2026 FSC-klagomål mail.docx", "A 40654-2026")</f>
        <v/>
      </c>
      <c r="AC35">
        <f>HYPERLINK("https://klasma.github.io/Logging_2425/tillsyn/A 40654-2026 tillsynsbegäran.docx", "A 40654-2026")</f>
        <v/>
      </c>
      <c r="AD35">
        <f>HYPERLINK("https://klasma.github.io/Logging_2425/tillsynsmail/A 40654-2026 tillsynsbegäran mail.docx", "A 40654-2026")</f>
        <v/>
      </c>
    </row>
    <row r="36" ht="15" customHeight="1">
      <c r="A36" t="inlineStr">
        <is>
          <t>A 35336-2026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46261</v>
      </c>
      <c r="E36" s="1" t="n">
        <v>46316</v>
      </c>
      <c r="F36" t="inlineStr">
        <is>
          <t>VÄSTERBOTTENS LÄN</t>
        </is>
      </c>
      <c r="G36" t="inlineStr">
        <is>
          <t>DOROTEA</t>
        </is>
      </c>
      <c r="I36" t="n">
        <v>4.2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Blodticka</t>
        </is>
      </c>
      <c r="W36">
        <f>HYPERLINK("https://klasma.github.io/Logging_2425/artfynd/A 35336-2026 artfynd.xlsx", "A 35336-2026")</f>
        <v/>
      </c>
      <c r="X36">
        <f>HYPERLINK("https://klasma.github.io/Logging_2425/kartor/A 35336-2026 karta.png", "A 35336-2026")</f>
        <v/>
      </c>
      <c r="Y36">
        <f>HYPERLINK("https://klasma.github.io/Logging_2425/kartor_geotiff/A 35336-2026 georefererad karta.tif", "A 35336-2026")</f>
        <v/>
      </c>
      <c r="AA36">
        <f>HYPERLINK("https://klasma.github.io/Logging_2425/klagomål/A 35336-2026 FSC-klagomål.docx", "A 35336-2026")</f>
        <v/>
      </c>
      <c r="AB36">
        <f>HYPERLINK("https://klasma.github.io/Logging_2425/klagomålsmail/A 35336-2026 FSC-klagomål mail.docx", "A 35336-2026")</f>
        <v/>
      </c>
      <c r="AC36">
        <f>HYPERLINK("https://klasma.github.io/Logging_2425/tillsyn/A 35336-2026 tillsynsbegäran.docx", "A 35336-2026")</f>
        <v/>
      </c>
      <c r="AD36">
        <f>HYPERLINK("https://klasma.github.io/Logging_2425/tillsynsmail/A 35336-2026 tillsynsbegäran mail.docx", "A 35336-2026")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46316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46316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53309-2022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44878</v>
      </c>
      <c r="E39" s="1" t="n">
        <v>46316</v>
      </c>
      <c r="F39" t="inlineStr">
        <is>
          <t>VÄSTERBOTTENS LÄN</t>
        </is>
      </c>
      <c r="G39" t="inlineStr">
        <is>
          <t>DOROTEA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Göktyta</t>
        </is>
      </c>
      <c r="W39">
        <f>HYPERLINK("https://klasma.github.io/Logging_2425/artfynd/A 53309-2022 artfynd.xlsx", "A 53309-2022")</f>
        <v/>
      </c>
      <c r="X39">
        <f>HYPERLINK("https://klasma.github.io/Logging_2425/kartor/A 53309-2022 karta.png", "A 53309-2022")</f>
        <v/>
      </c>
      <c r="Y39">
        <f>HYPERLINK("https://klasma.github.io/Logging_2425/kartor_geotiff/A 53309-2022 georefererad karta.tif", "A 53309-2022")</f>
        <v/>
      </c>
      <c r="AA39">
        <f>HYPERLINK("https://klasma.github.io/Logging_2425/klagomål/A 53309-2022 FSC-klagomål.docx", "A 53309-2022")</f>
        <v/>
      </c>
      <c r="AB39">
        <f>HYPERLINK("https://klasma.github.io/Logging_2425/klagomålsmail/A 53309-2022 FSC-klagomål mail.docx", "A 53309-2022")</f>
        <v/>
      </c>
      <c r="AC39">
        <f>HYPERLINK("https://klasma.github.io/Logging_2425/tillsyn/A 53309-2022 tillsynsbegäran.docx", "A 53309-2022")</f>
        <v/>
      </c>
      <c r="AD39">
        <f>HYPERLINK("https://klasma.github.io/Logging_2425/tillsynsmail/A 53309-2022 tillsynsbegäran mail.docx", "A 53309-2022")</f>
        <v/>
      </c>
      <c r="AE39">
        <f>HYPERLINK("https://klasma.github.io/Logging_2425/fåglar/A 53309-2022 prioriterade fågelarter.docx", "A 53309-2022")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46316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39686-2025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45890</v>
      </c>
      <c r="E41" s="1" t="n">
        <v>46316</v>
      </c>
      <c r="F41" t="inlineStr">
        <is>
          <t>VÄSTERBOTTENS LÄN</t>
        </is>
      </c>
      <c r="G41" t="inlineStr">
        <is>
          <t>DOROTEA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HYPERLINK("https://klasma.github.io/Logging_2425/artfynd/A 39686-2025 artfynd.xlsx", "A 39686-2025")</f>
        <v/>
      </c>
      <c r="X41">
        <f>HYPERLINK("https://klasma.github.io/Logging_2425/kartor/A 39686-2025 karta.png", "A 39686-2025")</f>
        <v/>
      </c>
      <c r="Y41">
        <f>HYPERLINK("https://klasma.github.io/Logging_2425/kartor_geotiff/A 39686-2025 georefererad karta.tif", "A 39686-2025")</f>
        <v/>
      </c>
      <c r="AA41">
        <f>HYPERLINK("https://klasma.github.io/Logging_2425/klagomål/A 39686-2025 FSC-klagomål.docx", "A 39686-2025")</f>
        <v/>
      </c>
      <c r="AB41">
        <f>HYPERLINK("https://klasma.github.io/Logging_2425/klagomålsmail/A 39686-2025 FSC-klagomål mail.docx", "A 39686-2025")</f>
        <v/>
      </c>
      <c r="AC41">
        <f>HYPERLINK("https://klasma.github.io/Logging_2425/tillsyn/A 39686-2025 tillsynsbegäran.docx", "A 39686-2025")</f>
        <v/>
      </c>
      <c r="AD41">
        <f>HYPERLINK("https://klasma.github.io/Logging_2425/tillsynsmail/A 39686-2025 tillsynsbegäran mail.docx", "A 39686-2025")</f>
        <v/>
      </c>
    </row>
    <row r="42" ht="15" customHeight="1">
      <c r="A42" t="inlineStr">
        <is>
          <t>A 41079-2025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46316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HYPERLINK("https://klasma.github.io/Logging_2425/artfynd/A 41079-2025 artfynd.xlsx", "A 41079-2025")</f>
        <v/>
      </c>
      <c r="X42">
        <f>HYPERLINK("https://klasma.github.io/Logging_2425/kartor/A 41079-2025 karta.png", "A 41079-2025")</f>
        <v/>
      </c>
      <c r="Y42">
        <f>HYPERLINK("https://klasma.github.io/Logging_2425/kartor_geotiff/A 41079-2025 georefererad karta.tif", "A 41079-2025")</f>
        <v/>
      </c>
      <c r="AA42">
        <f>HYPERLINK("https://klasma.github.io/Logging_2425/klagomål/A 41079-2025 FSC-klagomål.docx", "A 41079-2025")</f>
        <v/>
      </c>
      <c r="AB42">
        <f>HYPERLINK("https://klasma.github.io/Logging_2425/klagomålsmail/A 41079-2025 FSC-klagomål mail.docx", "A 41079-2025")</f>
        <v/>
      </c>
      <c r="AC42">
        <f>HYPERLINK("https://klasma.github.io/Logging_2425/tillsyn/A 41079-2025 tillsynsbegäran.docx", "A 41079-2025")</f>
        <v/>
      </c>
      <c r="AD42">
        <f>HYPERLINK("https://klasma.github.io/Logging_2425/tillsynsmail/A 41079-2025 tillsynsbegäran mail.docx", "A 41079-2025")</f>
        <v/>
      </c>
    </row>
    <row r="43" ht="15" customHeight="1">
      <c r="A43" t="inlineStr">
        <is>
          <t>A 50530-2025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45945</v>
      </c>
      <c r="E43" s="1" t="n">
        <v>46316</v>
      </c>
      <c r="F43" t="inlineStr">
        <is>
          <t>VÄSTERBOTTENS LÄN</t>
        </is>
      </c>
      <c r="G43" t="inlineStr">
        <is>
          <t>DOROTEA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Ängsnycklar</t>
        </is>
      </c>
      <c r="W43">
        <f>HYPERLINK("https://klasma.github.io/Logging_2425/artfynd/A 50530-2025 artfynd.xlsx", "A 50530-2025")</f>
        <v/>
      </c>
      <c r="X43">
        <f>HYPERLINK("https://klasma.github.io/Logging_2425/kartor/A 50530-2025 karta.png", "A 50530-2025")</f>
        <v/>
      </c>
      <c r="Y43">
        <f>HYPERLINK("https://klasma.github.io/Logging_2425/kartor_geotiff/A 50530-2025 georefererad karta.tif", "A 50530-2025")</f>
        <v/>
      </c>
      <c r="AA43">
        <f>HYPERLINK("https://klasma.github.io/Logging_2425/klagomål/A 50530-2025 FSC-klagomål.docx", "A 50530-2025")</f>
        <v/>
      </c>
      <c r="AB43">
        <f>HYPERLINK("https://klasma.github.io/Logging_2425/klagomålsmail/A 50530-2025 FSC-klagomål mail.docx", "A 50530-2025")</f>
        <v/>
      </c>
      <c r="AC43">
        <f>HYPERLINK("https://klasma.github.io/Logging_2425/tillsyn/A 50530-2025 tillsynsbegäran.docx", "A 50530-2025")</f>
        <v/>
      </c>
      <c r="AD43">
        <f>HYPERLINK("https://klasma.github.io/Logging_2425/tillsynsmail/A 50530-2025 tillsynsbegäran mail.docx", "A 50530-2025")</f>
        <v/>
      </c>
    </row>
    <row r="44" ht="15" customHeight="1">
      <c r="A44" t="inlineStr">
        <is>
          <t>A 48089-2022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44855</v>
      </c>
      <c r="E44" s="1" t="n">
        <v>46316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9.199999999999999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Gammelgransskål</t>
        </is>
      </c>
      <c r="W44">
        <f>HYPERLINK("https://klasma.github.io/Logging_2425/artfynd/A 48089-2022 artfynd.xlsx", "A 48089-2022")</f>
        <v/>
      </c>
      <c r="X44">
        <f>HYPERLINK("https://klasma.github.io/Logging_2425/kartor/A 48089-2022 karta.png", "A 48089-2022")</f>
        <v/>
      </c>
      <c r="Y44">
        <f>HYPERLINK("https://klasma.github.io/Logging_2425/kartor_geotiff/A 48089-2022 georefererad karta.tif", "A 48089-2022")</f>
        <v/>
      </c>
      <c r="AA44">
        <f>HYPERLINK("https://klasma.github.io/Logging_2425/klagomål/A 48089-2022 FSC-klagomål.docx", "A 48089-2022")</f>
        <v/>
      </c>
      <c r="AB44">
        <f>HYPERLINK("https://klasma.github.io/Logging_2425/klagomålsmail/A 48089-2022 FSC-klagomål mail.docx", "A 48089-2022")</f>
        <v/>
      </c>
      <c r="AC44">
        <f>HYPERLINK("https://klasma.github.io/Logging_2425/tillsyn/A 48089-2022 tillsynsbegäran.docx", "A 48089-2022")</f>
        <v/>
      </c>
      <c r="AD44">
        <f>HYPERLINK("https://klasma.github.io/Logging_2425/tillsynsmail/A 48089-2022 tillsynsbegäran mail.docx", "A 48089-2022")</f>
        <v/>
      </c>
    </row>
    <row r="45" ht="15" customHeight="1">
      <c r="A45" t="inlineStr">
        <is>
          <t>A 36318-2024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46316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2.5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8</v>
      </c>
      <c r="U45" t="n">
        <v>8</v>
      </c>
      <c r="V45" s="2" t="inlineStr">
        <is>
          <t>Garnlav</t>
        </is>
      </c>
      <c r="W45">
        <f>HYPERLINK("https://klasma.github.io/Logging_2425/artfynd/A 36318-2024 artfynd.xlsx", "A 36318-2024")</f>
        <v/>
      </c>
      <c r="X45">
        <f>HYPERLINK("https://klasma.github.io/Logging_2425/kartor/A 36318-2024 karta.png", "A 36318-2024")</f>
        <v/>
      </c>
      <c r="Y45">
        <f>HYPERLINK("https://klasma.github.io/Logging_2425/kartor_geotiff/A 36318-2024 georefererad karta.tif", "A 36318-2024")</f>
        <v/>
      </c>
      <c r="AA45">
        <f>HYPERLINK("https://klasma.github.io/Logging_2425/klagomål/A 36318-2024 FSC-klagomål.docx", "A 36318-2024")</f>
        <v/>
      </c>
      <c r="AB45">
        <f>HYPERLINK("https://klasma.github.io/Logging_2425/klagomålsmail/A 36318-2024 FSC-klagomål mail.docx", "A 36318-2024")</f>
        <v/>
      </c>
      <c r="AC45">
        <f>HYPERLINK("https://klasma.github.io/Logging_2425/tillsyn/A 36318-2024 tillsynsbegäran.docx", "A 36318-2024")</f>
        <v/>
      </c>
      <c r="AD45">
        <f>HYPERLINK("https://klasma.github.io/Logging_2425/tillsynsmail/A 36318-2024 tillsynsbegäran mail.docx", "A 36318-2024")</f>
        <v/>
      </c>
    </row>
    <row r="46" ht="15" customHeight="1">
      <c r="A46" t="inlineStr">
        <is>
          <t>A 30286-2023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46316</v>
      </c>
      <c r="F46" t="inlineStr">
        <is>
          <t>VÄSTERBOTTENS LÄN</t>
        </is>
      </c>
      <c r="G46" t="inlineStr">
        <is>
          <t>DOROTEA</t>
        </is>
      </c>
      <c r="I46" t="n">
        <v>21.2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Skogsrör</t>
        </is>
      </c>
      <c r="W46">
        <f>HYPERLINK("https://klasma.github.io/Logging_2425/artfynd/A 30286-2023 artfynd.xlsx", "A 30286-2023")</f>
        <v/>
      </c>
      <c r="X46">
        <f>HYPERLINK("https://klasma.github.io/Logging_2425/kartor/A 30286-2023 karta.png", "A 30286-2023")</f>
        <v/>
      </c>
      <c r="Y46">
        <f>HYPERLINK("https://klasma.github.io/Logging_2425/kartor_geotiff/A 30286-2023 georefererad karta.tif", "A 30286-2023")</f>
        <v/>
      </c>
      <c r="AA46">
        <f>HYPERLINK("https://klasma.github.io/Logging_2425/klagomål/A 30286-2023 FSC-klagomål.docx", "A 30286-2023")</f>
        <v/>
      </c>
      <c r="AB46">
        <f>HYPERLINK("https://klasma.github.io/Logging_2425/klagomålsmail/A 30286-2023 FSC-klagomål mail.docx", "A 30286-2023")</f>
        <v/>
      </c>
      <c r="AC46">
        <f>HYPERLINK("https://klasma.github.io/Logging_2425/tillsyn/A 30286-2023 tillsynsbegäran.docx", "A 30286-2023")</f>
        <v/>
      </c>
      <c r="AD46">
        <f>HYPERLINK("https://klasma.github.io/Logging_2425/tillsynsmail/A 30286-2023 tillsynsbegäran mail.docx", "A 30286-2023")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46316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21926-2026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46150</v>
      </c>
      <c r="E48" s="1" t="n">
        <v>46316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Stuplav</t>
        </is>
      </c>
      <c r="W48">
        <f>HYPERLINK("https://klasma.github.io/Logging_2425/artfynd/A 21926-2026 artfynd.xlsx", "A 21926-2026")</f>
        <v/>
      </c>
      <c r="X48">
        <f>HYPERLINK("https://klasma.github.io/Logging_2425/kartor/A 21926-2026 karta.png", "A 21926-2026")</f>
        <v/>
      </c>
      <c r="Y48">
        <f>HYPERLINK("https://klasma.github.io/Logging_2425/kartor_geotiff/A 21926-2026 georefererad karta.tif", "A 21926-2026")</f>
        <v/>
      </c>
      <c r="AA48">
        <f>HYPERLINK("https://klasma.github.io/Logging_2425/klagomål/A 21926-2026 FSC-klagomål.docx", "A 21926-2026")</f>
        <v/>
      </c>
      <c r="AB48">
        <f>HYPERLINK("https://klasma.github.io/Logging_2425/klagomålsmail/A 21926-2026 FSC-klagomål mail.docx", "A 21926-2026")</f>
        <v/>
      </c>
      <c r="AC48">
        <f>HYPERLINK("https://klasma.github.io/Logging_2425/tillsyn/A 21926-2026 tillsynsbegäran.docx", "A 21926-2026")</f>
        <v/>
      </c>
      <c r="AD48">
        <f>HYPERLINK("https://klasma.github.io/Logging_2425/tillsynsmail/A 21926-2026 tillsynsbegäran mail.docx", "A 21926-2026")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46316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12005-2023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44994</v>
      </c>
      <c r="E50" s="1" t="n">
        <v>46316</v>
      </c>
      <c r="F50" t="inlineStr">
        <is>
          <t>VÄSTERBOTTENS LÄN</t>
        </is>
      </c>
      <c r="G50" t="inlineStr">
        <is>
          <t>DOROTEA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HYPERLINK("https://klasma.github.io/Logging_2425/artfynd/A 12005-2023 artfynd.xlsx", "A 12005-2023")</f>
        <v/>
      </c>
      <c r="X50">
        <f>HYPERLINK("https://klasma.github.io/Logging_2425/kartor/A 12005-2023 karta.png", "A 12005-2023")</f>
        <v/>
      </c>
      <c r="Y50">
        <f>HYPERLINK("https://klasma.github.io/Logging_2425/kartor_geotiff/A 12005-2023 georefererad karta.tif", "A 12005-2023")</f>
        <v/>
      </c>
      <c r="AA50">
        <f>HYPERLINK("https://klasma.github.io/Logging_2425/klagomål/A 12005-2023 FSC-klagomål.docx", "A 12005-2023")</f>
        <v/>
      </c>
      <c r="AB50">
        <f>HYPERLINK("https://klasma.github.io/Logging_2425/klagomålsmail/A 12005-2023 FSC-klagomål mail.docx", "A 12005-2023")</f>
        <v/>
      </c>
      <c r="AC50">
        <f>HYPERLINK("https://klasma.github.io/Logging_2425/tillsyn/A 12005-2023 tillsynsbegäran.docx", "A 12005-2023")</f>
        <v/>
      </c>
      <c r="AD50">
        <f>HYPERLINK("https://klasma.github.io/Logging_2425/tillsynsmail/A 12005-2023 tillsynsbegäran mail.docx", "A 12005-2023")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46316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46316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46316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A 57058-2024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46316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2.4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HYPERLINK("https://klasma.github.io/Logging_2425/artfynd/A 57058-2024 artfynd.xlsx", "A 57058-2024")</f>
        <v/>
      </c>
      <c r="X54">
        <f>HYPERLINK("https://klasma.github.io/Logging_2425/kartor/A 57058-2024 karta.png", "A 57058-2024")</f>
        <v/>
      </c>
      <c r="Y54">
        <f>HYPERLINK("https://klasma.github.io/Logging_2425/kartor_geotiff/A 57058-2024 georefererad karta.tif", "A 57058-2024")</f>
        <v/>
      </c>
      <c r="AA54">
        <f>HYPERLINK("https://klasma.github.io/Logging_2425/klagomål/A 57058-2024 FSC-klagomål.docx", "A 57058-2024")</f>
        <v/>
      </c>
      <c r="AB54">
        <f>HYPERLINK("https://klasma.github.io/Logging_2425/klagomålsmail/A 57058-2024 FSC-klagomål mail.docx", "A 57058-2024")</f>
        <v/>
      </c>
      <c r="AC54">
        <f>HYPERLINK("https://klasma.github.io/Logging_2425/tillsyn/A 57058-2024 tillsynsbegäran.docx", "A 57058-2024")</f>
        <v/>
      </c>
      <c r="AD54">
        <f>HYPERLINK("https://klasma.github.io/Logging_2425/tillsynsmail/A 57058-2024 tillsynsbegäran mail.docx", "A 57058-2024")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46316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A 20600-2023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45057</v>
      </c>
      <c r="E56" s="1" t="n">
        <v>46316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1.6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Korallrot</t>
        </is>
      </c>
      <c r="W56">
        <f>HYPERLINK("https://klasma.github.io/Logging_2425/artfynd/A 20600-2023 artfynd.xlsx", "A 20600-2023")</f>
        <v/>
      </c>
      <c r="X56">
        <f>HYPERLINK("https://klasma.github.io/Logging_2425/kartor/A 20600-2023 karta.png", "A 20600-2023")</f>
        <v/>
      </c>
      <c r="Y56">
        <f>HYPERLINK("https://klasma.github.io/Logging_2425/kartor_geotiff/A 20600-2023 georefererad karta.tif", "A 20600-2023")</f>
        <v/>
      </c>
      <c r="AA56">
        <f>HYPERLINK("https://klasma.github.io/Logging_2425/klagomål/A 20600-2023 FSC-klagomål.docx", "A 20600-2023")</f>
        <v/>
      </c>
      <c r="AB56">
        <f>HYPERLINK("https://klasma.github.io/Logging_2425/klagomålsmail/A 20600-2023 FSC-klagomål mail.docx", "A 20600-2023")</f>
        <v/>
      </c>
      <c r="AC56">
        <f>HYPERLINK("https://klasma.github.io/Logging_2425/tillsyn/A 20600-2023 tillsynsbegäran.docx", "A 20600-2023")</f>
        <v/>
      </c>
      <c r="AD56">
        <f>HYPERLINK("https://klasma.github.io/Logging_2425/tillsynsmail/A 20600-2023 tillsynsbegäran mail.docx", "A 20600-2023")</f>
        <v/>
      </c>
    </row>
    <row r="57" ht="15" customHeight="1">
      <c r="A57" t="inlineStr">
        <is>
          <t>A 42536-2026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46308</v>
      </c>
      <c r="E57" s="1" t="n">
        <v>46316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8.6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Lappranunkel</t>
        </is>
      </c>
      <c r="W57">
        <f>HYPERLINK("https://klasma.github.io/Logging_2425/artfynd/A 42536-2026 artfynd.xlsx", "A 42536-2026")</f>
        <v/>
      </c>
      <c r="X57">
        <f>HYPERLINK("https://klasma.github.io/Logging_2425/kartor/A 42536-2026 karta.png", "A 42536-2026")</f>
        <v/>
      </c>
      <c r="Y57">
        <f>HYPERLINK("https://klasma.github.io/Logging_2425/kartor_geotiff/A 42536-2026 georefererad karta.tif", "A 42536-2026")</f>
        <v/>
      </c>
      <c r="AA57">
        <f>HYPERLINK("https://klasma.github.io/Logging_2425/klagomål/A 42536-2026 FSC-klagomål.docx", "A 42536-2026")</f>
        <v/>
      </c>
      <c r="AB57">
        <f>HYPERLINK("https://klasma.github.io/Logging_2425/klagomålsmail/A 42536-2026 FSC-klagomål mail.docx", "A 42536-2026")</f>
        <v/>
      </c>
      <c r="AC57">
        <f>HYPERLINK("https://klasma.github.io/Logging_2425/tillsyn/A 42536-2026 tillsynsbegäran.docx", "A 42536-2026")</f>
        <v/>
      </c>
      <c r="AD57">
        <f>HYPERLINK("https://klasma.github.io/Logging_2425/tillsynsmail/A 42536-2026 tillsynsbegäran mail.docx", "A 42536-2026")</f>
        <v/>
      </c>
    </row>
    <row r="58" ht="15" customHeight="1">
      <c r="A58" t="inlineStr">
        <is>
          <t>A 46815-2023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45198</v>
      </c>
      <c r="E58" s="1" t="n">
        <v>46316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3.7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Harticka</t>
        </is>
      </c>
      <c r="W58">
        <f>HYPERLINK("https://klasma.github.io/Logging_2425/artfynd/A 46815-2023 artfynd.xlsx", "A 46815-2023")</f>
        <v/>
      </c>
      <c r="X58">
        <f>HYPERLINK("https://klasma.github.io/Logging_2425/kartor/A 46815-2023 karta.png", "A 46815-2023")</f>
        <v/>
      </c>
      <c r="Y58">
        <f>HYPERLINK("https://klasma.github.io/Logging_2425/kartor_geotiff/A 46815-2023 georefererad karta.tif", "A 46815-2023")</f>
        <v/>
      </c>
      <c r="AA58">
        <f>HYPERLINK("https://klasma.github.io/Logging_2425/klagomål/A 46815-2023 FSC-klagomål.docx", "A 46815-2023")</f>
        <v/>
      </c>
      <c r="AB58">
        <f>HYPERLINK("https://klasma.github.io/Logging_2425/klagomålsmail/A 46815-2023 FSC-klagomål mail.docx", "A 46815-2023")</f>
        <v/>
      </c>
      <c r="AC58">
        <f>HYPERLINK("https://klasma.github.io/Logging_2425/tillsyn/A 46815-2023 tillsynsbegäran.docx", "A 46815-2023")</f>
        <v/>
      </c>
      <c r="AD58">
        <f>HYPERLINK("https://klasma.github.io/Logging_2425/tillsynsmail/A 46815-2023 tillsynsbegäran mail.docx", "A 46815-2023")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46316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46316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46316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46316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46316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46316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46316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46316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46316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46316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46316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46316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46316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46316</v>
      </c>
      <c r="F72" t="inlineStr">
        <is>
          <t>VÄSTERBOTTENS LÄN</t>
        </is>
      </c>
      <c r="G72" t="inlineStr">
        <is>
          <t>DOROTEA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55549-2024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45622</v>
      </c>
      <c r="E73" s="1" t="n">
        <v>46316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41104-2023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45170</v>
      </c>
      <c r="E74" s="1" t="n">
        <v>46316</v>
      </c>
      <c r="F74" t="inlineStr">
        <is>
          <t>VÄSTERBOTTENS LÄN</t>
        </is>
      </c>
      <c r="G74" t="inlineStr">
        <is>
          <t>DOROTEA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45556</v>
      </c>
      <c r="E75" s="1" t="n">
        <v>46316</v>
      </c>
      <c r="F75" t="inlineStr">
        <is>
          <t>VÄSTERBOTTENS LÄN</t>
        </is>
      </c>
      <c r="G75" t="inlineStr">
        <is>
          <t>DOROTEA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46316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60015-2023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45257</v>
      </c>
      <c r="E77" s="1" t="n">
        <v>46316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10649-2025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45721</v>
      </c>
      <c r="E78" s="1" t="n">
        <v>46316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45036</v>
      </c>
      <c r="E79" s="1" t="n">
        <v>46316</v>
      </c>
      <c r="F79" t="inlineStr">
        <is>
          <t>VÄSTERBOTTENS LÄN</t>
        </is>
      </c>
      <c r="G79" t="inlineStr">
        <is>
          <t>DOROTEA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53795-2022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44876</v>
      </c>
      <c r="E80" s="1" t="n">
        <v>46316</v>
      </c>
      <c r="F80" t="inlineStr">
        <is>
          <t>VÄSTERBOTTENS LÄN</t>
        </is>
      </c>
      <c r="G80" t="inlineStr">
        <is>
          <t>DOROTEA</t>
        </is>
      </c>
      <c r="I80" t="n">
        <v>12.3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46316</v>
      </c>
      <c r="F81" t="inlineStr">
        <is>
          <t>VÄSTERBOTTENS LÄN</t>
        </is>
      </c>
      <c r="G81" t="inlineStr">
        <is>
          <t>DOROTEA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46316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27477-2023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45097</v>
      </c>
      <c r="E83" s="1" t="n">
        <v>46316</v>
      </c>
      <c r="F83" t="inlineStr">
        <is>
          <t>VÄSTERBOTTENS LÄN</t>
        </is>
      </c>
      <c r="G83" t="inlineStr">
        <is>
          <t>DOROTEA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46003</v>
      </c>
      <c r="E84" s="1" t="n">
        <v>46316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62193-2025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46003</v>
      </c>
      <c r="E85" s="1" t="n">
        <v>46316</v>
      </c>
      <c r="F85" t="inlineStr">
        <is>
          <t>VÄSTERBOTTENS LÄN</t>
        </is>
      </c>
      <c r="G85" t="inlineStr">
        <is>
          <t>DOROTEA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34820-2023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46316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45485</v>
      </c>
      <c r="E87" s="1" t="n">
        <v>46316</v>
      </c>
      <c r="F87" t="inlineStr">
        <is>
          <t>VÄSTERBOTTENS LÄN</t>
        </is>
      </c>
      <c r="G87" t="inlineStr">
        <is>
          <t>DOROTEA</t>
        </is>
      </c>
      <c r="I87" t="n">
        <v>10.2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46316</v>
      </c>
      <c r="F88" t="inlineStr">
        <is>
          <t>VÄSTERBOTTENS LÄN</t>
        </is>
      </c>
      <c r="G88" t="inlineStr">
        <is>
          <t>DOROTEA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46316</v>
      </c>
      <c r="F89" t="inlineStr">
        <is>
          <t>VÄSTERBOTTENS LÄN</t>
        </is>
      </c>
      <c r="G89" t="inlineStr">
        <is>
          <t>DOROTEA</t>
        </is>
      </c>
      <c r="I89" t="n">
        <v>16.7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23457-2025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45792</v>
      </c>
      <c r="E90" s="1" t="n">
        <v>46316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39470-2024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45551</v>
      </c>
      <c r="E91" s="1" t="n">
        <v>46316</v>
      </c>
      <c r="F91" t="inlineStr">
        <is>
          <t>VÄSTERBOTTENS LÄN</t>
        </is>
      </c>
      <c r="G91" t="inlineStr">
        <is>
          <t>DOROTEA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33113-2024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45517</v>
      </c>
      <c r="E92" s="1" t="n">
        <v>46316</v>
      </c>
      <c r="F92" t="inlineStr">
        <is>
          <t>VÄSTERBOTTENS LÄN</t>
        </is>
      </c>
      <c r="G92" t="inlineStr">
        <is>
          <t>DOROTEA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53380-2024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46316</v>
      </c>
      <c r="F93" t="inlineStr">
        <is>
          <t>VÄSTERBOTTENS LÄN</t>
        </is>
      </c>
      <c r="G93" t="inlineStr">
        <is>
          <t>DOROTEA</t>
        </is>
      </c>
      <c r="I93" t="n">
        <v>12.8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46316</v>
      </c>
      <c r="F94" t="inlineStr">
        <is>
          <t>VÄSTERBOTTENS LÄN</t>
        </is>
      </c>
      <c r="G94" t="inlineStr">
        <is>
          <t>DOROTEA</t>
        </is>
      </c>
      <c r="I94" t="n">
        <v>13.2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45755</v>
      </c>
      <c r="E95" s="1" t="n">
        <v>46316</v>
      </c>
      <c r="F95" t="inlineStr">
        <is>
          <t>VÄSTERBOTTENS LÄN</t>
        </is>
      </c>
      <c r="G95" t="inlineStr">
        <is>
          <t>DOROTEA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46316</v>
      </c>
      <c r="F96" t="inlineStr">
        <is>
          <t>VÄSTERBOTTENS LÄN</t>
        </is>
      </c>
      <c r="G96" t="inlineStr">
        <is>
          <t>DOROTEA</t>
        </is>
      </c>
      <c r="I96" t="n">
        <v>12.3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46009</v>
      </c>
      <c r="E97" s="1" t="n">
        <v>46316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37072-2024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46316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8.199999999999999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45803</v>
      </c>
      <c r="E99" s="1" t="n">
        <v>46316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25356-2025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46316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22450-2024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46316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34101-2023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45125</v>
      </c>
      <c r="E102" s="1" t="n">
        <v>46316</v>
      </c>
      <c r="F102" t="inlineStr">
        <is>
          <t>VÄSTERBOTTENS LÄN</t>
        </is>
      </c>
      <c r="G102" t="inlineStr">
        <is>
          <t>DOROTEA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45805</v>
      </c>
      <c r="E103" s="1" t="n">
        <v>46316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46316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13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46010</v>
      </c>
      <c r="E105" s="1" t="n">
        <v>46316</v>
      </c>
      <c r="F105" t="inlineStr">
        <is>
          <t>VÄSTERBOTTENS LÄN</t>
        </is>
      </c>
      <c r="G105" t="inlineStr">
        <is>
          <t>DOROTEA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39778-2025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45891</v>
      </c>
      <c r="E106" s="1" t="n">
        <v>46316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26481-2025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45807</v>
      </c>
      <c r="E107" s="1" t="n">
        <v>46316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26480-2025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45807</v>
      </c>
      <c r="E108" s="1" t="n">
        <v>46316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46017</v>
      </c>
      <c r="E109" s="1" t="n">
        <v>46316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45664</v>
      </c>
      <c r="E110" s="1" t="n">
        <v>46316</v>
      </c>
      <c r="F110" t="inlineStr">
        <is>
          <t>VÄSTERBOTTENS LÄN</t>
        </is>
      </c>
      <c r="G110" t="inlineStr">
        <is>
          <t>DOROTEA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45742</v>
      </c>
      <c r="E111" s="1" t="n">
        <v>46316</v>
      </c>
      <c r="F111" t="inlineStr">
        <is>
          <t>VÄSTERBOTTENS LÄN</t>
        </is>
      </c>
      <c r="G111" t="inlineStr">
        <is>
          <t>DOROTEA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26904-2025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45811</v>
      </c>
      <c r="E112" s="1" t="n">
        <v>46316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39977-2025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45893</v>
      </c>
      <c r="E113" s="1" t="n">
        <v>46316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45125</v>
      </c>
      <c r="E114" s="1" t="n">
        <v>46316</v>
      </c>
      <c r="F114" t="inlineStr">
        <is>
          <t>VÄSTERBOTTENS LÄN</t>
        </is>
      </c>
      <c r="G114" t="inlineStr">
        <is>
          <t>DOROTEA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57376-2022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44889</v>
      </c>
      <c r="E115" s="1" t="n">
        <v>46316</v>
      </c>
      <c r="F115" t="inlineStr">
        <is>
          <t>VÄSTERBOTTENS LÄN</t>
        </is>
      </c>
      <c r="G115" t="inlineStr">
        <is>
          <t>DOROTEA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46316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46316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46316</v>
      </c>
      <c r="F118" t="inlineStr">
        <is>
          <t>VÄSTERBOTTENS LÄN</t>
        </is>
      </c>
      <c r="G118" t="inlineStr">
        <is>
          <t>DOROTEA</t>
        </is>
      </c>
      <c r="I118" t="n">
        <v>18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46316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46036</v>
      </c>
      <c r="E120" s="1" t="n">
        <v>46316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42553-2025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45905</v>
      </c>
      <c r="E121" s="1" t="n">
        <v>46316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46316</v>
      </c>
      <c r="F122" t="inlineStr">
        <is>
          <t>VÄSTERBOTTENS LÄN</t>
        </is>
      </c>
      <c r="G122" t="inlineStr">
        <is>
          <t>DOROTEA</t>
        </is>
      </c>
      <c r="H122" t="inlineStr">
        <is>
          <t>Övriga Aktiebolag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46316</v>
      </c>
      <c r="F123" t="inlineStr">
        <is>
          <t>VÄSTERBOTTENS LÄN</t>
        </is>
      </c>
      <c r="G123" t="inlineStr">
        <is>
          <t>DOROTEA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46038</v>
      </c>
      <c r="E124" s="1" t="n">
        <v>46316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46316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46316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34702-2023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45140</v>
      </c>
      <c r="E127" s="1" t="n">
        <v>46316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46316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46316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46316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44190-2025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45915</v>
      </c>
      <c r="E131" s="1" t="n">
        <v>46316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44194-2025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45915</v>
      </c>
      <c r="E132" s="1" t="n">
        <v>46316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43876-2025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45912</v>
      </c>
      <c r="E133" s="1" t="n">
        <v>46316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43720-2025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45912</v>
      </c>
      <c r="E134" s="1" t="n">
        <v>46316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63885-2025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46010</v>
      </c>
      <c r="E135" s="1" t="n">
        <v>46316</v>
      </c>
      <c r="F135" t="inlineStr">
        <is>
          <t>VÄSTERBOTTENS LÄN</t>
        </is>
      </c>
      <c r="G135" t="inlineStr">
        <is>
          <t>DOROTEA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44593-2025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46316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46316</v>
      </c>
      <c r="F137" t="inlineStr">
        <is>
          <t>VÄSTERBOTTENS LÄN</t>
        </is>
      </c>
      <c r="G137" t="inlineStr">
        <is>
          <t>DOROTEA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44282-2025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45916</v>
      </c>
      <c r="E138" s="1" t="n">
        <v>46316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44395-2025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46316</v>
      </c>
      <c r="F139" t="inlineStr">
        <is>
          <t>VÄSTERBOTTENS LÄN</t>
        </is>
      </c>
      <c r="G139" t="inlineStr">
        <is>
          <t>DOROTEA</t>
        </is>
      </c>
      <c r="H139" t="inlineStr">
        <is>
          <t>Övriga statliga verk och myndigheter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46316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46091</v>
      </c>
      <c r="E141" s="1" t="n">
        <v>46316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46036</v>
      </c>
      <c r="E142" s="1" t="n">
        <v>46316</v>
      </c>
      <c r="F142" t="inlineStr">
        <is>
          <t>VÄSTERBOTTENS LÄN</t>
        </is>
      </c>
      <c r="G142" t="inlineStr">
        <is>
          <t>DOROTEA</t>
        </is>
      </c>
      <c r="I142" t="n">
        <v>11.8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46051</v>
      </c>
      <c r="E143" s="1" t="n">
        <v>46316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46316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46316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7.7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45845</v>
      </c>
      <c r="E146" s="1" t="n">
        <v>46316</v>
      </c>
      <c r="F146" t="inlineStr">
        <is>
          <t>VÄSTERBOTTENS LÄN</t>
        </is>
      </c>
      <c r="G146" t="inlineStr">
        <is>
          <t>DOROTEA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46316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34408-2025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45845</v>
      </c>
      <c r="E148" s="1" t="n">
        <v>46316</v>
      </c>
      <c r="F148" t="inlineStr">
        <is>
          <t>VÄSTERBOTTENS LÄN</t>
        </is>
      </c>
      <c r="G148" t="inlineStr">
        <is>
          <t>DOROTEA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46054</v>
      </c>
      <c r="E149" s="1" t="n">
        <v>46316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46059</v>
      </c>
      <c r="E150" s="1" t="n">
        <v>46316</v>
      </c>
      <c r="F150" t="inlineStr">
        <is>
          <t>VÄSTERBOTTENS LÄN</t>
        </is>
      </c>
      <c r="G150" t="inlineStr">
        <is>
          <t>DOROTEA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7713-2026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46316</v>
      </c>
      <c r="F151" t="inlineStr">
        <is>
          <t>VÄSTERBOTTENS LÄN</t>
        </is>
      </c>
      <c r="G151" t="inlineStr">
        <is>
          <t>DOROTEA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46063</v>
      </c>
      <c r="E152" s="1" t="n">
        <v>46316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38700-2024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45547</v>
      </c>
      <c r="E153" s="1" t="n">
        <v>46316</v>
      </c>
      <c r="F153" t="inlineStr">
        <is>
          <t>VÄSTERBOTTENS LÄN</t>
        </is>
      </c>
      <c r="G153" t="inlineStr">
        <is>
          <t>DOROTEA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45735</v>
      </c>
      <c r="E154" s="1" t="n">
        <v>46316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48530-2025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46316</v>
      </c>
      <c r="F155" t="inlineStr">
        <is>
          <t>VÄSTERBOTTENS LÄN</t>
        </is>
      </c>
      <c r="G155" t="inlineStr">
        <is>
          <t>DOROTEA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46316</v>
      </c>
      <c r="F156" t="inlineStr">
        <is>
          <t>VÄSTERBOTTENS LÄN</t>
        </is>
      </c>
      <c r="G156" t="inlineStr">
        <is>
          <t>DOROTEA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44860</v>
      </c>
      <c r="E157" s="1" t="n">
        <v>46316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Sveaskog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25028-2024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45461</v>
      </c>
      <c r="E158" s="1" t="n">
        <v>46316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17787-2023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45036</v>
      </c>
      <c r="E159" s="1" t="n">
        <v>46316</v>
      </c>
      <c r="F159" t="inlineStr">
        <is>
          <t>VÄSTERBOTTENS LÄN</t>
        </is>
      </c>
      <c r="G159" t="inlineStr">
        <is>
          <t>DOROTEA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46316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46072</v>
      </c>
      <c r="E161" s="1" t="n">
        <v>46316</v>
      </c>
      <c r="F161" t="inlineStr">
        <is>
          <t>VÄSTERBOTTENS LÄN</t>
        </is>
      </c>
      <c r="G161" t="inlineStr">
        <is>
          <t>DOROTEA</t>
        </is>
      </c>
      <c r="I161" t="n">
        <v>20.1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49408-2025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45938</v>
      </c>
      <c r="E162" s="1" t="n">
        <v>46316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46316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45937</v>
      </c>
      <c r="E164" s="1" t="n">
        <v>46316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12082-2026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46086</v>
      </c>
      <c r="E165" s="1" t="n">
        <v>46316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48006-2023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45198</v>
      </c>
      <c r="E166" s="1" t="n">
        <v>46316</v>
      </c>
      <c r="F166" t="inlineStr">
        <is>
          <t>VÄSTERBOTTENS LÄN</t>
        </is>
      </c>
      <c r="G166" t="inlineStr">
        <is>
          <t>DOROTEA</t>
        </is>
      </c>
      <c r="H166" t="inlineStr">
        <is>
          <t>Övriga statliga verk och myndigheter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11817-2026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46085</v>
      </c>
      <c r="E167" s="1" t="n">
        <v>46316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37105-2024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45539</v>
      </c>
      <c r="E168" s="1" t="n">
        <v>46316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12.3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45574</v>
      </c>
      <c r="E169" s="1" t="n">
        <v>46316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46316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53117-2023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45228</v>
      </c>
      <c r="E171" s="1" t="n">
        <v>46316</v>
      </c>
      <c r="F171" t="inlineStr">
        <is>
          <t>VÄSTERBOTTENS LÄN</t>
        </is>
      </c>
      <c r="G171" t="inlineStr">
        <is>
          <t>DOROTEA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53118-2023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45228</v>
      </c>
      <c r="E172" s="1" t="n">
        <v>46316</v>
      </c>
      <c r="F172" t="inlineStr">
        <is>
          <t>VÄSTERBOTTENS LÄN</t>
        </is>
      </c>
      <c r="G172" t="inlineStr">
        <is>
          <t>DOROTEA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17133-2025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46316</v>
      </c>
      <c r="F173" t="inlineStr">
        <is>
          <t>VÄSTERBOTTENS LÄN</t>
        </is>
      </c>
      <c r="G173" t="inlineStr">
        <is>
          <t>DOROTEA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45796</v>
      </c>
      <c r="E174" s="1" t="n">
        <v>46316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46316</v>
      </c>
      <c r="F175" t="inlineStr">
        <is>
          <t>VÄSTERBOTTENS LÄN</t>
        </is>
      </c>
      <c r="G175" t="inlineStr">
        <is>
          <t>DOROTEA</t>
        </is>
      </c>
      <c r="I175" t="n">
        <v>4.9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52412-2025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45954</v>
      </c>
      <c r="E176" s="1" t="n">
        <v>46316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44582</v>
      </c>
      <c r="E177" s="1" t="n">
        <v>46316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46316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46104</v>
      </c>
      <c r="E179" s="1" t="n">
        <v>46316</v>
      </c>
      <c r="F179" t="inlineStr">
        <is>
          <t>VÄSTERBOTTENS LÄN</t>
        </is>
      </c>
      <c r="G179" t="inlineStr">
        <is>
          <t>DOROTEA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15901-2026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46107</v>
      </c>
      <c r="E180" s="1" t="n">
        <v>46316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6.3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54489-2025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46316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46965-2024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45586</v>
      </c>
      <c r="E182" s="1" t="n">
        <v>46316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Sveaskog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46316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16276-2026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46316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16352-2026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46316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33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45013</v>
      </c>
      <c r="E186" s="1" t="n">
        <v>46316</v>
      </c>
      <c r="F186" t="inlineStr">
        <is>
          <t>VÄSTERBOTTENS LÄN</t>
        </is>
      </c>
      <c r="G186" t="inlineStr">
        <is>
          <t>DOROTEA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31532-2025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45833</v>
      </c>
      <c r="E187" s="1" t="n">
        <v>46316</v>
      </c>
      <c r="F187" t="inlineStr">
        <is>
          <t>VÄSTERBOTTENS LÄN</t>
        </is>
      </c>
      <c r="G187" t="inlineStr">
        <is>
          <t>DOROTEA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31510-2025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46316</v>
      </c>
      <c r="F188" t="inlineStr">
        <is>
          <t>VÄSTERBOTTENS LÄN</t>
        </is>
      </c>
      <c r="G188" t="inlineStr">
        <is>
          <t>DOROTEA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16985-2026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46114</v>
      </c>
      <c r="E189" s="1" t="n">
        <v>46316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54623-2025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46316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46316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7.3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44742</v>
      </c>
      <c r="E192" s="1" t="n">
        <v>46316</v>
      </c>
      <c r="F192" t="inlineStr">
        <is>
          <t>VÄSTERBOTTENS LÄN</t>
        </is>
      </c>
      <c r="G192" t="inlineStr">
        <is>
          <t>DOROTEA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16896-2026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46316</v>
      </c>
      <c r="F193" t="inlineStr">
        <is>
          <t>VÄSTERBOTTENS LÄN</t>
        </is>
      </c>
      <c r="G193" t="inlineStr">
        <is>
          <t>DOROTEA</t>
        </is>
      </c>
      <c r="H193" t="inlineStr">
        <is>
          <t>Kommuner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10400-2025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46316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46316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46316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20.3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56556-2025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45975</v>
      </c>
      <c r="E197" s="1" t="n">
        <v>46316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46316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17971-2026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46123</v>
      </c>
      <c r="E199" s="1" t="n">
        <v>46316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46316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18.3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46126</v>
      </c>
      <c r="E201" s="1" t="n">
        <v>46316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18157-2026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46125</v>
      </c>
      <c r="E202" s="1" t="n">
        <v>46316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18143-2026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46125</v>
      </c>
      <c r="E203" s="1" t="n">
        <v>46316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56707-2025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45977</v>
      </c>
      <c r="E204" s="1" t="n">
        <v>46316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45978</v>
      </c>
      <c r="E205" s="1" t="n">
        <v>46316</v>
      </c>
      <c r="F205" t="inlineStr">
        <is>
          <t>VÄSTERBOTTENS LÄN</t>
        </is>
      </c>
      <c r="G205" t="inlineStr">
        <is>
          <t>DOROTEA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57250-2025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46316</v>
      </c>
      <c r="F206" t="inlineStr">
        <is>
          <t>VÄSTERBOTTENS LÄN</t>
        </is>
      </c>
      <c r="G206" t="inlineStr">
        <is>
          <t>DOROTEA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8852-2024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46316</v>
      </c>
      <c r="F207" t="inlineStr">
        <is>
          <t>VÄSTERBOTTENS LÄN</t>
        </is>
      </c>
      <c r="G207" t="inlineStr">
        <is>
          <t>DOROTEA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46316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46316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46316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7.4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57819-2025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46316</v>
      </c>
      <c r="F211" t="inlineStr">
        <is>
          <t>VÄSTERBOTTENS LÄN</t>
        </is>
      </c>
      <c r="G211" t="inlineStr">
        <is>
          <t>DOROTEA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46316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19298-2026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46133</v>
      </c>
      <c r="E213" s="1" t="n">
        <v>46316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27305-2024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45471</v>
      </c>
      <c r="E214" s="1" t="n">
        <v>46316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57947-2025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45982</v>
      </c>
      <c r="E215" s="1" t="n">
        <v>46316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19445-2026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46133</v>
      </c>
      <c r="E216" s="1" t="n">
        <v>46316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46316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45982</v>
      </c>
      <c r="E218" s="1" t="n">
        <v>46316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58600-2025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46316</v>
      </c>
      <c r="F219" t="inlineStr">
        <is>
          <t>VÄSTERBOTTENS LÄN</t>
        </is>
      </c>
      <c r="G219" t="inlineStr">
        <is>
          <t>DOROTEA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46316</v>
      </c>
      <c r="F220" t="inlineStr">
        <is>
          <t>VÄSTERBOTTENS LÄN</t>
        </is>
      </c>
      <c r="G220" t="inlineStr">
        <is>
          <t>DOROTEA</t>
        </is>
      </c>
      <c r="I220" t="n">
        <v>14.7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46316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20316-2026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46316</v>
      </c>
      <c r="F222" t="inlineStr">
        <is>
          <t>VÄSTERBOTTENS LÄN</t>
        </is>
      </c>
      <c r="G222" t="inlineStr">
        <is>
          <t>DOROTEA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46316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46316</v>
      </c>
      <c r="F224" t="inlineStr">
        <is>
          <t>VÄSTERBOTTENS LÄN</t>
        </is>
      </c>
      <c r="G224" t="inlineStr">
        <is>
          <t>DOROTEA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45331</v>
      </c>
      <c r="E225" s="1" t="n">
        <v>46316</v>
      </c>
      <c r="F225" t="inlineStr">
        <is>
          <t>VÄSTERBOTTENS LÄN</t>
        </is>
      </c>
      <c r="G225" t="inlineStr">
        <is>
          <t>DOROTEA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59066-2025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45988</v>
      </c>
      <c r="E226" s="1" t="n">
        <v>46316</v>
      </c>
      <c r="F226" t="inlineStr">
        <is>
          <t>VÄSTERBOTTENS LÄN</t>
        </is>
      </c>
      <c r="G226" t="inlineStr">
        <is>
          <t>DOROTEA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45847</v>
      </c>
      <c r="E227" s="1" t="n">
        <v>46316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45846</v>
      </c>
      <c r="E228" s="1" t="n">
        <v>46316</v>
      </c>
      <c r="F228" t="inlineStr">
        <is>
          <t>VÄSTERBOTTENS LÄN</t>
        </is>
      </c>
      <c r="G228" t="inlineStr">
        <is>
          <t>DOROTEA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45848</v>
      </c>
      <c r="E229" s="1" t="n">
        <v>46316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57431-2022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44889</v>
      </c>
      <c r="E230" s="1" t="n">
        <v>46316</v>
      </c>
      <c r="F230" t="inlineStr">
        <is>
          <t>VÄSTERBOTTENS LÄN</t>
        </is>
      </c>
      <c r="G230" t="inlineStr">
        <is>
          <t>DOROTEA</t>
        </is>
      </c>
      <c r="I230" t="n">
        <v>15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34856-2025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45849</v>
      </c>
      <c r="E231" s="1" t="n">
        <v>46316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35937-2025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45862</v>
      </c>
      <c r="E232" s="1" t="n">
        <v>46316</v>
      </c>
      <c r="F232" t="inlineStr">
        <is>
          <t>VÄSTERBOTTENS LÄN</t>
        </is>
      </c>
      <c r="G232" t="inlineStr">
        <is>
          <t>DOROTEA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55889-2022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44888</v>
      </c>
      <c r="E233" s="1" t="n">
        <v>46316</v>
      </c>
      <c r="F233" t="inlineStr">
        <is>
          <t>VÄSTERBOTTENS LÄN</t>
        </is>
      </c>
      <c r="G233" t="inlineStr">
        <is>
          <t>DOROTEA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45852</v>
      </c>
      <c r="E234" s="1" t="n">
        <v>46316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45996</v>
      </c>
      <c r="E235" s="1" t="n">
        <v>46316</v>
      </c>
      <c r="F235" t="inlineStr">
        <is>
          <t>VÄSTERBOTTENS LÄN</t>
        </is>
      </c>
      <c r="G235" t="inlineStr">
        <is>
          <t>DOROTEA</t>
        </is>
      </c>
      <c r="I235" t="n">
        <v>23.9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45705</v>
      </c>
      <c r="E236" s="1" t="n">
        <v>46316</v>
      </c>
      <c r="F236" t="inlineStr">
        <is>
          <t>VÄSTERBOTTENS LÄN</t>
        </is>
      </c>
      <c r="G236" t="inlineStr">
        <is>
          <t>DOROTEA</t>
        </is>
      </c>
      <c r="I236" t="n">
        <v>13.3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20390-2026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46316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46316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45140</v>
      </c>
      <c r="E239" s="1" t="n">
        <v>46316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46316</v>
      </c>
      <c r="F240" t="inlineStr">
        <is>
          <t>VÄSTERBOTTENS LÄN</t>
        </is>
      </c>
      <c r="G240" t="inlineStr">
        <is>
          <t>DOROTEA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45855</v>
      </c>
      <c r="E241" s="1" t="n">
        <v>46316</v>
      </c>
      <c r="F241" t="inlineStr">
        <is>
          <t>VÄSTERBOTTENS LÄN</t>
        </is>
      </c>
      <c r="G241" t="inlineStr">
        <is>
          <t>DOROTEA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46316</v>
      </c>
      <c r="F242" t="inlineStr">
        <is>
          <t>VÄSTERBOTTENS LÄN</t>
        </is>
      </c>
      <c r="G242" t="inlineStr">
        <is>
          <t>DOROTEA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45351</v>
      </c>
      <c r="E243" s="1" t="n">
        <v>46316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46316</v>
      </c>
      <c r="F244" t="inlineStr">
        <is>
          <t>VÄSTERBOTTENS LÄN</t>
        </is>
      </c>
      <c r="G244" t="inlineStr">
        <is>
          <t>DOROTEA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46316</v>
      </c>
      <c r="F245" t="inlineStr">
        <is>
          <t>VÄSTERBOTTENS LÄN</t>
        </is>
      </c>
      <c r="G245" t="inlineStr">
        <is>
          <t>DOROTEA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45866</v>
      </c>
      <c r="E246" s="1" t="n">
        <v>46316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36125-2025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45866</v>
      </c>
      <c r="E247" s="1" t="n">
        <v>46316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63294-2025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46316</v>
      </c>
      <c r="F248" t="inlineStr">
        <is>
          <t>VÄSTERBOTTENS LÄN</t>
        </is>
      </c>
      <c r="G248" t="inlineStr">
        <is>
          <t>DOROTEA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45142</v>
      </c>
      <c r="E249" s="1" t="n">
        <v>46316</v>
      </c>
      <c r="F249" t="inlineStr">
        <is>
          <t>VÄSTERBOTTENS LÄN</t>
        </is>
      </c>
      <c r="G249" t="inlineStr">
        <is>
          <t>DOROTEA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46316</v>
      </c>
      <c r="F250" t="inlineStr">
        <is>
          <t>VÄSTERBOTTENS LÄN</t>
        </is>
      </c>
      <c r="G250" t="inlineStr">
        <is>
          <t>DOROTEA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45988</v>
      </c>
      <c r="E251" s="1" t="n">
        <v>46316</v>
      </c>
      <c r="F251" t="inlineStr">
        <is>
          <t>VÄSTERBOTTENS LÄN</t>
        </is>
      </c>
      <c r="G251" t="inlineStr">
        <is>
          <t>DOROTEA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46316</v>
      </c>
      <c r="F252" t="inlineStr">
        <is>
          <t>VÄSTERBOTTENS LÄN</t>
        </is>
      </c>
      <c r="G252" t="inlineStr">
        <is>
          <t>DOROTEA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29454-2024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45483</v>
      </c>
      <c r="E253" s="1" t="n">
        <v>46316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17591-2025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45757</v>
      </c>
      <c r="E254" s="1" t="n">
        <v>46316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20321-2026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46136</v>
      </c>
      <c r="E255" s="1" t="n">
        <v>46316</v>
      </c>
      <c r="F255" t="inlineStr">
        <is>
          <t>VÄSTERBOTTENS LÄN</t>
        </is>
      </c>
      <c r="G255" t="inlineStr">
        <is>
          <t>DOROTEA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29645-2023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46316</v>
      </c>
      <c r="F256" t="inlineStr">
        <is>
          <t>VÄSTERBOTTENS LÄN</t>
        </is>
      </c>
      <c r="G256" t="inlineStr">
        <is>
          <t>DOROTEA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53092-2024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45611</v>
      </c>
      <c r="E257" s="1" t="n">
        <v>46316</v>
      </c>
      <c r="F257" t="inlineStr">
        <is>
          <t>VÄSTERBOTTENS LÄN</t>
        </is>
      </c>
      <c r="G257" t="inlineStr">
        <is>
          <t>DOROTEA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46316</v>
      </c>
      <c r="F258" t="inlineStr">
        <is>
          <t>VÄSTERBOTTENS LÄN</t>
        </is>
      </c>
      <c r="G258" t="inlineStr">
        <is>
          <t>DOROTEA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36844-2025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46316</v>
      </c>
      <c r="F259" t="inlineStr">
        <is>
          <t>VÄSTERBOTTENS LÄN</t>
        </is>
      </c>
      <c r="G259" t="inlineStr">
        <is>
          <t>DOROTEA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37135-2025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45875</v>
      </c>
      <c r="E260" s="1" t="n">
        <v>46316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20286-2026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46316</v>
      </c>
      <c r="F261" t="inlineStr">
        <is>
          <t>VÄSTERBOTTENS LÄN</t>
        </is>
      </c>
      <c r="G261" t="inlineStr">
        <is>
          <t>DOROTEA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45876</v>
      </c>
      <c r="E262" s="1" t="n">
        <v>46316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45295</v>
      </c>
      <c r="E263" s="1" t="n">
        <v>46316</v>
      </c>
      <c r="F263" t="inlineStr">
        <is>
          <t>VÄSTERBOTTENS LÄN</t>
        </is>
      </c>
      <c r="G263" t="inlineStr">
        <is>
          <t>DOROTEA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20680-2026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46141</v>
      </c>
      <c r="E264" s="1" t="n">
        <v>46316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8095-2023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46316</v>
      </c>
      <c r="F265" t="inlineStr">
        <is>
          <t>VÄSTERBOTTENS LÄN</t>
        </is>
      </c>
      <c r="G265" t="inlineStr">
        <is>
          <t>DOROTEA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37282-2025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46316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37476-2025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45877</v>
      </c>
      <c r="E267" s="1" t="n">
        <v>46316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45770</v>
      </c>
      <c r="E268" s="1" t="n">
        <v>46316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20290-2026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46136</v>
      </c>
      <c r="E269" s="1" t="n">
        <v>46316</v>
      </c>
      <c r="F269" t="inlineStr">
        <is>
          <t>VÄSTERBOTTENS LÄN</t>
        </is>
      </c>
      <c r="G269" t="inlineStr">
        <is>
          <t>DOROTEA</t>
        </is>
      </c>
      <c r="I269" t="n">
        <v>17.8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46316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20754-2026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46316</v>
      </c>
      <c r="F271" t="inlineStr">
        <is>
          <t>VÄSTERBOTTENS LÄN</t>
        </is>
      </c>
      <c r="G271" t="inlineStr">
        <is>
          <t>DOROTEA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46140</v>
      </c>
      <c r="E272" s="1" t="n">
        <v>46316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6.2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46141</v>
      </c>
      <c r="E273" s="1" t="n">
        <v>46316</v>
      </c>
      <c r="F273" t="inlineStr">
        <is>
          <t>VÄSTERBOTTENS LÄN</t>
        </is>
      </c>
      <c r="G273" t="inlineStr">
        <is>
          <t>DOROTEA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53272-2024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45614</v>
      </c>
      <c r="E274" s="1" t="n">
        <v>46316</v>
      </c>
      <c r="F274" t="inlineStr">
        <is>
          <t>VÄSTERBOTTENS LÄN</t>
        </is>
      </c>
      <c r="G274" t="inlineStr">
        <is>
          <t>DOROTEA</t>
        </is>
      </c>
      <c r="I274" t="n">
        <v>31.7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46316</v>
      </c>
      <c r="F275" t="inlineStr">
        <is>
          <t>VÄSTERBOTTENS LÄN</t>
        </is>
      </c>
      <c r="G275" t="inlineStr">
        <is>
          <t>DOROTEA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59653-2024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45639</v>
      </c>
      <c r="E276" s="1" t="n">
        <v>46316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46316</v>
      </c>
      <c r="F277" t="inlineStr">
        <is>
          <t>VÄSTERBOTTENS LÄN</t>
        </is>
      </c>
      <c r="G277" t="inlineStr">
        <is>
          <t>DOROTEA</t>
        </is>
      </c>
      <c r="H277" t="inlineStr">
        <is>
          <t>Kommuner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59394-2023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45253</v>
      </c>
      <c r="E278" s="1" t="n">
        <v>46316</v>
      </c>
      <c r="F278" t="inlineStr">
        <is>
          <t>VÄSTERBOTTENS LÄN</t>
        </is>
      </c>
      <c r="G278" t="inlineStr">
        <is>
          <t>DOROTEA</t>
        </is>
      </c>
      <c r="I278" t="n">
        <v>28.8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46316</v>
      </c>
      <c r="F279" t="inlineStr">
        <is>
          <t>VÄSTERBOTTENS LÄN</t>
        </is>
      </c>
      <c r="G279" t="inlineStr">
        <is>
          <t>DOROTEA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20231-2026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46316</v>
      </c>
      <c r="F280" t="inlineStr">
        <is>
          <t>VÄSTERBOTTENS LÄN</t>
        </is>
      </c>
      <c r="G280" t="inlineStr">
        <is>
          <t>DOROTEA</t>
        </is>
      </c>
      <c r="I280" t="n">
        <v>21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45678</v>
      </c>
      <c r="E281" s="1" t="n">
        <v>46316</v>
      </c>
      <c r="F281" t="inlineStr">
        <is>
          <t>VÄSTERBOTTENS LÄN</t>
        </is>
      </c>
      <c r="G281" t="inlineStr">
        <is>
          <t>DOROTEA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46316</v>
      </c>
      <c r="F282" t="inlineStr">
        <is>
          <t>VÄSTERBOTTENS LÄN</t>
        </is>
      </c>
      <c r="G282" t="inlineStr">
        <is>
          <t>DOROTEA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45866</v>
      </c>
      <c r="E283" s="1" t="n">
        <v>46316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38097-2025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45882</v>
      </c>
      <c r="E284" s="1" t="n">
        <v>46316</v>
      </c>
      <c r="F284" t="inlineStr">
        <is>
          <t>VÄSTERBOTTENS LÄN</t>
        </is>
      </c>
      <c r="G284" t="inlineStr">
        <is>
          <t>DOROTEA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45882</v>
      </c>
      <c r="E285" s="1" t="n">
        <v>46316</v>
      </c>
      <c r="F285" t="inlineStr">
        <is>
          <t>VÄSTERBOTTENS LÄN</t>
        </is>
      </c>
      <c r="G285" t="inlineStr">
        <is>
          <t>DOROTEA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46316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45642</v>
      </c>
      <c r="E287" s="1" t="n">
        <v>46316</v>
      </c>
      <c r="F287" t="inlineStr">
        <is>
          <t>VÄSTERBOTTENS LÄN</t>
        </is>
      </c>
      <c r="G287" t="inlineStr">
        <is>
          <t>DOROTEA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46316</v>
      </c>
      <c r="F288" t="inlineStr">
        <is>
          <t>VÄSTERBOTTENS LÄN</t>
        </is>
      </c>
      <c r="G288" t="inlineStr">
        <is>
          <t>DOROTEA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8709-2025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45712</v>
      </c>
      <c r="E289" s="1" t="n">
        <v>46316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7429-2023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44971</v>
      </c>
      <c r="E290" s="1" t="n">
        <v>46316</v>
      </c>
      <c r="F290" t="inlineStr">
        <is>
          <t>VÄSTERBOTTENS LÄN</t>
        </is>
      </c>
      <c r="G290" t="inlineStr">
        <is>
          <t>DOROTEA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46316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46147</v>
      </c>
      <c r="E292" s="1" t="n">
        <v>46316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21199-2026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46316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46147</v>
      </c>
      <c r="E294" s="1" t="n">
        <v>46316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45720</v>
      </c>
      <c r="E295" s="1" t="n">
        <v>46316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46189</v>
      </c>
      <c r="E296" s="1" t="n">
        <v>46316</v>
      </c>
      <c r="F296" t="inlineStr">
        <is>
          <t>VÄSTERBOTTENS LÄN</t>
        </is>
      </c>
      <c r="G296" t="inlineStr">
        <is>
          <t>DOROTEA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27780-2026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46189</v>
      </c>
      <c r="E297" s="1" t="n">
        <v>46316</v>
      </c>
      <c r="F297" t="inlineStr">
        <is>
          <t>VÄSTERBOTTENS LÄN</t>
        </is>
      </c>
      <c r="G297" t="inlineStr">
        <is>
          <t>DOROTEA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27762-2026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46189</v>
      </c>
      <c r="E298" s="1" t="n">
        <v>46316</v>
      </c>
      <c r="F298" t="inlineStr">
        <is>
          <t>VÄSTERBOTTENS LÄN</t>
        </is>
      </c>
      <c r="G298" t="inlineStr">
        <is>
          <t>DOROTEA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46149</v>
      </c>
      <c r="E299" s="1" t="n">
        <v>46316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15352-2025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45747</v>
      </c>
      <c r="E300" s="1" t="n">
        <v>46316</v>
      </c>
      <c r="F300" t="inlineStr">
        <is>
          <t>VÄSTERBOTTENS LÄN</t>
        </is>
      </c>
      <c r="G300" t="inlineStr">
        <is>
          <t>DOROTEA</t>
        </is>
      </c>
      <c r="I300" t="n">
        <v>10.3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21902-2026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46150</v>
      </c>
      <c r="E301" s="1" t="n">
        <v>46316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12.8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22128-2026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46316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62657-2022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44925</v>
      </c>
      <c r="E303" s="1" t="n">
        <v>46316</v>
      </c>
      <c r="F303" t="inlineStr">
        <is>
          <t>VÄSTERBOTTENS LÄN</t>
        </is>
      </c>
      <c r="G303" t="inlineStr">
        <is>
          <t>DOROTEA</t>
        </is>
      </c>
      <c r="I303" t="n">
        <v>22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21812-2026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46316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22214-2026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46153</v>
      </c>
      <c r="E305" s="1" t="n">
        <v>46316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22650-2026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46155</v>
      </c>
      <c r="E306" s="1" t="n">
        <v>46316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55888-2022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44888</v>
      </c>
      <c r="E307" s="1" t="n">
        <v>46316</v>
      </c>
      <c r="F307" t="inlineStr">
        <is>
          <t>VÄSTERBOTTENS LÄN</t>
        </is>
      </c>
      <c r="G307" t="inlineStr">
        <is>
          <t>DOROTEA</t>
        </is>
      </c>
      <c r="I307" t="n">
        <v>7.6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46316</v>
      </c>
      <c r="F308" t="inlineStr">
        <is>
          <t>VÄSTERBOTTENS LÄN</t>
        </is>
      </c>
      <c r="G308" t="inlineStr">
        <is>
          <t>DOROTEA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46316</v>
      </c>
      <c r="F309" t="inlineStr">
        <is>
          <t>VÄSTERBOTTENS LÄN</t>
        </is>
      </c>
      <c r="G309" t="inlineStr">
        <is>
          <t>DOROTEA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45614</v>
      </c>
      <c r="E310" s="1" t="n">
        <v>46316</v>
      </c>
      <c r="F310" t="inlineStr">
        <is>
          <t>VÄSTERBOTTENS LÄN</t>
        </is>
      </c>
      <c r="G310" t="inlineStr">
        <is>
          <t>DOROTEA</t>
        </is>
      </c>
      <c r="I310" t="n">
        <v>26.5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45642</v>
      </c>
      <c r="E311" s="1" t="n">
        <v>46316</v>
      </c>
      <c r="F311" t="inlineStr">
        <is>
          <t>VÄSTERBOTTENS LÄN</t>
        </is>
      </c>
      <c r="G311" t="inlineStr">
        <is>
          <t>DOROTEA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45882</v>
      </c>
      <c r="E312" s="1" t="n">
        <v>46316</v>
      </c>
      <c r="F312" t="inlineStr">
        <is>
          <t>VÄSTERBOTTENS LÄN</t>
        </is>
      </c>
      <c r="G312" t="inlineStr">
        <is>
          <t>DOROTEA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15735-2026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46107</v>
      </c>
      <c r="E313" s="1" t="n">
        <v>46316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38377-2023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45161</v>
      </c>
      <c r="E314" s="1" t="n">
        <v>46316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52393-2023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45224</v>
      </c>
      <c r="E315" s="1" t="n">
        <v>46316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9030-2025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46316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31497-2024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45505</v>
      </c>
      <c r="E317" s="1" t="n">
        <v>46316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30461-2024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45491</v>
      </c>
      <c r="E318" s="1" t="n">
        <v>46316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52276-2023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45217</v>
      </c>
      <c r="E319" s="1" t="n">
        <v>46316</v>
      </c>
      <c r="F319" t="inlineStr">
        <is>
          <t>VÄSTERBOTTENS LÄN</t>
        </is>
      </c>
      <c r="G319" t="inlineStr">
        <is>
          <t>DOROTEA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54031-2025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45962</v>
      </c>
      <c r="E320" s="1" t="n">
        <v>46316</v>
      </c>
      <c r="F320" t="inlineStr">
        <is>
          <t>VÄSTERBOTTENS LÄN</t>
        </is>
      </c>
      <c r="G320" t="inlineStr">
        <is>
          <t>DOROTEA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8088-2023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44974</v>
      </c>
      <c r="E321" s="1" t="n">
        <v>46316</v>
      </c>
      <c r="F321" t="inlineStr">
        <is>
          <t>VÄSTERBOTTENS LÄN</t>
        </is>
      </c>
      <c r="G321" t="inlineStr">
        <is>
          <t>DOROTEA</t>
        </is>
      </c>
      <c r="I321" t="n">
        <v>14.8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46162</v>
      </c>
      <c r="E322" s="1" t="n">
        <v>46316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14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23408-2026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46316</v>
      </c>
      <c r="F323" t="inlineStr">
        <is>
          <t>VÄSTERBOTTENS LÄN</t>
        </is>
      </c>
      <c r="G323" t="inlineStr">
        <is>
          <t>DOROTEA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46316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46316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46316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50582-2024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45600</v>
      </c>
      <c r="E327" s="1" t="n">
        <v>46316</v>
      </c>
      <c r="F327" t="inlineStr">
        <is>
          <t>VÄSTERBOTTENS LÄN</t>
        </is>
      </c>
      <c r="G327" t="inlineStr">
        <is>
          <t>DOROTEA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46316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45642</v>
      </c>
      <c r="E329" s="1" t="n">
        <v>46316</v>
      </c>
      <c r="F329" t="inlineStr">
        <is>
          <t>VÄSTERBOTTENS LÄN</t>
        </is>
      </c>
      <c r="G329" t="inlineStr">
        <is>
          <t>DOROTEA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60169-2024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45642</v>
      </c>
      <c r="E330" s="1" t="n">
        <v>46316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9103-2023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44979</v>
      </c>
      <c r="E331" s="1" t="n">
        <v>46316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24852-2026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46316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5.9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24839-2026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46316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25682-2026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46316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44568</v>
      </c>
      <c r="E335" s="1" t="n">
        <v>46316</v>
      </c>
      <c r="F335" t="inlineStr">
        <is>
          <t>VÄSTERBOTTENS LÄN</t>
        </is>
      </c>
      <c r="G335" t="inlineStr">
        <is>
          <t>DOROTEA</t>
        </is>
      </c>
      <c r="I335" t="n">
        <v>5.4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14255-2026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46099</v>
      </c>
      <c r="E336" s="1" t="n">
        <v>46316</v>
      </c>
      <c r="F336" t="inlineStr">
        <is>
          <t>VÄSTERBOTTENS LÄN</t>
        </is>
      </c>
      <c r="G336" t="inlineStr">
        <is>
          <t>DOROTEA</t>
        </is>
      </c>
      <c r="I336" t="n">
        <v>26.2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26124-2026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46316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46316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46316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32821-2024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45516</v>
      </c>
      <c r="E340" s="1" t="n">
        <v>46316</v>
      </c>
      <c r="F340" t="inlineStr">
        <is>
          <t>VÄSTERBOTTENS LÄN</t>
        </is>
      </c>
      <c r="G340" t="inlineStr">
        <is>
          <t>DOROTEA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10360-2023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46316</v>
      </c>
      <c r="F341" t="inlineStr">
        <is>
          <t>VÄSTERBOTTENS LÄN</t>
        </is>
      </c>
      <c r="G341" t="inlineStr">
        <is>
          <t>DOROTEA</t>
        </is>
      </c>
      <c r="I341" t="n">
        <v>18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26926-2026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46185</v>
      </c>
      <c r="E342" s="1" t="n">
        <v>46316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27909-2024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45475</v>
      </c>
      <c r="E343" s="1" t="n">
        <v>46316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22946-2024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45448</v>
      </c>
      <c r="E344" s="1" t="n">
        <v>46316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46316</v>
      </c>
      <c r="F345" t="inlineStr">
        <is>
          <t>VÄSTERBOTTENS LÄN</t>
        </is>
      </c>
      <c r="G345" t="inlineStr">
        <is>
          <t>DOROTEA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45399</v>
      </c>
      <c r="E346" s="1" t="n">
        <v>46316</v>
      </c>
      <c r="F346" t="inlineStr">
        <is>
          <t>VÄSTERBOTTENS LÄN</t>
        </is>
      </c>
      <c r="G346" t="inlineStr">
        <is>
          <t>DOROTEA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27738-2026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46191</v>
      </c>
      <c r="E347" s="1" t="n">
        <v>46316</v>
      </c>
      <c r="F347" t="inlineStr">
        <is>
          <t>VÄSTERBOTTENS LÄN</t>
        </is>
      </c>
      <c r="G347" t="inlineStr">
        <is>
          <t>DOROTEA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57236-2022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44889</v>
      </c>
      <c r="E348" s="1" t="n">
        <v>46316</v>
      </c>
      <c r="F348" t="inlineStr">
        <is>
          <t>VÄSTERBOTTENS LÄN</t>
        </is>
      </c>
      <c r="G348" t="inlineStr">
        <is>
          <t>DOROTEA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46316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67686-2021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44524</v>
      </c>
      <c r="E350" s="1" t="n">
        <v>46316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28176-2026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46195</v>
      </c>
      <c r="E351" s="1" t="n">
        <v>46316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46316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49.5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46316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28783-2026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46316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4.6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28741-2026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46316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39721-2024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46316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29757-2026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46204</v>
      </c>
      <c r="E357" s="1" t="n">
        <v>46316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36137-2023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45149</v>
      </c>
      <c r="E358" s="1" t="n">
        <v>46316</v>
      </c>
      <c r="F358" t="inlineStr">
        <is>
          <t>VÄSTERBOTTENS LÄN</t>
        </is>
      </c>
      <c r="G358" t="inlineStr">
        <is>
          <t>DOROTEA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44979</v>
      </c>
      <c r="E359" s="1" t="n">
        <v>46316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31093-2026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46209</v>
      </c>
      <c r="E360" s="1" t="n">
        <v>46316</v>
      </c>
      <c r="F360" t="inlineStr">
        <is>
          <t>VÄSTERBOTTENS LÄN</t>
        </is>
      </c>
      <c r="G360" t="inlineStr">
        <is>
          <t>DOROTEA</t>
        </is>
      </c>
      <c r="I360" t="n">
        <v>5.8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44761</v>
      </c>
      <c r="E361" s="1" t="n">
        <v>46316</v>
      </c>
      <c r="F361" t="inlineStr">
        <is>
          <t>VÄSTERBOTTENS LÄN</t>
        </is>
      </c>
      <c r="G361" t="inlineStr">
        <is>
          <t>DOROTEA</t>
        </is>
      </c>
      <c r="I361" t="n">
        <v>10.6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46206</v>
      </c>
      <c r="E362" s="1" t="n">
        <v>46316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30190-2026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46316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7.8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17776-2023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45036</v>
      </c>
      <c r="E364" s="1" t="n">
        <v>46316</v>
      </c>
      <c r="F364" t="inlineStr">
        <is>
          <t>VÄSTERBOTTENS LÄN</t>
        </is>
      </c>
      <c r="G364" t="inlineStr">
        <is>
          <t>DOROTEA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30645-2026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46211</v>
      </c>
      <c r="E365" s="1" t="n">
        <v>46316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30821-2026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46212</v>
      </c>
      <c r="E366" s="1" t="n">
        <v>46316</v>
      </c>
      <c r="F366" t="inlineStr">
        <is>
          <t>VÄSTERBOTTENS LÄN</t>
        </is>
      </c>
      <c r="G366" t="inlineStr">
        <is>
          <t>DOROTEA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30885-2026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46316</v>
      </c>
      <c r="F367" t="inlineStr">
        <is>
          <t>VÄSTERBOTTENS LÄN</t>
        </is>
      </c>
      <c r="G367" t="inlineStr">
        <is>
          <t>DOROTEA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30823-2026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46212</v>
      </c>
      <c r="E368" s="1" t="n">
        <v>46316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30740-2026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46211</v>
      </c>
      <c r="E369" s="1" t="n">
        <v>46316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31016-2026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46213</v>
      </c>
      <c r="E370" s="1" t="n">
        <v>46316</v>
      </c>
      <c r="F370" t="inlineStr">
        <is>
          <t>VÄSTERBOTTENS LÄN</t>
        </is>
      </c>
      <c r="G370" t="inlineStr">
        <is>
          <t>DOROTEA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14163-2024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45392</v>
      </c>
      <c r="E371" s="1" t="n">
        <v>46316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46213</v>
      </c>
      <c r="E372" s="1" t="n">
        <v>46316</v>
      </c>
      <c r="F372" t="inlineStr">
        <is>
          <t>VÄSTERBOTTENS LÄN</t>
        </is>
      </c>
      <c r="G372" t="inlineStr">
        <is>
          <t>DOROTEA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23213-2022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44719</v>
      </c>
      <c r="E373" s="1" t="n">
        <v>46316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31260-2026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46218</v>
      </c>
      <c r="E374" s="1" t="n">
        <v>46316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31302-2026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46218</v>
      </c>
      <c r="E375" s="1" t="n">
        <v>46316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46217</v>
      </c>
      <c r="E376" s="1" t="n">
        <v>46316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15.6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40435-2023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45169</v>
      </c>
      <c r="E377" s="1" t="n">
        <v>46316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46217</v>
      </c>
      <c r="E378" s="1" t="n">
        <v>46316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46218</v>
      </c>
      <c r="E379" s="1" t="n">
        <v>46316</v>
      </c>
      <c r="F379" t="inlineStr">
        <is>
          <t>VÄSTERBOTTENS LÄN</t>
        </is>
      </c>
      <c r="G379" t="inlineStr">
        <is>
          <t>DOROTEA</t>
        </is>
      </c>
      <c r="H379" t="inlineStr">
        <is>
          <t>SCA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31439-2026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46220</v>
      </c>
      <c r="E380" s="1" t="n">
        <v>46316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10.1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46224</v>
      </c>
      <c r="E381" s="1" t="n">
        <v>46316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31573-2026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46224</v>
      </c>
      <c r="E382" s="1" t="n">
        <v>46316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31575-2026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46224</v>
      </c>
      <c r="E383" s="1" t="n">
        <v>46316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40434-2023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45169</v>
      </c>
      <c r="E384" s="1" t="n">
        <v>46316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4958-2023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44956</v>
      </c>
      <c r="E385" s="1" t="n">
        <v>46316</v>
      </c>
      <c r="F385" t="inlineStr">
        <is>
          <t>VÄSTERBOTTENS LÄN</t>
        </is>
      </c>
      <c r="G385" t="inlineStr">
        <is>
          <t>DOROTEA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41353-2022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44824</v>
      </c>
      <c r="E386" s="1" t="n">
        <v>46316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44910</v>
      </c>
      <c r="E387" s="1" t="n">
        <v>46316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27199-2024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45471</v>
      </c>
      <c r="E388" s="1" t="n">
        <v>46316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39471-2024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45551</v>
      </c>
      <c r="E389" s="1" t="n">
        <v>46316</v>
      </c>
      <c r="F389" t="inlineStr">
        <is>
          <t>VÄSTERBOTTENS LÄN</t>
        </is>
      </c>
      <c r="G389" t="inlineStr">
        <is>
          <t>DOROTEA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45055</v>
      </c>
      <c r="E390" s="1" t="n">
        <v>46316</v>
      </c>
      <c r="F390" t="inlineStr">
        <is>
          <t>VÄSTERBOTTENS LÄN</t>
        </is>
      </c>
      <c r="G390" t="inlineStr">
        <is>
          <t>DOROTEA</t>
        </is>
      </c>
      <c r="H390" t="inlineStr">
        <is>
          <t>Övriga statliga verk och myndigheter</t>
        </is>
      </c>
      <c r="I390" t="n">
        <v>13.9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40438-2023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45169</v>
      </c>
      <c r="E391" s="1" t="n">
        <v>46316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46279</v>
      </c>
      <c r="E392" s="1" t="n">
        <v>46316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45315</v>
      </c>
      <c r="E393" s="1" t="n">
        <v>46316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38087-2026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46281</v>
      </c>
      <c r="E394" s="1" t="n">
        <v>46316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19726-2025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45771</v>
      </c>
      <c r="E395" s="1" t="n">
        <v>46316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38299-2026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46282</v>
      </c>
      <c r="E396" s="1" t="n">
        <v>46316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46316</v>
      </c>
      <c r="F397" t="inlineStr">
        <is>
          <t>VÄSTERBOTTENS LÄN</t>
        </is>
      </c>
      <c r="G397" t="inlineStr">
        <is>
          <t>DOROTEA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74013-2021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44557</v>
      </c>
      <c r="E398" s="1" t="n">
        <v>46316</v>
      </c>
      <c r="F398" t="inlineStr">
        <is>
          <t>VÄSTERBOTTENS LÄN</t>
        </is>
      </c>
      <c r="G398" t="inlineStr">
        <is>
          <t>DOROTEA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57794-2023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45246</v>
      </c>
      <c r="E399" s="1" t="n">
        <v>46316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42484-2024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45565</v>
      </c>
      <c r="E400" s="1" t="n">
        <v>46316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55919-2023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45239</v>
      </c>
      <c r="E401" s="1" t="n">
        <v>46316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39088-2026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46316</v>
      </c>
      <c r="F402" t="inlineStr">
        <is>
          <t>VÄSTERBOTTENS LÄN</t>
        </is>
      </c>
      <c r="G402" t="inlineStr">
        <is>
          <t>DOROTEA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42228-2024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46316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46265</v>
      </c>
      <c r="E404" s="1" t="n">
        <v>46316</v>
      </c>
      <c r="F404" t="inlineStr">
        <is>
          <t>VÄSTERBOTTENS LÄN</t>
        </is>
      </c>
      <c r="G404" t="inlineStr">
        <is>
          <t>DOROTEA</t>
        </is>
      </c>
      <c r="H404" t="inlineStr">
        <is>
          <t>Allmännings- och besparingsskogar</t>
        </is>
      </c>
      <c r="I404" t="n">
        <v>16.4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46265</v>
      </c>
      <c r="E405" s="1" t="n">
        <v>46316</v>
      </c>
      <c r="F405" t="inlineStr">
        <is>
          <t>VÄSTERBOTTENS LÄN</t>
        </is>
      </c>
      <c r="G405" t="inlineStr">
        <is>
          <t>DOROTEA</t>
        </is>
      </c>
      <c r="H405" t="inlineStr">
        <is>
          <t>Allmännings- och besparingsskogar</t>
        </is>
      </c>
      <c r="I405" t="n">
        <v>12.6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33514-2026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46248</v>
      </c>
      <c r="E406" s="1" t="n">
        <v>46316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45223</v>
      </c>
      <c r="E407" s="1" t="n">
        <v>46316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40178-2026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46293</v>
      </c>
      <c r="E408" s="1" t="n">
        <v>46316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33364-2026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46316</v>
      </c>
      <c r="F409" t="inlineStr">
        <is>
          <t>VÄSTERBOTTENS LÄN</t>
        </is>
      </c>
      <c r="G409" t="inlineStr">
        <is>
          <t>DOROTEA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47494-2023</t>
        </is>
      </c>
      <c r="B410" t="inlineStr">
        <is>
          <t>avverkningsanmälan</t>
        </is>
      </c>
      <c r="C410" t="inlineStr">
        <is>
          <t>Avverkning för att bevara och utveckla /försöksver</t>
        </is>
      </c>
      <c r="D410" s="1" t="n">
        <v>45202</v>
      </c>
      <c r="E410" s="1" t="n">
        <v>46316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45448</v>
      </c>
      <c r="E411" s="1" t="n">
        <v>46316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17783-2023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45036</v>
      </c>
      <c r="E412" s="1" t="n">
        <v>46316</v>
      </c>
      <c r="F412" t="inlineStr">
        <is>
          <t>VÄSTERBOTTENS LÄN</t>
        </is>
      </c>
      <c r="G412" t="inlineStr">
        <is>
          <t>DOROTEA</t>
        </is>
      </c>
      <c r="I412" t="n">
        <v>4.8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42473-2024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45565</v>
      </c>
      <c r="E413" s="1" t="n">
        <v>46316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57070-2023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45244</v>
      </c>
      <c r="E414" s="1" t="n">
        <v>46316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33738-2024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46316</v>
      </c>
      <c r="F415" t="inlineStr">
        <is>
          <t>VÄSTERBOTTENS LÄN</t>
        </is>
      </c>
      <c r="G415" t="inlineStr">
        <is>
          <t>DOROTEA</t>
        </is>
      </c>
      <c r="I415" t="n">
        <v>11.1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45636</v>
      </c>
      <c r="E416" s="1" t="n">
        <v>46316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22944-2024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45448</v>
      </c>
      <c r="E417" s="1" t="n">
        <v>46316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40614-2026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46295</v>
      </c>
      <c r="E418" s="1" t="n">
        <v>46316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45735</v>
      </c>
      <c r="E419" s="1" t="n">
        <v>46316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42889-2024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45566</v>
      </c>
      <c r="E420" s="1" t="n">
        <v>46316</v>
      </c>
      <c r="F420" t="inlineStr">
        <is>
          <t>VÄSTERBOTTENS LÄN</t>
        </is>
      </c>
      <c r="G420" t="inlineStr">
        <is>
          <t>DOROTEA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44942</v>
      </c>
      <c r="E421" s="1" t="n">
        <v>46316</v>
      </c>
      <c r="F421" t="inlineStr">
        <is>
          <t>VÄSTERBOTTENS LÄN</t>
        </is>
      </c>
      <c r="G421" t="inlineStr">
        <is>
          <t>DOROTEA</t>
        </is>
      </c>
      <c r="I421" t="n">
        <v>22.7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58313-2024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45632</v>
      </c>
      <c r="E422" s="1" t="n">
        <v>46316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34149-2026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46253</v>
      </c>
      <c r="E423" s="1" t="n">
        <v>46316</v>
      </c>
      <c r="F423" t="inlineStr">
        <is>
          <t>VÄSTERBOTTENS LÄN</t>
        </is>
      </c>
      <c r="G423" t="inlineStr">
        <is>
          <t>DOROTEA</t>
        </is>
      </c>
      <c r="I423" t="n">
        <v>11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46253</v>
      </c>
      <c r="E424" s="1" t="n">
        <v>46316</v>
      </c>
      <c r="F424" t="inlineStr">
        <is>
          <t>VÄSTERBOTTENS LÄN</t>
        </is>
      </c>
      <c r="G424" t="inlineStr">
        <is>
          <t>DOROTEA</t>
        </is>
      </c>
      <c r="I424" t="n">
        <v>13.6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34448-2026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46254</v>
      </c>
      <c r="E425" s="1" t="n">
        <v>46316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34187-2026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46316</v>
      </c>
      <c r="F426" t="inlineStr">
        <is>
          <t>VÄSTERBOTTENS LÄN</t>
        </is>
      </c>
      <c r="G426" t="inlineStr">
        <is>
          <t>DOROTEA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34189-2026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46253</v>
      </c>
      <c r="E427" s="1" t="n">
        <v>46316</v>
      </c>
      <c r="F427" t="inlineStr">
        <is>
          <t>VÄSTERBOTTENS LÄN</t>
        </is>
      </c>
      <c r="G427" t="inlineStr">
        <is>
          <t>DOROTEA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33372-2024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45519</v>
      </c>
      <c r="E428" s="1" t="n">
        <v>46316</v>
      </c>
      <c r="F428" t="inlineStr">
        <is>
          <t>VÄSTERBOTTENS LÄN</t>
        </is>
      </c>
      <c r="G428" t="inlineStr">
        <is>
          <t>DOROTEA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41261-2026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46300</v>
      </c>
      <c r="E429" s="1" t="n">
        <v>46316</v>
      </c>
      <c r="F429" t="inlineStr">
        <is>
          <t>VÄSTERBOTTENS LÄN</t>
        </is>
      </c>
      <c r="G429" t="inlineStr">
        <is>
          <t>DOROTEA</t>
        </is>
      </c>
      <c r="I429" t="n">
        <v>13.1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46300</v>
      </c>
      <c r="E430" s="1" t="n">
        <v>46316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14320-2024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45393</v>
      </c>
      <c r="E431" s="1" t="n">
        <v>46316</v>
      </c>
      <c r="F431" t="inlineStr">
        <is>
          <t>VÄSTERBOTTENS LÄN</t>
        </is>
      </c>
      <c r="G431" t="inlineStr">
        <is>
          <t>DOROTEA</t>
        </is>
      </c>
      <c r="I431" t="n">
        <v>10.2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59418-2023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45253</v>
      </c>
      <c r="E432" s="1" t="n">
        <v>46316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30570-2023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46316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45180</v>
      </c>
      <c r="E434" s="1" t="n">
        <v>46316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27.7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46262</v>
      </c>
      <c r="E435" s="1" t="n">
        <v>46316</v>
      </c>
      <c r="F435" t="inlineStr">
        <is>
          <t>VÄSTERBOTTENS LÄN</t>
        </is>
      </c>
      <c r="G435" t="inlineStr">
        <is>
          <t>DOROTEA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35335-2026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46261</v>
      </c>
      <c r="E436" s="1" t="n">
        <v>46316</v>
      </c>
      <c r="F436" t="inlineStr">
        <is>
          <t>VÄSTERBOTTENS LÄN</t>
        </is>
      </c>
      <c r="G436" t="inlineStr">
        <is>
          <t>DOROTEA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35296-2026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46261</v>
      </c>
      <c r="E437" s="1" t="n">
        <v>46316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35352-2026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46261</v>
      </c>
      <c r="E438" s="1" t="n">
        <v>46316</v>
      </c>
      <c r="F438" t="inlineStr">
        <is>
          <t>VÄSTERBOTTENS LÄN</t>
        </is>
      </c>
      <c r="G438" t="inlineStr">
        <is>
          <t>DOROTEA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46316</v>
      </c>
      <c r="F439" t="inlineStr">
        <is>
          <t>VÄSTERBOTTENS LÄN</t>
        </is>
      </c>
      <c r="G439" t="inlineStr">
        <is>
          <t>DOROTEA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52148-2023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45223</v>
      </c>
      <c r="E440" s="1" t="n">
        <v>46316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46304</v>
      </c>
      <c r="E441" s="1" t="n">
        <v>46316</v>
      </c>
      <c r="F441" t="inlineStr">
        <is>
          <t>VÄSTERBOTTENS LÄN</t>
        </is>
      </c>
      <c r="G441" t="inlineStr">
        <is>
          <t>DOROTEA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46261</v>
      </c>
      <c r="E442" s="1" t="n">
        <v>46316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4617-2023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44956</v>
      </c>
      <c r="E443" s="1" t="n">
        <v>46316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46304</v>
      </c>
      <c r="E444" s="1" t="n">
        <v>46316</v>
      </c>
      <c r="F444" t="inlineStr">
        <is>
          <t>VÄSTERBOTTENS LÄN</t>
        </is>
      </c>
      <c r="G444" t="inlineStr">
        <is>
          <t>DOROTEA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42037-2026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46304</v>
      </c>
      <c r="E445" s="1" t="n">
        <v>46316</v>
      </c>
      <c r="F445" t="inlineStr">
        <is>
          <t>VÄSTERBOTTENS LÄN</t>
        </is>
      </c>
      <c r="G445" t="inlineStr">
        <is>
          <t>DOROTEA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42681-2026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46309</v>
      </c>
      <c r="E446" s="1" t="n">
        <v>46316</v>
      </c>
      <c r="F446" t="inlineStr">
        <is>
          <t>VÄSTERBOTTENS LÄN</t>
        </is>
      </c>
      <c r="G446" t="inlineStr">
        <is>
          <t>DOROTEA</t>
        </is>
      </c>
      <c r="I446" t="n">
        <v>9.199999999999999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46309</v>
      </c>
      <c r="E447" s="1" t="n">
        <v>46316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59395-2023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45253</v>
      </c>
      <c r="E448" s="1" t="n">
        <v>46316</v>
      </c>
      <c r="F448" t="inlineStr">
        <is>
          <t>VÄSTERBOTTENS LÄN</t>
        </is>
      </c>
      <c r="G448" t="inlineStr">
        <is>
          <t>DOROTEA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59397-2023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45253</v>
      </c>
      <c r="E449" s="1" t="n">
        <v>46316</v>
      </c>
      <c r="F449" t="inlineStr">
        <is>
          <t>VÄSTERBOTTENS LÄN</t>
        </is>
      </c>
      <c r="G449" t="inlineStr">
        <is>
          <t>DOROTEA</t>
        </is>
      </c>
      <c r="I449" t="n">
        <v>8.5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35990-2023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45148</v>
      </c>
      <c r="E450" s="1" t="n">
        <v>46316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46301</v>
      </c>
      <c r="E451" s="1" t="n">
        <v>46316</v>
      </c>
      <c r="F451" t="inlineStr">
        <is>
          <t>VÄSTERBOTTENS LÄN</t>
        </is>
      </c>
      <c r="G451" t="inlineStr">
        <is>
          <t>DOROTEA</t>
        </is>
      </c>
      <c r="I451" t="n">
        <v>10.5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42811-2026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46309</v>
      </c>
      <c r="E452" s="1" t="n">
        <v>46316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46818-2023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45198</v>
      </c>
      <c r="E453" s="1" t="n">
        <v>46316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46316</v>
      </c>
      <c r="F454" t="inlineStr">
        <is>
          <t>VÄSTERBOTTENS LÄN</t>
        </is>
      </c>
      <c r="G454" t="inlineStr">
        <is>
          <t>DOROTEA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46316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60145-2021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44494</v>
      </c>
      <c r="E456" s="1" t="n">
        <v>46316</v>
      </c>
      <c r="F456" t="inlineStr">
        <is>
          <t>VÄSTERBOTTENS LÄN</t>
        </is>
      </c>
      <c r="G456" t="inlineStr">
        <is>
          <t>DOROTEA</t>
        </is>
      </c>
      <c r="I456" t="n">
        <v>13.3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46316</v>
      </c>
      <c r="F457" t="inlineStr">
        <is>
          <t>VÄSTERBOTTENS LÄN</t>
        </is>
      </c>
      <c r="G457" t="inlineStr">
        <is>
          <t>DOROTEA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43587-2026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46315</v>
      </c>
      <c r="E458" s="1" t="n">
        <v>46316</v>
      </c>
      <c r="F458" t="inlineStr">
        <is>
          <t>VÄSTERBOTTENS LÄN</t>
        </is>
      </c>
      <c r="G458" t="inlineStr">
        <is>
          <t>DOROTEA</t>
        </is>
      </c>
      <c r="I458" t="n">
        <v>8.699999999999999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44848</v>
      </c>
      <c r="E459" s="1" t="n">
        <v>46316</v>
      </c>
      <c r="F459" t="inlineStr">
        <is>
          <t>VÄSTERBOTTENS LÄN</t>
        </is>
      </c>
      <c r="G459" t="inlineStr">
        <is>
          <t>DOROTEA</t>
        </is>
      </c>
      <c r="I459" t="n">
        <v>29.8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13035-2024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45385</v>
      </c>
      <c r="E460" s="1" t="n">
        <v>46316</v>
      </c>
      <c r="F460" t="inlineStr">
        <is>
          <t>VÄSTERBOTTENS LÄN</t>
        </is>
      </c>
      <c r="G460" t="inlineStr">
        <is>
          <t>DOROTEA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46966-2024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45586</v>
      </c>
      <c r="E461" s="1" t="n">
        <v>46316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23300-2023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45075</v>
      </c>
      <c r="E462" s="1" t="n">
        <v>46316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28717-2022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44748</v>
      </c>
      <c r="E463" s="1" t="n">
        <v>46316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30059-2024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45488</v>
      </c>
      <c r="E464" s="1" t="n">
        <v>46316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46316</v>
      </c>
      <c r="F465" t="inlineStr">
        <is>
          <t>VÄSTERBOTTENS LÄN</t>
        </is>
      </c>
      <c r="G465" t="inlineStr">
        <is>
          <t>DOROTEA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13023-2025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45734</v>
      </c>
      <c r="E466" s="1" t="n">
        <v>46316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43944-2024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45572</v>
      </c>
      <c r="E467" s="1" t="n">
        <v>46316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28856-2024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46316</v>
      </c>
      <c r="F468" t="inlineStr">
        <is>
          <t>VÄSTERBOTTENS LÄN</t>
        </is>
      </c>
      <c r="G468" t="inlineStr">
        <is>
          <t>DOROTEA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53382-2024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45614</v>
      </c>
      <c r="E469" s="1" t="n">
        <v>46316</v>
      </c>
      <c r="F469" t="inlineStr">
        <is>
          <t>VÄSTERBOTTENS LÄN</t>
        </is>
      </c>
      <c r="G469" t="inlineStr">
        <is>
          <t>DOROTEA</t>
        </is>
      </c>
      <c r="I469" t="n">
        <v>11.2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42104-2024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45562</v>
      </c>
      <c r="E470" s="1" t="n">
        <v>46316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22774-2025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46316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2945-2024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45506</v>
      </c>
      <c r="E472" s="1" t="n">
        <v>46316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1058-2025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45749</v>
      </c>
      <c r="E473" s="1" t="n">
        <v>46316</v>
      </c>
      <c r="F473" t="inlineStr">
        <is>
          <t>VÄSTERBOTTENS LÄN</t>
        </is>
      </c>
      <c r="G473" t="inlineStr">
        <is>
          <t>DOROTEA</t>
        </is>
      </c>
      <c r="I473" t="n">
        <v>10.9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844-2025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45733</v>
      </c>
      <c r="E474" s="1" t="n">
        <v>46316</v>
      </c>
      <c r="F474" t="inlineStr">
        <is>
          <t>VÄSTERBOTTENS LÄN</t>
        </is>
      </c>
      <c r="G474" t="inlineStr">
        <is>
          <t>DOROTEA</t>
        </is>
      </c>
      <c r="H474" t="inlineStr">
        <is>
          <t>SCA</t>
        </is>
      </c>
      <c r="I474" t="n">
        <v>1293.5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2195-2025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45858</v>
      </c>
      <c r="E475" s="1" t="n">
        <v>46316</v>
      </c>
      <c r="F475" t="inlineStr">
        <is>
          <t>VÄSTERBOTTENS LÄN</t>
        </is>
      </c>
      <c r="G475" t="inlineStr">
        <is>
          <t>DOROTEA</t>
        </is>
      </c>
      <c r="I475" t="n">
        <v>27.4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2283-2025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45876</v>
      </c>
      <c r="E476" s="1" t="n">
        <v>46316</v>
      </c>
      <c r="F476" t="inlineStr">
        <is>
          <t>VÄSTERBOTTENS LÄN</t>
        </is>
      </c>
      <c r="G476" t="inlineStr">
        <is>
          <t>DOROTEA</t>
        </is>
      </c>
      <c r="H476" t="inlineStr">
        <is>
          <t>SCA</t>
        </is>
      </c>
      <c r="I476" t="n">
        <v>10.1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2360-2025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45889</v>
      </c>
      <c r="E477" s="1" t="n">
        <v>46316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2407-2026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46279</v>
      </c>
      <c r="E478" s="1" t="n">
        <v>46316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1763-2026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46189</v>
      </c>
      <c r="E479" s="1" t="n">
        <v>46316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2026-10-21T02:02:10Z</dcterms:created>
  <dcterms:modified xmlns:dcterms="http://purl.org/dc/terms/" xmlns:xsi="http://www.w3.org/2001/XMLSchema-instance" xsi:type="dcterms:W3CDTF">2026-10-21T02:02:10Z</dcterms:modified>
</cp:coreProperties>
</file>