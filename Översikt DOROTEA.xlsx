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46283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3</v>
      </c>
      <c r="K2" t="n">
        <v>4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15</v>
      </c>
      <c r="T2" t="n">
        <v>38</v>
      </c>
      <c r="U2" t="n">
        <v>32</v>
      </c>
      <c r="V2" s="2" t="inlineStr">
        <is>
          <t>Garnlav
Ostticka
Harticka
Lunglav
Bårdlav
Spindelblomster
Stuplav
Vedticka
Ekbräken
Hultbräken
Linnea
Majbräken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46283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46283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46283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46283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46283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46283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46283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46283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46283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46283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46283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46283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46283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46283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46283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46283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46283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46283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46283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46283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21672-2023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46283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7.4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Doftskinn
Skrovellav
Ullticka</t>
        </is>
      </c>
      <c r="W23">
        <f>HYPERLINK("https://klasma.github.io/Logging_2425/artfynd/A 21672-2023 artfynd.xlsx", "A 21672-2023")</f>
        <v/>
      </c>
      <c r="X23">
        <f>HYPERLINK("https://klasma.github.io/Logging_2425/kartor/A 21672-2023 karta.png", "A 21672-2023")</f>
        <v/>
      </c>
      <c r="Y23">
        <f>HYPERLINK("https://klasma.github.io/Logging_2425/kartor_geotiff/A 21672-2023 georefererad karta.tif", "A 21672-2023")</f>
        <v/>
      </c>
      <c r="AA23">
        <f>HYPERLINK("https://klasma.github.io/Logging_2425/klagomål/A 21672-2023 FSC-klagomål.docx", "A 21672-2023")</f>
        <v/>
      </c>
      <c r="AB23">
        <f>HYPERLINK("https://klasma.github.io/Logging_2425/klagomålsmail/A 21672-2023 FSC-klagomål mail.docx", "A 21672-2023")</f>
        <v/>
      </c>
      <c r="AC23">
        <f>HYPERLINK("https://klasma.github.io/Logging_2425/tillsyn/A 21672-2023 tillsynsbegäran.docx", "A 21672-2023")</f>
        <v/>
      </c>
      <c r="AD23">
        <f>HYPERLINK("https://klasma.github.io/Logging_2425/tillsynsmail/A 21672-2023 tillsynsbegäran mail.docx", "A 21672-2023")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46283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46283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46283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33263-2025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46283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Vedticka</t>
        </is>
      </c>
      <c r="W27">
        <f>HYPERLINK("https://klasma.github.io/Logging_2425/artfynd/A 33263-2025 artfynd.xlsx", "A 33263-2025")</f>
        <v/>
      </c>
      <c r="X27">
        <f>HYPERLINK("https://klasma.github.io/Logging_2425/kartor/A 33263-2025 karta.png", "A 33263-2025")</f>
        <v/>
      </c>
      <c r="Y27">
        <f>HYPERLINK("https://klasma.github.io/Logging_2425/kartor_geotiff/A 33263-2025 georefererad karta.tif", "A 33263-2025")</f>
        <v/>
      </c>
      <c r="AA27">
        <f>HYPERLINK("https://klasma.github.io/Logging_2425/klagomål/A 33263-2025 FSC-klagomål.docx", "A 33263-2025")</f>
        <v/>
      </c>
      <c r="AB27">
        <f>HYPERLINK("https://klasma.github.io/Logging_2425/klagomålsmail/A 33263-2025 FSC-klagomål mail.docx", "A 33263-2025")</f>
        <v/>
      </c>
      <c r="AC27">
        <f>HYPERLINK("https://klasma.github.io/Logging_2425/tillsyn/A 33263-2025 tillsynsbegäran.docx", "A 33263-2025")</f>
        <v/>
      </c>
      <c r="AD27">
        <f>HYPERLINK("https://klasma.github.io/Logging_2425/tillsynsmail/A 33263-2025 tillsynsbegäran mail.docx", "A 33263-2025")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46283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46283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35336-2026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46283</v>
      </c>
      <c r="F30" t="inlineStr">
        <is>
          <t>VÄSTERBOTTENS LÄN</t>
        </is>
      </c>
      <c r="G30" t="inlineStr">
        <is>
          <t>DOROTEA</t>
        </is>
      </c>
      <c r="I30" t="n">
        <v>4.2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Blodticka</t>
        </is>
      </c>
      <c r="W30">
        <f>HYPERLINK("https://klasma.github.io/Logging_2425/artfynd/A 35336-2026 artfynd.xlsx", "A 35336-2026")</f>
        <v/>
      </c>
      <c r="X30">
        <f>HYPERLINK("https://klasma.github.io/Logging_2425/kartor/A 35336-2026 karta.png", "A 35336-2026")</f>
        <v/>
      </c>
      <c r="Y30">
        <f>HYPERLINK("https://klasma.github.io/Logging_2425/kartor_geotiff/A 35336-2026 georefererad karta.tif", "A 35336-2026")</f>
        <v/>
      </c>
      <c r="AA30">
        <f>HYPERLINK("https://klasma.github.io/Logging_2425/klagomål/A 35336-2026 FSC-klagomål.docx", "A 35336-2026")</f>
        <v/>
      </c>
      <c r="AB30">
        <f>HYPERLINK("https://klasma.github.io/Logging_2425/klagomålsmail/A 35336-2026 FSC-klagomål mail.docx", "A 35336-2026")</f>
        <v/>
      </c>
      <c r="AC30">
        <f>HYPERLINK("https://klasma.github.io/Logging_2425/tillsyn/A 35336-2026 tillsynsbegäran.docx", "A 35336-2026")</f>
        <v/>
      </c>
      <c r="AD30">
        <f>HYPERLINK("https://klasma.github.io/Logging_2425/tillsynsmail/A 35336-2026 tillsynsbegäran mail.docx", "A 35336-2026")</f>
        <v/>
      </c>
    </row>
    <row r="31" ht="15" customHeight="1">
      <c r="A31" t="inlineStr">
        <is>
          <t>A 19589-2024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45429</v>
      </c>
      <c r="E31" s="1" t="n">
        <v>46283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Lunglav
Talltita</t>
        </is>
      </c>
      <c r="W31">
        <f>HYPERLINK("https://klasma.github.io/Logging_2425/artfynd/A 19589-2024 artfynd.xlsx", "A 19589-2024")</f>
        <v/>
      </c>
      <c r="X31">
        <f>HYPERLINK("https://klasma.github.io/Logging_2425/kartor/A 19589-2024 karta.png", "A 19589-2024")</f>
        <v/>
      </c>
      <c r="Y31">
        <f>HYPERLINK("https://klasma.github.io/Logging_2425/kartor_geotiff/A 19589-2024 georefererad karta.tif", "A 19589-2024")</f>
        <v/>
      </c>
      <c r="AA31">
        <f>HYPERLINK("https://klasma.github.io/Logging_2425/klagomål/A 19589-2024 FSC-klagomål.docx", "A 19589-2024")</f>
        <v/>
      </c>
      <c r="AB31">
        <f>HYPERLINK("https://klasma.github.io/Logging_2425/klagomålsmail/A 19589-2024 FSC-klagomål mail.docx", "A 19589-2024")</f>
        <v/>
      </c>
      <c r="AC31">
        <f>HYPERLINK("https://klasma.github.io/Logging_2425/tillsyn/A 19589-2024 tillsynsbegäran.docx", "A 19589-2024")</f>
        <v/>
      </c>
      <c r="AD31">
        <f>HYPERLINK("https://klasma.github.io/Logging_2425/tillsynsmail/A 19589-2024 tillsynsbegäran mail.docx", "A 19589-2024")</f>
        <v/>
      </c>
      <c r="AE31">
        <f>HYPERLINK("https://klasma.github.io/Logging_2425/fåglar/A 19589-2024 prioriterade fågelarter.docx", "A 19589-2024")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46283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46283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17825-2024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45418</v>
      </c>
      <c r="E34" s="1" t="n">
        <v>46283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24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Skrovellav</t>
        </is>
      </c>
      <c r="W34">
        <f>HYPERLINK("https://klasma.github.io/Logging_2425/artfynd/A 17825-2024 artfynd.xlsx", "A 17825-2024")</f>
        <v/>
      </c>
      <c r="X34">
        <f>HYPERLINK("https://klasma.github.io/Logging_2425/kartor/A 17825-2024 karta.png", "A 17825-2024")</f>
        <v/>
      </c>
      <c r="Y34">
        <f>HYPERLINK("https://klasma.github.io/Logging_2425/kartor_geotiff/A 17825-2024 georefererad karta.tif", "A 17825-2024")</f>
        <v/>
      </c>
      <c r="AA34">
        <f>HYPERLINK("https://klasma.github.io/Logging_2425/klagomål/A 17825-2024 FSC-klagomål.docx", "A 17825-2024")</f>
        <v/>
      </c>
      <c r="AB34">
        <f>HYPERLINK("https://klasma.github.io/Logging_2425/klagomålsmail/A 17825-2024 FSC-klagomål mail.docx", "A 17825-2024")</f>
        <v/>
      </c>
      <c r="AC34">
        <f>HYPERLINK("https://klasma.github.io/Logging_2425/tillsyn/A 17825-2024 tillsynsbegäran.docx", "A 17825-2024")</f>
        <v/>
      </c>
      <c r="AD34">
        <f>HYPERLINK("https://klasma.github.io/Logging_2425/tillsynsmail/A 17825-2024 tillsynsbegäran mail.docx", "A 17825-2024")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46283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46283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46283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20600-2023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45057</v>
      </c>
      <c r="E38" s="1" t="n">
        <v>46283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HYPERLINK("https://klasma.github.io/Logging_2425/artfynd/A 20600-2023 artfynd.xlsx", "A 20600-2023")</f>
        <v/>
      </c>
      <c r="X38">
        <f>HYPERLINK("https://klasma.github.io/Logging_2425/kartor/A 20600-2023 karta.png", "A 20600-2023")</f>
        <v/>
      </c>
      <c r="Y38">
        <f>HYPERLINK("https://klasma.github.io/Logging_2425/kartor_geotiff/A 20600-2023 georefererad karta.tif", "A 20600-2023")</f>
        <v/>
      </c>
      <c r="AA38">
        <f>HYPERLINK("https://klasma.github.io/Logging_2425/klagomål/A 20600-2023 FSC-klagomål.docx", "A 20600-2023")</f>
        <v/>
      </c>
      <c r="AB38">
        <f>HYPERLINK("https://klasma.github.io/Logging_2425/klagomålsmail/A 20600-2023 FSC-klagomål mail.docx", "A 20600-2023")</f>
        <v/>
      </c>
      <c r="AC38">
        <f>HYPERLINK("https://klasma.github.io/Logging_2425/tillsyn/A 20600-2023 tillsynsbegäran.docx", "A 20600-2023")</f>
        <v/>
      </c>
      <c r="AD38">
        <f>HYPERLINK("https://klasma.github.io/Logging_2425/tillsynsmail/A 20600-2023 tillsynsbegäran mail.docx", "A 20600-2023")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46283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46283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46283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36318-2024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46283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8</v>
      </c>
      <c r="U42" t="n">
        <v>8</v>
      </c>
      <c r="V42" s="2" t="inlineStr">
        <is>
          <t>Garnlav</t>
        </is>
      </c>
      <c r="W42">
        <f>HYPERLINK("https://klasma.github.io/Logging_2425/artfynd/A 36318-2024 artfynd.xlsx", "A 36318-2024")</f>
        <v/>
      </c>
      <c r="X42">
        <f>HYPERLINK("https://klasma.github.io/Logging_2425/kartor/A 36318-2024 karta.png", "A 36318-2024")</f>
        <v/>
      </c>
      <c r="Y42">
        <f>HYPERLINK("https://klasma.github.io/Logging_2425/kartor_geotiff/A 36318-2024 georefererad karta.tif", "A 36318-2024")</f>
        <v/>
      </c>
      <c r="AA42">
        <f>HYPERLINK("https://klasma.github.io/Logging_2425/klagomål/A 36318-2024 FSC-klagomål.docx", "A 36318-2024")</f>
        <v/>
      </c>
      <c r="AB42">
        <f>HYPERLINK("https://klasma.github.io/Logging_2425/klagomålsmail/A 36318-2024 FSC-klagomål mail.docx", "A 36318-2024")</f>
        <v/>
      </c>
      <c r="AC42">
        <f>HYPERLINK("https://klasma.github.io/Logging_2425/tillsyn/A 36318-2024 tillsynsbegäran.docx", "A 36318-2024")</f>
        <v/>
      </c>
      <c r="AD42">
        <f>HYPERLINK("https://klasma.github.io/Logging_2425/tillsynsmail/A 36318-2024 tillsynsbegäran mail.docx", "A 36318-2024")</f>
        <v/>
      </c>
    </row>
    <row r="43" ht="15" customHeight="1">
      <c r="A43" t="inlineStr">
        <is>
          <t>A 21926-2026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46283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HYPERLINK("https://klasma.github.io/Logging_2425/artfynd/A 21926-2026 artfynd.xlsx", "A 21926-2026")</f>
        <v/>
      </c>
      <c r="X43">
        <f>HYPERLINK("https://klasma.github.io/Logging_2425/kartor/A 21926-2026 karta.png", "A 21926-2026")</f>
        <v/>
      </c>
      <c r="Y43">
        <f>HYPERLINK("https://klasma.github.io/Logging_2425/kartor_geotiff/A 21926-2026 georefererad karta.tif", "A 21926-2026")</f>
        <v/>
      </c>
      <c r="AA43">
        <f>HYPERLINK("https://klasma.github.io/Logging_2425/klagomål/A 21926-2026 FSC-klagomål.docx", "A 21926-2026")</f>
        <v/>
      </c>
      <c r="AB43">
        <f>HYPERLINK("https://klasma.github.io/Logging_2425/klagomålsmail/A 21926-2026 FSC-klagomål mail.docx", "A 21926-2026")</f>
        <v/>
      </c>
      <c r="AC43">
        <f>HYPERLINK("https://klasma.github.io/Logging_2425/tillsyn/A 21926-2026 tillsynsbegäran.docx", "A 21926-2026")</f>
        <v/>
      </c>
      <c r="AD43">
        <f>HYPERLINK("https://klasma.github.io/Logging_2425/tillsynsmail/A 21926-2026 tillsynsbegäran mail.docx", "A 21926-2026")</f>
        <v/>
      </c>
    </row>
    <row r="44" ht="15" customHeight="1">
      <c r="A44" t="inlineStr">
        <is>
          <t>A 12005-2023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44994</v>
      </c>
      <c r="E44" s="1" t="n">
        <v>46283</v>
      </c>
      <c r="F44" t="inlineStr">
        <is>
          <t>VÄSTERBOTTENS LÄN</t>
        </is>
      </c>
      <c r="G44" t="inlineStr">
        <is>
          <t>DOROTEA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HYPERLINK("https://klasma.github.io/Logging_2425/artfynd/A 12005-2023 artfynd.xlsx", "A 12005-2023")</f>
        <v/>
      </c>
      <c r="X44">
        <f>HYPERLINK("https://klasma.github.io/Logging_2425/kartor/A 12005-2023 karta.png", "A 12005-2023")</f>
        <v/>
      </c>
      <c r="Y44">
        <f>HYPERLINK("https://klasma.github.io/Logging_2425/kartor_geotiff/A 12005-2023 georefererad karta.tif", "A 12005-2023")</f>
        <v/>
      </c>
      <c r="AA44">
        <f>HYPERLINK("https://klasma.github.io/Logging_2425/klagomål/A 12005-2023 FSC-klagomål.docx", "A 12005-2023")</f>
        <v/>
      </c>
      <c r="AB44">
        <f>HYPERLINK("https://klasma.github.io/Logging_2425/klagomålsmail/A 12005-2023 FSC-klagomål mail.docx", "A 12005-2023")</f>
        <v/>
      </c>
      <c r="AC44">
        <f>HYPERLINK("https://klasma.github.io/Logging_2425/tillsyn/A 12005-2023 tillsynsbegäran.docx", "A 12005-2023")</f>
        <v/>
      </c>
      <c r="AD44">
        <f>HYPERLINK("https://klasma.github.io/Logging_2425/tillsynsmail/A 12005-2023 tillsynsbegäran mail.docx", "A 12005-2023")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46283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46283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57058-2024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46283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57058-2024 artfynd.xlsx", "A 57058-2024")</f>
        <v/>
      </c>
      <c r="X47">
        <f>HYPERLINK("https://klasma.github.io/Logging_2425/kartor/A 57058-2024 karta.png", "A 57058-2024")</f>
        <v/>
      </c>
      <c r="Y47">
        <f>HYPERLINK("https://klasma.github.io/Logging_2425/kartor_geotiff/A 57058-2024 georefererad karta.tif", "A 57058-2024")</f>
        <v/>
      </c>
      <c r="AA47">
        <f>HYPERLINK("https://klasma.github.io/Logging_2425/klagomål/A 57058-2024 FSC-klagomål.docx", "A 57058-2024")</f>
        <v/>
      </c>
      <c r="AB47">
        <f>HYPERLINK("https://klasma.github.io/Logging_2425/klagomålsmail/A 57058-2024 FSC-klagomål mail.docx", "A 57058-2024")</f>
        <v/>
      </c>
      <c r="AC47">
        <f>HYPERLINK("https://klasma.github.io/Logging_2425/tillsyn/A 57058-2024 tillsynsbegäran.docx", "A 57058-2024")</f>
        <v/>
      </c>
      <c r="AD47">
        <f>HYPERLINK("https://klasma.github.io/Logging_2425/tillsynsmail/A 57058-2024 tillsynsbegäran mail.docx", "A 57058-2024")</f>
        <v/>
      </c>
    </row>
    <row r="48" ht="15" customHeight="1">
      <c r="A48" t="inlineStr">
        <is>
          <t>A 53309-2022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44878</v>
      </c>
      <c r="E48" s="1" t="n">
        <v>46283</v>
      </c>
      <c r="F48" t="inlineStr">
        <is>
          <t>VÄSTERBOTTENS LÄN</t>
        </is>
      </c>
      <c r="G48" t="inlineStr">
        <is>
          <t>DOROTEA</t>
        </is>
      </c>
      <c r="I48" t="n">
        <v>6.6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Göktyta</t>
        </is>
      </c>
      <c r="W48">
        <f>HYPERLINK("https://klasma.github.io/Logging_2425/artfynd/A 53309-2022 artfynd.xlsx", "A 53309-2022")</f>
        <v/>
      </c>
      <c r="X48">
        <f>HYPERLINK("https://klasma.github.io/Logging_2425/kartor/A 53309-2022 karta.png", "A 53309-2022")</f>
        <v/>
      </c>
      <c r="Y48">
        <f>HYPERLINK("https://klasma.github.io/Logging_2425/kartor_geotiff/A 53309-2022 georefererad karta.tif", "A 53309-2022")</f>
        <v/>
      </c>
      <c r="AA48">
        <f>HYPERLINK("https://klasma.github.io/Logging_2425/klagomål/A 53309-2022 FSC-klagomål.docx", "A 53309-2022")</f>
        <v/>
      </c>
      <c r="AB48">
        <f>HYPERLINK("https://klasma.github.io/Logging_2425/klagomålsmail/A 53309-2022 FSC-klagomål mail.docx", "A 53309-2022")</f>
        <v/>
      </c>
      <c r="AC48">
        <f>HYPERLINK("https://klasma.github.io/Logging_2425/tillsyn/A 53309-2022 tillsynsbegäran.docx", "A 53309-2022")</f>
        <v/>
      </c>
      <c r="AD48">
        <f>HYPERLINK("https://klasma.github.io/Logging_2425/tillsynsmail/A 53309-2022 tillsynsbegäran mail.docx", "A 53309-2022")</f>
        <v/>
      </c>
      <c r="AE48">
        <f>HYPERLINK("https://klasma.github.io/Logging_2425/fåglar/A 53309-2022 prioriterade fågelarter.docx", "A 53309-2022")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46283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46283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1278-2024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45302</v>
      </c>
      <c r="E51" s="1" t="n">
        <v>46283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Gräddticka</t>
        </is>
      </c>
      <c r="W51">
        <f>HYPERLINK("https://klasma.github.io/Logging_2425/artfynd/A 1278-2024 artfynd.xlsx", "A 1278-2024")</f>
        <v/>
      </c>
      <c r="X51">
        <f>HYPERLINK("https://klasma.github.io/Logging_2425/kartor/A 1278-2024 karta.png", "A 1278-2024")</f>
        <v/>
      </c>
      <c r="Y51">
        <f>HYPERLINK("https://klasma.github.io/Logging_2425/kartor_geotiff/A 1278-2024 georefererad karta.tif", "A 1278-2024")</f>
        <v/>
      </c>
      <c r="AA51">
        <f>HYPERLINK("https://klasma.github.io/Logging_2425/klagomål/A 1278-2024 FSC-klagomål.docx", "A 1278-2024")</f>
        <v/>
      </c>
      <c r="AB51">
        <f>HYPERLINK("https://klasma.github.io/Logging_2425/klagomålsmail/A 1278-2024 FSC-klagomål mail.docx", "A 1278-2024")</f>
        <v/>
      </c>
      <c r="AC51">
        <f>HYPERLINK("https://klasma.github.io/Logging_2425/tillsyn/A 1278-2024 tillsynsbegäran.docx", "A 1278-2024")</f>
        <v/>
      </c>
      <c r="AD51">
        <f>HYPERLINK("https://klasma.github.io/Logging_2425/tillsynsmail/A 1278-2024 tillsynsbegäran mail.docx", "A 1278-2024")</f>
        <v/>
      </c>
    </row>
    <row r="52" ht="15" customHeight="1">
      <c r="A52" t="inlineStr">
        <is>
          <t>A 35297-2026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46283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35297-2026 artfynd.xlsx", "A 35297-2026")</f>
        <v/>
      </c>
      <c r="X52">
        <f>HYPERLINK("https://klasma.github.io/Logging_2425/kartor/A 35297-2026 karta.png", "A 35297-2026")</f>
        <v/>
      </c>
      <c r="Y52">
        <f>HYPERLINK("https://klasma.github.io/Logging_2425/kartor_geotiff/A 35297-2026 georefererad karta.tif", "A 35297-2026")</f>
        <v/>
      </c>
      <c r="AA52">
        <f>HYPERLINK("https://klasma.github.io/Logging_2425/klagomål/A 35297-2026 FSC-klagomål.docx", "A 35297-2026")</f>
        <v/>
      </c>
      <c r="AB52">
        <f>HYPERLINK("https://klasma.github.io/Logging_2425/klagomålsmail/A 35297-2026 FSC-klagomål mail.docx", "A 35297-2026")</f>
        <v/>
      </c>
      <c r="AC52">
        <f>HYPERLINK("https://klasma.github.io/Logging_2425/tillsyn/A 35297-2026 tillsynsbegäran.docx", "A 35297-2026")</f>
        <v/>
      </c>
      <c r="AD52">
        <f>HYPERLINK("https://klasma.github.io/Logging_2425/tillsynsmail/A 35297-2026 tillsynsbegäran mail.docx", "A 35297-2026")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46283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57060-2024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46283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57060-2024 artfynd.xlsx", "A 57060-2024")</f>
        <v/>
      </c>
      <c r="X54">
        <f>HYPERLINK("https://klasma.github.io/Logging_2425/kartor/A 57060-2024 karta.png", "A 57060-2024")</f>
        <v/>
      </c>
      <c r="Y54">
        <f>HYPERLINK("https://klasma.github.io/Logging_2425/kartor_geotiff/A 57060-2024 georefererad karta.tif", "A 57060-2024")</f>
        <v/>
      </c>
      <c r="AA54">
        <f>HYPERLINK("https://klasma.github.io/Logging_2425/klagomål/A 57060-2024 FSC-klagomål.docx", "A 57060-2024")</f>
        <v/>
      </c>
      <c r="AB54">
        <f>HYPERLINK("https://klasma.github.io/Logging_2425/klagomålsmail/A 57060-2024 FSC-klagomål mail.docx", "A 57060-2024")</f>
        <v/>
      </c>
      <c r="AC54">
        <f>HYPERLINK("https://klasma.github.io/Logging_2425/tillsyn/A 57060-2024 tillsynsbegäran.docx", "A 57060-2024")</f>
        <v/>
      </c>
      <c r="AD54">
        <f>HYPERLINK("https://klasma.github.io/Logging_2425/tillsynsmail/A 57060-2024 tillsynsbegäran mail.docx", "A 57060-2024")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46283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46283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46283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46283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46283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46283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46283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46283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46283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46283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46283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46283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46283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46283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46283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27199-2024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45471</v>
      </c>
      <c r="E70" s="1" t="n">
        <v>46283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45734</v>
      </c>
      <c r="E71" s="1" t="n">
        <v>46283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46283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46283</v>
      </c>
      <c r="F73" t="inlineStr">
        <is>
          <t>VÄSTERBOTTENS LÄN</t>
        </is>
      </c>
      <c r="G73" t="inlineStr">
        <is>
          <t>DOROTEA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45228</v>
      </c>
      <c r="E74" s="1" t="n">
        <v>46283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46283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46283</v>
      </c>
      <c r="F76" t="inlineStr">
        <is>
          <t>VÄSTERBOTTENS LÄN</t>
        </is>
      </c>
      <c r="G76" t="inlineStr">
        <is>
          <t>DOROTEA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45198</v>
      </c>
      <c r="E77" s="1" t="n">
        <v>46283</v>
      </c>
      <c r="F77" t="inlineStr">
        <is>
          <t>VÄSTERBOTTENS LÄN</t>
        </is>
      </c>
      <c r="G77" t="inlineStr">
        <is>
          <t>DOROTEA</t>
        </is>
      </c>
      <c r="H77" t="inlineStr">
        <is>
          <t>Övriga statliga verk och myndigheter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46283</v>
      </c>
      <c r="F78" t="inlineStr">
        <is>
          <t>VÄSTERBOTTENS LÄN</t>
        </is>
      </c>
      <c r="G78" t="inlineStr">
        <is>
          <t>DOROTEA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46283</v>
      </c>
      <c r="F79" t="inlineStr">
        <is>
          <t>VÄSTERBOTTENS LÄN</t>
        </is>
      </c>
      <c r="G79" t="inlineStr">
        <is>
          <t>DOROTEA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45224</v>
      </c>
      <c r="E80" s="1" t="n">
        <v>46283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46283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44824</v>
      </c>
      <c r="E82" s="1" t="n">
        <v>46283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46283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46283</v>
      </c>
      <c r="F84" t="inlineStr">
        <is>
          <t>VÄSTERBOTTENS LÄN</t>
        </is>
      </c>
      <c r="G84" t="inlineStr">
        <is>
          <t>DOROTEA</t>
        </is>
      </c>
      <c r="I84" t="n">
        <v>14.8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22946-2024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46283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4958-2023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44956</v>
      </c>
      <c r="E86" s="1" t="n">
        <v>46283</v>
      </c>
      <c r="F86" t="inlineStr">
        <is>
          <t>VÄSTERBOTTENS LÄN</t>
        </is>
      </c>
      <c r="G86" t="inlineStr">
        <is>
          <t>DOROTEA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57070-2023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45244</v>
      </c>
      <c r="E87" s="1" t="n">
        <v>46283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44582</v>
      </c>
      <c r="E88" s="1" t="n">
        <v>46283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46283</v>
      </c>
      <c r="F89" t="inlineStr">
        <is>
          <t>VÄSTERBOTTENS LÄN</t>
        </is>
      </c>
      <c r="G89" t="inlineStr">
        <is>
          <t>DOROTEA</t>
        </is>
      </c>
      <c r="H89" t="inlineStr">
        <is>
          <t>Sveaskog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46283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46283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59418-2023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45253</v>
      </c>
      <c r="E92" s="1" t="n">
        <v>46283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45488</v>
      </c>
      <c r="E93" s="1" t="n">
        <v>46283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45483</v>
      </c>
      <c r="E94" s="1" t="n">
        <v>46283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40435-2023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45169</v>
      </c>
      <c r="E95" s="1" t="n">
        <v>46283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44484</v>
      </c>
      <c r="E96" s="1" t="n">
        <v>46283</v>
      </c>
      <c r="F96" t="inlineStr">
        <is>
          <t>VÄSTERBOTTENS LÄN</t>
        </is>
      </c>
      <c r="G96" t="inlineStr">
        <is>
          <t>DOROTEA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46283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45491</v>
      </c>
      <c r="E98" s="1" t="n">
        <v>46283</v>
      </c>
      <c r="F98" t="inlineStr">
        <is>
          <t>VÄSTERBOTTENS LÄN</t>
        </is>
      </c>
      <c r="G98" t="inlineStr">
        <is>
          <t>DOROTEA</t>
        </is>
      </c>
      <c r="H98" t="inlineStr">
        <is>
          <t>Sveaskog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74013-2021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46283</v>
      </c>
      <c r="F99" t="inlineStr">
        <is>
          <t>VÄSTERBOTTENS LÄN</t>
        </is>
      </c>
      <c r="G99" t="inlineStr">
        <is>
          <t>DOROTEA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44889</v>
      </c>
      <c r="E100" s="1" t="n">
        <v>46283</v>
      </c>
      <c r="F100" t="inlineStr">
        <is>
          <t>VÄSTERBOTTENS LÄN</t>
        </is>
      </c>
      <c r="G100" t="inlineStr">
        <is>
          <t>DOROTEA</t>
        </is>
      </c>
      <c r="I100" t="n">
        <v>15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44925</v>
      </c>
      <c r="E101" s="1" t="n">
        <v>46283</v>
      </c>
      <c r="F101" t="inlineStr">
        <is>
          <t>VÄSTERBOTTENS LÄN</t>
        </is>
      </c>
      <c r="G101" t="inlineStr">
        <is>
          <t>DOROTEA</t>
        </is>
      </c>
      <c r="I101" t="n">
        <v>22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46283</v>
      </c>
      <c r="F102" t="inlineStr">
        <is>
          <t>VÄSTERBOTTENS LÄN</t>
        </is>
      </c>
      <c r="G102" t="inlineStr">
        <is>
          <t>DOROTEA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14631-2025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46283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45565</v>
      </c>
      <c r="E104" s="1" t="n">
        <v>46283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29258-2025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46283</v>
      </c>
      <c r="F105" t="inlineStr">
        <is>
          <t>VÄSTERBOTTENS LÄN</t>
        </is>
      </c>
      <c r="G105" t="inlineStr">
        <is>
          <t>DOROTEA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45552</v>
      </c>
      <c r="E106" s="1" t="n">
        <v>46283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46283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45883</v>
      </c>
      <c r="E108" s="1" t="n">
        <v>46283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7429-2023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44971</v>
      </c>
      <c r="E109" s="1" t="n">
        <v>46283</v>
      </c>
      <c r="F109" t="inlineStr">
        <is>
          <t>VÄSTERBOTTENS LÄN</t>
        </is>
      </c>
      <c r="G109" t="inlineStr">
        <is>
          <t>DOROTEA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46072</v>
      </c>
      <c r="E110" s="1" t="n">
        <v>46283</v>
      </c>
      <c r="F110" t="inlineStr">
        <is>
          <t>VÄSTERBOTTENS LÄN</t>
        </is>
      </c>
      <c r="G110" t="inlineStr">
        <is>
          <t>DOROTEA</t>
        </is>
      </c>
      <c r="I110" t="n">
        <v>20.1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46283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46283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46283</v>
      </c>
      <c r="F113" t="inlineStr">
        <is>
          <t>VÄSTERBOTTENS LÄN</t>
        </is>
      </c>
      <c r="G113" t="inlineStr">
        <is>
          <t>DOROTEA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46283</v>
      </c>
      <c r="F114" t="inlineStr">
        <is>
          <t>VÄSTERBOTTENS LÄN</t>
        </is>
      </c>
      <c r="G114" t="inlineStr">
        <is>
          <t>DOROTEA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45071</v>
      </c>
      <c r="E115" s="1" t="n">
        <v>46283</v>
      </c>
      <c r="F115" t="inlineStr">
        <is>
          <t>VÄSTERBOTTENS LÄN</t>
        </is>
      </c>
      <c r="G115" t="inlineStr">
        <is>
          <t>DOROTEA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46283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46085</v>
      </c>
      <c r="E117" s="1" t="n">
        <v>46283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46086</v>
      </c>
      <c r="E118" s="1" t="n">
        <v>46283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46283</v>
      </c>
      <c r="F119" t="inlineStr">
        <is>
          <t>VÄSTERBOTTENS LÄN</t>
        </is>
      </c>
      <c r="G119" t="inlineStr">
        <is>
          <t>DOROTEA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45796</v>
      </c>
      <c r="E120" s="1" t="n">
        <v>46283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46283</v>
      </c>
      <c r="F121" t="inlineStr">
        <is>
          <t>VÄSTERBOTTENS LÄN</t>
        </is>
      </c>
      <c r="G121" t="inlineStr">
        <is>
          <t>DOROTEA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45755</v>
      </c>
      <c r="E122" s="1" t="n">
        <v>46283</v>
      </c>
      <c r="F122" t="inlineStr">
        <is>
          <t>VÄSTERBOTTENS LÄN</t>
        </is>
      </c>
      <c r="G122" t="inlineStr">
        <is>
          <t>DOROTEA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45852</v>
      </c>
      <c r="E123" s="1" t="n">
        <v>46283</v>
      </c>
      <c r="F123" t="inlineStr">
        <is>
          <t>VÄSTERBOTTENS LÄN</t>
        </is>
      </c>
      <c r="G123" t="inlineStr">
        <is>
          <t>DOROTEA</t>
        </is>
      </c>
      <c r="H123" t="inlineStr">
        <is>
          <t>Allmännings- och besparingsskogar</t>
        </is>
      </c>
      <c r="I123" t="n">
        <v>22.1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45852</v>
      </c>
      <c r="E124" s="1" t="n">
        <v>46283</v>
      </c>
      <c r="F124" t="inlineStr">
        <is>
          <t>VÄSTERBOTTENS LÄN</t>
        </is>
      </c>
      <c r="G124" t="inlineStr">
        <is>
          <t>DOROTEA</t>
        </is>
      </c>
      <c r="H124" t="inlineStr">
        <is>
          <t>Allmännings- och besparingsskogar</t>
        </is>
      </c>
      <c r="I124" t="n">
        <v>20.3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25028-2024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45461</v>
      </c>
      <c r="E125" s="1" t="n">
        <v>46283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46283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46283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46283</v>
      </c>
      <c r="F128" t="inlineStr">
        <is>
          <t>VÄSTERBOTTENS LÄN</t>
        </is>
      </c>
      <c r="G128" t="inlineStr">
        <is>
          <t>DOROTEA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45849</v>
      </c>
      <c r="E129" s="1" t="n">
        <v>46283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45852</v>
      </c>
      <c r="E130" s="1" t="n">
        <v>46283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45855</v>
      </c>
      <c r="E131" s="1" t="n">
        <v>46283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46283</v>
      </c>
      <c r="F132" t="inlineStr">
        <is>
          <t>VÄSTERBOTTENS LÄN</t>
        </is>
      </c>
      <c r="G132" t="inlineStr">
        <is>
          <t>DOROTEA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45855</v>
      </c>
      <c r="E133" s="1" t="n">
        <v>46283</v>
      </c>
      <c r="F133" t="inlineStr">
        <is>
          <t>VÄSTERBOTTENS LÄN</t>
        </is>
      </c>
      <c r="G133" t="inlineStr">
        <is>
          <t>DOROTEA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45855</v>
      </c>
      <c r="E134" s="1" t="n">
        <v>46283</v>
      </c>
      <c r="F134" t="inlineStr">
        <is>
          <t>VÄSTERBOTTENS LÄN</t>
        </is>
      </c>
      <c r="G134" t="inlineStr">
        <is>
          <t>DOROTEA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46104</v>
      </c>
      <c r="E135" s="1" t="n">
        <v>46283</v>
      </c>
      <c r="F135" t="inlineStr">
        <is>
          <t>VÄSTERBOTTENS LÄN</t>
        </is>
      </c>
      <c r="G135" t="inlineStr">
        <is>
          <t>DOROTEA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4617-2023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44956</v>
      </c>
      <c r="E136" s="1" t="n">
        <v>46283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36125-2025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45866</v>
      </c>
      <c r="E137" s="1" t="n">
        <v>46283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46107</v>
      </c>
      <c r="E138" s="1" t="n">
        <v>46283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45866</v>
      </c>
      <c r="E139" s="1" t="n">
        <v>46283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46283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46283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33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46283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46283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45519</v>
      </c>
      <c r="E144" s="1" t="n">
        <v>46283</v>
      </c>
      <c r="F144" t="inlineStr">
        <is>
          <t>VÄSTERBOTTENS LÄN</t>
        </is>
      </c>
      <c r="G144" t="inlineStr">
        <is>
          <t>DOROTEA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46283</v>
      </c>
      <c r="F145" t="inlineStr">
        <is>
          <t>VÄSTERBOTTENS LÄN</t>
        </is>
      </c>
      <c r="G145" t="inlineStr">
        <is>
          <t>DOROTEA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46283</v>
      </c>
      <c r="F146" t="inlineStr">
        <is>
          <t>VÄSTERBOTTENS LÄN</t>
        </is>
      </c>
      <c r="G146" t="inlineStr">
        <is>
          <t>DOROTEA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45893</v>
      </c>
      <c r="E147" s="1" t="n">
        <v>46283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46283</v>
      </c>
      <c r="F148" t="inlineStr">
        <is>
          <t>VÄSTERBOTTENS LÄN</t>
        </is>
      </c>
      <c r="G148" t="inlineStr">
        <is>
          <t>DOROTEA</t>
        </is>
      </c>
      <c r="H148" t="inlineStr">
        <is>
          <t>Kommuner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46114</v>
      </c>
      <c r="E149" s="1" t="n">
        <v>46283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36844-2025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45874</v>
      </c>
      <c r="E150" s="1" t="n">
        <v>46283</v>
      </c>
      <c r="F150" t="inlineStr">
        <is>
          <t>VÄSTERBOTTENS LÄN</t>
        </is>
      </c>
      <c r="G150" t="inlineStr">
        <is>
          <t>DOROTEA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46283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20.3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46120</v>
      </c>
      <c r="E152" s="1" t="n">
        <v>46283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45876</v>
      </c>
      <c r="E153" s="1" t="n">
        <v>46283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45875</v>
      </c>
      <c r="E154" s="1" t="n">
        <v>46283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46283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46125</v>
      </c>
      <c r="E156" s="1" t="n">
        <v>46283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46123</v>
      </c>
      <c r="E157" s="1" t="n">
        <v>46283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46125</v>
      </c>
      <c r="E158" s="1" t="n">
        <v>46283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18.3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46125</v>
      </c>
      <c r="E159" s="1" t="n">
        <v>46283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45877</v>
      </c>
      <c r="E160" s="1" t="n">
        <v>46283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45712</v>
      </c>
      <c r="E161" s="1" t="n">
        <v>46283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38100-2025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45882</v>
      </c>
      <c r="E162" s="1" t="n">
        <v>46283</v>
      </c>
      <c r="F162" t="inlineStr">
        <is>
          <t>VÄSTERBOTTENS LÄN</t>
        </is>
      </c>
      <c r="G162" t="inlineStr">
        <is>
          <t>DOROTEA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46283</v>
      </c>
      <c r="F163" t="inlineStr">
        <is>
          <t>VÄSTERBOTTENS LÄN</t>
        </is>
      </c>
      <c r="G163" t="inlineStr">
        <is>
          <t>DOROTEA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46126</v>
      </c>
      <c r="E164" s="1" t="n">
        <v>46283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46283</v>
      </c>
      <c r="F165" t="inlineStr">
        <is>
          <t>VÄSTERBOTTENS LÄN</t>
        </is>
      </c>
      <c r="G165" t="inlineStr">
        <is>
          <t>DOROTEA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18310-2026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46126</v>
      </c>
      <c r="E166" s="1" t="n">
        <v>46283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46283</v>
      </c>
      <c r="F167" t="inlineStr">
        <is>
          <t>VÄSTERBOTTENS LÄN</t>
        </is>
      </c>
      <c r="G167" t="inlineStr">
        <is>
          <t>DOROTEA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46283</v>
      </c>
      <c r="F168" t="inlineStr">
        <is>
          <t>VÄSTERBOTTENS LÄN</t>
        </is>
      </c>
      <c r="G168" t="inlineStr">
        <is>
          <t>DOROTEA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60163-2024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46283</v>
      </c>
      <c r="F169" t="inlineStr">
        <is>
          <t>VÄSTERBOTTENS LÄN</t>
        </is>
      </c>
      <c r="G169" t="inlineStr">
        <is>
          <t>DOROTEA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46283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45125</v>
      </c>
      <c r="E171" s="1" t="n">
        <v>46283</v>
      </c>
      <c r="F171" t="inlineStr">
        <is>
          <t>VÄSTERBOTTENS LÄN</t>
        </is>
      </c>
      <c r="G171" t="inlineStr">
        <is>
          <t>DOROTEA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45182</v>
      </c>
      <c r="E172" s="1" t="n">
        <v>46283</v>
      </c>
      <c r="F172" t="inlineStr">
        <is>
          <t>VÄSTERBOTTENS LÄN</t>
        </is>
      </c>
      <c r="G172" t="inlineStr">
        <is>
          <t>DOROTEA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45904</v>
      </c>
      <c r="E173" s="1" t="n">
        <v>46283</v>
      </c>
      <c r="F173" t="inlineStr">
        <is>
          <t>VÄSTERBOTTENS LÄN</t>
        </is>
      </c>
      <c r="G173" t="inlineStr">
        <is>
          <t>DOROTEA</t>
        </is>
      </c>
      <c r="H173" t="inlineStr">
        <is>
          <t>Övriga Aktiebolag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46283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46133</v>
      </c>
      <c r="E175" s="1" t="n">
        <v>46283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46133</v>
      </c>
      <c r="E176" s="1" t="n">
        <v>46283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46133</v>
      </c>
      <c r="E177" s="1" t="n">
        <v>46283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46283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46283</v>
      </c>
      <c r="F179" t="inlineStr">
        <is>
          <t>VÄSTERBOTTENS LÄN</t>
        </is>
      </c>
      <c r="G179" t="inlineStr">
        <is>
          <t>DOROTEA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46283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45149</v>
      </c>
      <c r="E181" s="1" t="n">
        <v>46283</v>
      </c>
      <c r="F181" t="inlineStr">
        <is>
          <t>VÄSTERBOTTENS LÄN</t>
        </is>
      </c>
      <c r="G181" t="inlineStr">
        <is>
          <t>DOROTEA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46283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40434-2023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45169</v>
      </c>
      <c r="E183" s="1" t="n">
        <v>46283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46283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45198</v>
      </c>
      <c r="E185" s="1" t="n">
        <v>46283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45912</v>
      </c>
      <c r="E186" s="1" t="n">
        <v>46283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41104-2023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45170</v>
      </c>
      <c r="E187" s="1" t="n">
        <v>46283</v>
      </c>
      <c r="F187" t="inlineStr">
        <is>
          <t>VÄSTERBOTTENS LÄN</t>
        </is>
      </c>
      <c r="G187" t="inlineStr">
        <is>
          <t>DOROTEA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44282-2025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45916</v>
      </c>
      <c r="E188" s="1" t="n">
        <v>46283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46283</v>
      </c>
      <c r="F189" t="inlineStr">
        <is>
          <t>VÄSTERBOTTENS LÄN</t>
        </is>
      </c>
      <c r="G189" t="inlineStr">
        <is>
          <t>DOROTEA</t>
        </is>
      </c>
      <c r="I189" t="n">
        <v>13.3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44194-2025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46283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46283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44395-2025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46283</v>
      </c>
      <c r="F192" t="inlineStr">
        <is>
          <t>VÄSTERBOTTENS LÄN</t>
        </is>
      </c>
      <c r="G192" t="inlineStr">
        <is>
          <t>DOROTEA</t>
        </is>
      </c>
      <c r="H192" t="inlineStr">
        <is>
          <t>Övriga statliga verk och myndigheter</t>
        </is>
      </c>
      <c r="I192" t="n">
        <v>15.2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34503-2025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46283</v>
      </c>
      <c r="F193" t="inlineStr">
        <is>
          <t>VÄSTERBOTTENS LÄN</t>
        </is>
      </c>
      <c r="G193" t="inlineStr">
        <is>
          <t>DOROTEA</t>
        </is>
      </c>
      <c r="I193" t="n">
        <v>14.7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46283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46283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46283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59007-2024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45636</v>
      </c>
      <c r="E197" s="1" t="n">
        <v>46283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46283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46283</v>
      </c>
      <c r="F199" t="inlineStr">
        <is>
          <t>VÄSTERBOTTENS LÄN</t>
        </is>
      </c>
      <c r="G199" t="inlineStr">
        <is>
          <t>DOROTEA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46283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45475</v>
      </c>
      <c r="E201" s="1" t="n">
        <v>46283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45866</v>
      </c>
      <c r="E202" s="1" t="n">
        <v>46283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45295</v>
      </c>
      <c r="E203" s="1" t="n">
        <v>46283</v>
      </c>
      <c r="F203" t="inlineStr">
        <is>
          <t>VÄSTERBOTTENS LÄN</t>
        </is>
      </c>
      <c r="G203" t="inlineStr">
        <is>
          <t>DOROTEA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46283</v>
      </c>
      <c r="F204" t="inlineStr">
        <is>
          <t>VÄSTERBOTTENS LÄN</t>
        </is>
      </c>
      <c r="G204" t="inlineStr">
        <is>
          <t>DOROTEA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46283</v>
      </c>
      <c r="F205" t="inlineStr">
        <is>
          <t>VÄSTERBOTTENS LÄN</t>
        </is>
      </c>
      <c r="G205" t="inlineStr">
        <is>
          <t>DOROTEA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57170-2025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46283</v>
      </c>
      <c r="F206" t="inlineStr">
        <is>
          <t>VÄSTERBOTTENS LÄN</t>
        </is>
      </c>
      <c r="G206" t="inlineStr">
        <is>
          <t>DOROTEA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20321-2026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46283</v>
      </c>
      <c r="F207" t="inlineStr">
        <is>
          <t>VÄSTERBOTTENS LÄN</t>
        </is>
      </c>
      <c r="G207" t="inlineStr">
        <is>
          <t>DOROTEA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46283</v>
      </c>
      <c r="F208" t="inlineStr">
        <is>
          <t>VÄSTERBOTTENS LÄN</t>
        </is>
      </c>
      <c r="G208" t="inlineStr">
        <is>
          <t>DOROTEA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45013</v>
      </c>
      <c r="E209" s="1" t="n">
        <v>46283</v>
      </c>
      <c r="F209" t="inlineStr">
        <is>
          <t>VÄSTERBOTTENS LÄN</t>
        </is>
      </c>
      <c r="G209" t="inlineStr">
        <is>
          <t>DOROTEA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46013</v>
      </c>
      <c r="E210" s="1" t="n">
        <v>46283</v>
      </c>
      <c r="F210" t="inlineStr">
        <is>
          <t>VÄSTERBOTTENS LÄN</t>
        </is>
      </c>
      <c r="G210" t="inlineStr">
        <is>
          <t>DOROTEA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46283</v>
      </c>
      <c r="F211" t="inlineStr">
        <is>
          <t>VÄSTERBOTTENS LÄN</t>
        </is>
      </c>
      <c r="G211" t="inlineStr">
        <is>
          <t>DOROTEA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45614</v>
      </c>
      <c r="E212" s="1" t="n">
        <v>46283</v>
      </c>
      <c r="F212" t="inlineStr">
        <is>
          <t>VÄSTERBOTTENS LÄN</t>
        </is>
      </c>
      <c r="G212" t="inlineStr">
        <is>
          <t>DOROTEA</t>
        </is>
      </c>
      <c r="I212" t="n">
        <v>31.7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46283</v>
      </c>
      <c r="F213" t="inlineStr">
        <is>
          <t>VÄSTERBOTTENS LÄN</t>
        </is>
      </c>
      <c r="G213" t="inlineStr">
        <is>
          <t>DOROTEA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44888</v>
      </c>
      <c r="E214" s="1" t="n">
        <v>46283</v>
      </c>
      <c r="F214" t="inlineStr">
        <is>
          <t>VÄSTERBOTTENS LÄN</t>
        </is>
      </c>
      <c r="G214" t="inlineStr">
        <is>
          <t>DOROTEA</t>
        </is>
      </c>
      <c r="I214" t="n">
        <v>15.8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46283</v>
      </c>
      <c r="F215" t="inlineStr">
        <is>
          <t>VÄSTERBOTTENS LÄN</t>
        </is>
      </c>
      <c r="G215" t="inlineStr">
        <is>
          <t>DOROTEA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45611</v>
      </c>
      <c r="E216" s="1" t="n">
        <v>46283</v>
      </c>
      <c r="F216" t="inlineStr">
        <is>
          <t>VÄSTERBOTTENS LÄN</t>
        </is>
      </c>
      <c r="G216" t="inlineStr">
        <is>
          <t>DOROTEA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46283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46283</v>
      </c>
      <c r="F218" t="inlineStr">
        <is>
          <t>VÄSTERBOTTENS LÄN</t>
        </is>
      </c>
      <c r="G218" t="inlineStr">
        <is>
          <t>DOROTEA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46283</v>
      </c>
      <c r="F219" t="inlineStr">
        <is>
          <t>VÄSTERBOTTENS LÄN</t>
        </is>
      </c>
      <c r="G219" t="inlineStr">
        <is>
          <t>DOROTEA</t>
        </is>
      </c>
      <c r="I219" t="n">
        <v>13.3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45111</v>
      </c>
      <c r="E220" s="1" t="n">
        <v>46283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45876</v>
      </c>
      <c r="E221" s="1" t="n">
        <v>46283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45351</v>
      </c>
      <c r="E222" s="1" t="n">
        <v>46283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45714</v>
      </c>
      <c r="E223" s="1" t="n">
        <v>46283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46283</v>
      </c>
      <c r="F224" t="inlineStr">
        <is>
          <t>VÄSTERBOTTENS LÄN</t>
        </is>
      </c>
      <c r="G224" t="inlineStr">
        <is>
          <t>DOROTEA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46139</v>
      </c>
      <c r="E225" s="1" t="n">
        <v>46283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46136</v>
      </c>
      <c r="E226" s="1" t="n">
        <v>46283</v>
      </c>
      <c r="F226" t="inlineStr">
        <is>
          <t>VÄSTERBOTTENS LÄN</t>
        </is>
      </c>
      <c r="G226" t="inlineStr">
        <is>
          <t>DOROTEA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45678</v>
      </c>
      <c r="E227" s="1" t="n">
        <v>46283</v>
      </c>
      <c r="F227" t="inlineStr">
        <is>
          <t>VÄSTERBOTTENS LÄN</t>
        </is>
      </c>
      <c r="G227" t="inlineStr">
        <is>
          <t>DOROTEA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46283</v>
      </c>
      <c r="F228" t="inlineStr">
        <is>
          <t>VÄSTERBOTTENS LÄN</t>
        </is>
      </c>
      <c r="G228" t="inlineStr">
        <is>
          <t>DOROTEA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46283</v>
      </c>
      <c r="F229" t="inlineStr">
        <is>
          <t>VÄSTERBOTTENS LÄN</t>
        </is>
      </c>
      <c r="G229" t="inlineStr">
        <is>
          <t>DOROTEA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46283</v>
      </c>
      <c r="F230" t="inlineStr">
        <is>
          <t>VÄSTERBOTTENS LÄN</t>
        </is>
      </c>
      <c r="G230" t="inlineStr">
        <is>
          <t>DOROTEA</t>
        </is>
      </c>
      <c r="I230" t="n">
        <v>21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46141</v>
      </c>
      <c r="E231" s="1" t="n">
        <v>46283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20290-2026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46136</v>
      </c>
      <c r="E232" s="1" t="n">
        <v>46283</v>
      </c>
      <c r="F232" t="inlineStr">
        <is>
          <t>VÄSTERBOTTENS LÄN</t>
        </is>
      </c>
      <c r="G232" t="inlineStr">
        <is>
          <t>DOROTEA</t>
        </is>
      </c>
      <c r="I232" t="n">
        <v>17.8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46146</v>
      </c>
      <c r="E233" s="1" t="n">
        <v>46283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44568</v>
      </c>
      <c r="E234" s="1" t="n">
        <v>46283</v>
      </c>
      <c r="F234" t="inlineStr">
        <is>
          <t>VÄSTERBOTTENS LÄN</t>
        </is>
      </c>
      <c r="G234" t="inlineStr">
        <is>
          <t>DOROTEA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21152-2026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46283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46147</v>
      </c>
      <c r="E236" s="1" t="n">
        <v>46283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46147</v>
      </c>
      <c r="E237" s="1" t="n">
        <v>46283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21749-2026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46149</v>
      </c>
      <c r="E238" s="1" t="n">
        <v>46283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21812-2026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46283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46283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46283</v>
      </c>
      <c r="F241" t="inlineStr">
        <is>
          <t>VÄSTERBOTTENS LÄN</t>
        </is>
      </c>
      <c r="G241" t="inlineStr">
        <is>
          <t>DOROTEA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46150</v>
      </c>
      <c r="E242" s="1" t="n">
        <v>46283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46283</v>
      </c>
      <c r="F243" t="inlineStr">
        <is>
          <t>VÄSTERBOTTENS LÄN</t>
        </is>
      </c>
      <c r="G243" t="inlineStr">
        <is>
          <t>DOROTEA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46283</v>
      </c>
      <c r="F244" t="inlineStr">
        <is>
          <t>VÄSTERBOTTENS LÄN</t>
        </is>
      </c>
      <c r="G244" t="inlineStr">
        <is>
          <t>DOROTEA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46283</v>
      </c>
      <c r="F245" t="inlineStr">
        <is>
          <t>VÄSTERBOTTENS LÄN</t>
        </is>
      </c>
      <c r="G245" t="inlineStr">
        <is>
          <t>DOROTEA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46283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22128-2026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46153</v>
      </c>
      <c r="E247" s="1" t="n">
        <v>46283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45036</v>
      </c>
      <c r="E248" s="1" t="n">
        <v>46283</v>
      </c>
      <c r="F248" t="inlineStr">
        <is>
          <t>VÄSTERBOTTENS LÄN</t>
        </is>
      </c>
      <c r="G248" t="inlineStr">
        <is>
          <t>DOROTEA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44888</v>
      </c>
      <c r="E249" s="1" t="n">
        <v>46283</v>
      </c>
      <c r="F249" t="inlineStr">
        <is>
          <t>VÄSTERBOTTENS LÄN</t>
        </is>
      </c>
      <c r="G249" t="inlineStr">
        <is>
          <t>DOROTEA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46283</v>
      </c>
      <c r="F250" t="inlineStr">
        <is>
          <t>VÄSTERBOTTENS LÄN</t>
        </is>
      </c>
      <c r="G250" t="inlineStr">
        <is>
          <t>DOROTEA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22214-2026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46283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44960</v>
      </c>
      <c r="E252" s="1" t="n">
        <v>46283</v>
      </c>
      <c r="F252" t="inlineStr">
        <is>
          <t>VÄSTERBOTTENS LÄN</t>
        </is>
      </c>
      <c r="G252" t="inlineStr">
        <is>
          <t>DOROTEA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46283</v>
      </c>
      <c r="F253" t="inlineStr">
        <is>
          <t>VÄSTERBOTTENS LÄN</t>
        </is>
      </c>
      <c r="G253" t="inlineStr">
        <is>
          <t>DOROTEA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45561</v>
      </c>
      <c r="E254" s="1" t="n">
        <v>46283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55919-2023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45239</v>
      </c>
      <c r="E255" s="1" t="n">
        <v>46283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45069</v>
      </c>
      <c r="E256" s="1" t="n">
        <v>46283</v>
      </c>
      <c r="F256" t="inlineStr">
        <is>
          <t>VÄSTERBOTTENS LÄN</t>
        </is>
      </c>
      <c r="G256" t="inlineStr">
        <is>
          <t>DOROTEA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22650-2026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46155</v>
      </c>
      <c r="E257" s="1" t="n">
        <v>46283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46283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46283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46160</v>
      </c>
      <c r="E260" s="1" t="n">
        <v>46283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38377-2023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45161</v>
      </c>
      <c r="E261" s="1" t="n">
        <v>46283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45882</v>
      </c>
      <c r="E262" s="1" t="n">
        <v>46283</v>
      </c>
      <c r="F262" t="inlineStr">
        <is>
          <t>VÄSTERBOTTENS LÄN</t>
        </is>
      </c>
      <c r="G262" t="inlineStr">
        <is>
          <t>DOROTEA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46283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9.800000000000001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45505</v>
      </c>
      <c r="E264" s="1" t="n">
        <v>46283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23336-2026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46283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46283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30461-2024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45491</v>
      </c>
      <c r="E267" s="1" t="n">
        <v>46283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45962</v>
      </c>
      <c r="E268" s="1" t="n">
        <v>46283</v>
      </c>
      <c r="F268" t="inlineStr">
        <is>
          <t>VÄSTERBOTTENS LÄN</t>
        </is>
      </c>
      <c r="G268" t="inlineStr">
        <is>
          <t>DOROTEA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44979</v>
      </c>
      <c r="E269" s="1" t="n">
        <v>46283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23214-2026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46162</v>
      </c>
      <c r="E270" s="1" t="n">
        <v>46283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46162</v>
      </c>
      <c r="E271" s="1" t="n">
        <v>46283</v>
      </c>
      <c r="F271" t="inlineStr">
        <is>
          <t>VÄSTERBOTTENS LÄN</t>
        </is>
      </c>
      <c r="G271" t="inlineStr">
        <is>
          <t>DOROTEA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46283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50582-2024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45600</v>
      </c>
      <c r="E273" s="1" t="n">
        <v>46283</v>
      </c>
      <c r="F273" t="inlineStr">
        <is>
          <t>VÄSTERBOTTENS LÄN</t>
        </is>
      </c>
      <c r="G273" t="inlineStr">
        <is>
          <t>DOROTEA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46283</v>
      </c>
      <c r="F274" t="inlineStr">
        <is>
          <t>VÄSTERBOTTENS LÄN</t>
        </is>
      </c>
      <c r="G274" t="inlineStr">
        <is>
          <t>DOROTEA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46283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45539</v>
      </c>
      <c r="E276" s="1" t="n">
        <v>46283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45036</v>
      </c>
      <c r="E277" s="1" t="n">
        <v>46283</v>
      </c>
      <c r="F277" t="inlineStr">
        <is>
          <t>VÄSTERBOTTENS LÄN</t>
        </is>
      </c>
      <c r="G277" t="inlineStr">
        <is>
          <t>DOROTEA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29645-2023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46283</v>
      </c>
      <c r="F278" t="inlineStr">
        <is>
          <t>VÄSTERBOTTENS LÄN</t>
        </is>
      </c>
      <c r="G278" t="inlineStr">
        <is>
          <t>DOROTEA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46283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46176</v>
      </c>
      <c r="E280" s="1" t="n">
        <v>46283</v>
      </c>
      <c r="F280" t="inlineStr">
        <is>
          <t>VÄSTERBOTTENS LÄN</t>
        </is>
      </c>
      <c r="G280" t="inlineStr">
        <is>
          <t>DOROTEA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24839-2026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46283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46283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45556</v>
      </c>
      <c r="E283" s="1" t="n">
        <v>46283</v>
      </c>
      <c r="F283" t="inlineStr">
        <is>
          <t>VÄSTERBOTTENS LÄN</t>
        </is>
      </c>
      <c r="G283" t="inlineStr">
        <is>
          <t>DOROTEA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46283</v>
      </c>
      <c r="F284" t="inlineStr">
        <is>
          <t>VÄSTERBOTTENS LÄN</t>
        </is>
      </c>
      <c r="G284" t="inlineStr">
        <is>
          <t>DOROTEA</t>
        </is>
      </c>
      <c r="I284" t="n">
        <v>26.2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46966-2024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45586</v>
      </c>
      <c r="E285" s="1" t="n">
        <v>46283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26124-2026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46181</v>
      </c>
      <c r="E286" s="1" t="n">
        <v>46283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42515-2023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45180</v>
      </c>
      <c r="E287" s="1" t="n">
        <v>46283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27.7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46283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46182</v>
      </c>
      <c r="E289" s="1" t="n">
        <v>46283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46283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45721</v>
      </c>
      <c r="E291" s="1" t="n">
        <v>46283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12.2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46182</v>
      </c>
      <c r="E292" s="1" t="n">
        <v>46283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45331</v>
      </c>
      <c r="E293" s="1" t="n">
        <v>46283</v>
      </c>
      <c r="F293" t="inlineStr">
        <is>
          <t>VÄSTERBOTTENS LÄN</t>
        </is>
      </c>
      <c r="G293" t="inlineStr">
        <is>
          <t>DOROTEA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46283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23300-2023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46283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45036</v>
      </c>
      <c r="E296" s="1" t="n">
        <v>46283</v>
      </c>
      <c r="F296" t="inlineStr">
        <is>
          <t>VÄSTERBOTTENS LÄN</t>
        </is>
      </c>
      <c r="G296" t="inlineStr">
        <is>
          <t>DOROTEA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46283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8.199999999999999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45148</v>
      </c>
      <c r="E298" s="1" t="n">
        <v>46283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45614</v>
      </c>
      <c r="E299" s="1" t="n">
        <v>46283</v>
      </c>
      <c r="F299" t="inlineStr">
        <is>
          <t>VÄSTERBOTTENS LÄN</t>
        </is>
      </c>
      <c r="G299" t="inlineStr">
        <is>
          <t>DOROTEA</t>
        </is>
      </c>
      <c r="I299" t="n">
        <v>26.5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27738-2026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46191</v>
      </c>
      <c r="E300" s="1" t="n">
        <v>46283</v>
      </c>
      <c r="F300" t="inlineStr">
        <is>
          <t>VÄSTERBOTTENS LÄN</t>
        </is>
      </c>
      <c r="G300" t="inlineStr">
        <is>
          <t>DOROTEA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28176-2026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46283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46283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54489-2025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46283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46283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28360-2026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46283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49.5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46283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46283</v>
      </c>
      <c r="F307" t="inlineStr">
        <is>
          <t>VÄSTERBOTTENS LÄN</t>
        </is>
      </c>
      <c r="G307" t="inlineStr">
        <is>
          <t>DOROTEA</t>
        </is>
      </c>
      <c r="H307" t="inlineStr">
        <is>
          <t>Kommuner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46283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28741-2026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46283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45729</v>
      </c>
      <c r="E310" s="1" t="n">
        <v>46283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28783-2026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46283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46283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46283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46283</v>
      </c>
      <c r="F314" t="inlineStr">
        <is>
          <t>VÄSTERBOTTENS LÄN</t>
        </is>
      </c>
      <c r="G314" t="inlineStr">
        <is>
          <t>DOROTEA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46283</v>
      </c>
      <c r="F315" t="inlineStr">
        <is>
          <t>VÄSTERBOTTENS LÄN</t>
        </is>
      </c>
      <c r="G315" t="inlineStr">
        <is>
          <t>DOROTEA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45977</v>
      </c>
      <c r="E316" s="1" t="n">
        <v>46283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46283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46283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45980</v>
      </c>
      <c r="E319" s="1" t="n">
        <v>46283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58014-2025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46283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18.2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46283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46283</v>
      </c>
      <c r="F322" t="inlineStr">
        <is>
          <t>VÄSTERBOTTENS LÄN</t>
        </is>
      </c>
      <c r="G322" t="inlineStr">
        <is>
          <t>DOROTEA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29757-2026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46204</v>
      </c>
      <c r="E323" s="1" t="n">
        <v>46283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9.300000000000001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46248</v>
      </c>
      <c r="E324" s="1" t="n">
        <v>46283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46247</v>
      </c>
      <c r="E325" s="1" t="n">
        <v>46283</v>
      </c>
      <c r="F325" t="inlineStr">
        <is>
          <t>VÄSTERBOTTENS LÄN</t>
        </is>
      </c>
      <c r="G325" t="inlineStr">
        <is>
          <t>DOROTEA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46283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46283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46283</v>
      </c>
      <c r="F328" t="inlineStr">
        <is>
          <t>VÄSTERBOTTENS LÄN</t>
        </is>
      </c>
      <c r="G328" t="inlineStr">
        <is>
          <t>DOROTEA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44742</v>
      </c>
      <c r="E329" s="1" t="n">
        <v>46283</v>
      </c>
      <c r="F329" t="inlineStr">
        <is>
          <t>VÄSTERBOTTENS LÄN</t>
        </is>
      </c>
      <c r="G329" t="inlineStr">
        <is>
          <t>DOROTEA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46209</v>
      </c>
      <c r="E330" s="1" t="n">
        <v>46283</v>
      </c>
      <c r="F330" t="inlineStr">
        <is>
          <t>VÄSTERBOTTENS LÄN</t>
        </is>
      </c>
      <c r="G330" t="inlineStr">
        <is>
          <t>DOROTEA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45223</v>
      </c>
      <c r="E331" s="1" t="n">
        <v>46283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46283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59338-2025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46283</v>
      </c>
      <c r="F333" t="inlineStr">
        <is>
          <t>VÄSTERBOTTENS LÄN</t>
        </is>
      </c>
      <c r="G333" t="inlineStr">
        <is>
          <t>DOROTEA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46283</v>
      </c>
      <c r="F334" t="inlineStr">
        <is>
          <t>VÄSTERBOTTENS LÄN</t>
        </is>
      </c>
      <c r="G334" t="inlineStr">
        <is>
          <t>DOROTEA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46283</v>
      </c>
      <c r="F335" t="inlineStr">
        <is>
          <t>VÄSTERBOTTENS LÄN</t>
        </is>
      </c>
      <c r="G335" t="inlineStr">
        <is>
          <t>DOROTEA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34189-2026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46283</v>
      </c>
      <c r="F336" t="inlineStr">
        <is>
          <t>VÄSTERBOTTENS LÄN</t>
        </is>
      </c>
      <c r="G336" t="inlineStr">
        <is>
          <t>DOROTEA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30740-2026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46211</v>
      </c>
      <c r="E337" s="1" t="n">
        <v>46283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30645-2026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46211</v>
      </c>
      <c r="E338" s="1" t="n">
        <v>46283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34186-2026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46283</v>
      </c>
      <c r="F339" t="inlineStr">
        <is>
          <t>VÄSTERBOTTENS LÄN</t>
        </is>
      </c>
      <c r="G339" t="inlineStr">
        <is>
          <t>DOROTEA</t>
        </is>
      </c>
      <c r="I339" t="n">
        <v>13.6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34187-2026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46283</v>
      </c>
      <c r="F340" t="inlineStr">
        <is>
          <t>VÄSTERBOTTENS LÄN</t>
        </is>
      </c>
      <c r="G340" t="inlineStr">
        <is>
          <t>DOROTEA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45169</v>
      </c>
      <c r="E341" s="1" t="n">
        <v>46283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34149-2026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46283</v>
      </c>
      <c r="F342" t="inlineStr">
        <is>
          <t>VÄSTERBOTTENS LÄN</t>
        </is>
      </c>
      <c r="G342" t="inlineStr">
        <is>
          <t>DOROTEA</t>
        </is>
      </c>
      <c r="I342" t="n">
        <v>11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46212</v>
      </c>
      <c r="E343" s="1" t="n">
        <v>46283</v>
      </c>
      <c r="F343" t="inlineStr">
        <is>
          <t>VÄSTERBOTTENS LÄN</t>
        </is>
      </c>
      <c r="G343" t="inlineStr">
        <is>
          <t>DOROTEA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35937-2025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45862</v>
      </c>
      <c r="E344" s="1" t="n">
        <v>46283</v>
      </c>
      <c r="F344" t="inlineStr">
        <is>
          <t>VÄSTERBOTTENS LÄN</t>
        </is>
      </c>
      <c r="G344" t="inlineStr">
        <is>
          <t>DOROTEA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45735</v>
      </c>
      <c r="E345" s="1" t="n">
        <v>46283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46212</v>
      </c>
      <c r="E346" s="1" t="n">
        <v>46283</v>
      </c>
      <c r="F346" t="inlineStr">
        <is>
          <t>VÄSTERBOTTENS LÄN</t>
        </is>
      </c>
      <c r="G346" t="inlineStr">
        <is>
          <t>DOROTEA</t>
        </is>
      </c>
      <c r="I346" t="n">
        <v>8.4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46212</v>
      </c>
      <c r="E347" s="1" t="n">
        <v>46283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46213</v>
      </c>
      <c r="E348" s="1" t="n">
        <v>46283</v>
      </c>
      <c r="F348" t="inlineStr">
        <is>
          <t>VÄSTERBOTTENS LÄN</t>
        </is>
      </c>
      <c r="G348" t="inlineStr">
        <is>
          <t>DOROTEA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46254</v>
      </c>
      <c r="E349" s="1" t="n">
        <v>46283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31006-2026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46213</v>
      </c>
      <c r="E350" s="1" t="n">
        <v>46283</v>
      </c>
      <c r="F350" t="inlineStr">
        <is>
          <t>VÄSTERBOTTENS LÄN</t>
        </is>
      </c>
      <c r="G350" t="inlineStr">
        <is>
          <t>DOROTEA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46283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46217</v>
      </c>
      <c r="E352" s="1" t="n">
        <v>46283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15.6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45996</v>
      </c>
      <c r="E353" s="1" t="n">
        <v>46283</v>
      </c>
      <c r="F353" t="inlineStr">
        <is>
          <t>VÄSTERBOTTENS LÄN</t>
        </is>
      </c>
      <c r="G353" t="inlineStr">
        <is>
          <t>DOROTEA</t>
        </is>
      </c>
      <c r="I353" t="n">
        <v>23.9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31179-2026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46217</v>
      </c>
      <c r="E354" s="1" t="n">
        <v>46283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46218</v>
      </c>
      <c r="E355" s="1" t="n">
        <v>46283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44748</v>
      </c>
      <c r="E356" s="1" t="n">
        <v>46283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46218</v>
      </c>
      <c r="E357" s="1" t="n">
        <v>46283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46283</v>
      </c>
      <c r="F358" t="inlineStr">
        <is>
          <t>VÄSTERBOTTENS LÄN</t>
        </is>
      </c>
      <c r="G358" t="inlineStr">
        <is>
          <t>DOROTEA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35353-2026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46261</v>
      </c>
      <c r="E359" s="1" t="n">
        <v>46283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47494-2023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45202</v>
      </c>
      <c r="E360" s="1" t="n">
        <v>46283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46261</v>
      </c>
      <c r="E361" s="1" t="n">
        <v>46283</v>
      </c>
      <c r="F361" t="inlineStr">
        <is>
          <t>VÄSTERBOTTENS LÄN</t>
        </is>
      </c>
      <c r="G361" t="inlineStr">
        <is>
          <t>DOROTEA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35352-2026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46261</v>
      </c>
      <c r="E362" s="1" t="n">
        <v>46283</v>
      </c>
      <c r="F362" t="inlineStr">
        <is>
          <t>VÄSTERBOTTENS LÄN</t>
        </is>
      </c>
      <c r="G362" t="inlineStr">
        <is>
          <t>DOROTEA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46261</v>
      </c>
      <c r="E363" s="1" t="n">
        <v>46283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35500-2026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46262</v>
      </c>
      <c r="E364" s="1" t="n">
        <v>46283</v>
      </c>
      <c r="F364" t="inlineStr">
        <is>
          <t>VÄSTERBOTTENS LÄN</t>
        </is>
      </c>
      <c r="G364" t="inlineStr">
        <is>
          <t>DOROTEA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46218</v>
      </c>
      <c r="E365" s="1" t="n">
        <v>46283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44974</v>
      </c>
      <c r="E366" s="1" t="n">
        <v>46283</v>
      </c>
      <c r="F366" t="inlineStr">
        <is>
          <t>VÄSTERBOTTENS LÄN</t>
        </is>
      </c>
      <c r="G366" t="inlineStr">
        <is>
          <t>DOROTEA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31439-2026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46220</v>
      </c>
      <c r="E367" s="1" t="n">
        <v>46283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62193-2025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46003</v>
      </c>
      <c r="E368" s="1" t="n">
        <v>46283</v>
      </c>
      <c r="F368" t="inlineStr">
        <is>
          <t>VÄSTERBOTTENS LÄN</t>
        </is>
      </c>
      <c r="G368" t="inlineStr">
        <is>
          <t>DOROTEA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31575-2026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46224</v>
      </c>
      <c r="E369" s="1" t="n">
        <v>46283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36255-2026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46268</v>
      </c>
      <c r="E370" s="1" t="n">
        <v>46283</v>
      </c>
      <c r="F370" t="inlineStr">
        <is>
          <t>VÄSTERBOTTENS LÄN</t>
        </is>
      </c>
      <c r="G370" t="inlineStr">
        <is>
          <t>DOROTEA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31573-2026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46224</v>
      </c>
      <c r="E371" s="1" t="n">
        <v>46283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46224</v>
      </c>
      <c r="E372" s="1" t="n">
        <v>46283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46003</v>
      </c>
      <c r="E373" s="1" t="n">
        <v>46283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45539</v>
      </c>
      <c r="E374" s="1" t="n">
        <v>46283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8.199999999999999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62399-2025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46283</v>
      </c>
      <c r="F375" t="inlineStr">
        <is>
          <t>VÄSTERBOTTENS LÄN</t>
        </is>
      </c>
      <c r="G375" t="inlineStr">
        <is>
          <t>DOROTEA</t>
        </is>
      </c>
      <c r="I375" t="n">
        <v>16.7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62422-2025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46007</v>
      </c>
      <c r="E376" s="1" t="n">
        <v>46283</v>
      </c>
      <c r="F376" t="inlineStr">
        <is>
          <t>VÄSTERBOTTENS LÄN</t>
        </is>
      </c>
      <c r="G376" t="inlineStr">
        <is>
          <t>DOROTEA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62423-2025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46283</v>
      </c>
      <c r="F377" t="inlineStr">
        <is>
          <t>VÄSTERBOTTENS LÄN</t>
        </is>
      </c>
      <c r="G377" t="inlineStr">
        <is>
          <t>DOROTEA</t>
        </is>
      </c>
      <c r="I377" t="n">
        <v>13.2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17132-2025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45755</v>
      </c>
      <c r="E378" s="1" t="n">
        <v>46283</v>
      </c>
      <c r="F378" t="inlineStr">
        <is>
          <t>VÄSTERBOTTENS LÄN</t>
        </is>
      </c>
      <c r="G378" t="inlineStr">
        <is>
          <t>DOROTEA</t>
        </is>
      </c>
      <c r="I378" t="n">
        <v>7.6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57794-2023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45246</v>
      </c>
      <c r="E379" s="1" t="n">
        <v>46283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62424-2025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46283</v>
      </c>
      <c r="F380" t="inlineStr">
        <is>
          <t>VÄSTERBOTTENS LÄN</t>
        </is>
      </c>
      <c r="G380" t="inlineStr">
        <is>
          <t>DOROTEA</t>
        </is>
      </c>
      <c r="I380" t="n">
        <v>12.3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62974-2025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46283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9.4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63939-2025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46283</v>
      </c>
      <c r="F382" t="inlineStr">
        <is>
          <t>VÄSTERBOTTENS LÄN</t>
        </is>
      </c>
      <c r="G382" t="inlineStr">
        <is>
          <t>DOROTEA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56807-2021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44481</v>
      </c>
      <c r="E383" s="1" t="n">
        <v>46283</v>
      </c>
      <c r="F383" t="inlineStr">
        <is>
          <t>VÄSTERBOTTENS LÄN</t>
        </is>
      </c>
      <c r="G383" t="inlineStr">
        <is>
          <t>DOROTEA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45642</v>
      </c>
      <c r="E384" s="1" t="n">
        <v>46283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14163-2024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45392</v>
      </c>
      <c r="E385" s="1" t="n">
        <v>46283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63745-2025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46017</v>
      </c>
      <c r="E386" s="1" t="n">
        <v>46283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8.699999999999999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46283</v>
      </c>
      <c r="F387" t="inlineStr">
        <is>
          <t>VÄSTERBOTTENS LÄN</t>
        </is>
      </c>
      <c r="G387" t="inlineStr">
        <is>
          <t>DOROTEA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46817-2022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44848</v>
      </c>
      <c r="E388" s="1" t="n">
        <v>46283</v>
      </c>
      <c r="F388" t="inlineStr">
        <is>
          <t>VÄSTERBOTTENS LÄN</t>
        </is>
      </c>
      <c r="G388" t="inlineStr">
        <is>
          <t>DOROTEA</t>
        </is>
      </c>
      <c r="I388" t="n">
        <v>29.8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33738-2024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45520</v>
      </c>
      <c r="E389" s="1" t="n">
        <v>46283</v>
      </c>
      <c r="F389" t="inlineStr">
        <is>
          <t>VÄSTERBOTTENS LÄN</t>
        </is>
      </c>
      <c r="G389" t="inlineStr">
        <is>
          <t>DOROTEA</t>
        </is>
      </c>
      <c r="I389" t="n">
        <v>11.1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46279</v>
      </c>
      <c r="E390" s="1" t="n">
        <v>46283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42473-2024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45565</v>
      </c>
      <c r="E391" s="1" t="n">
        <v>46283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46283</v>
      </c>
      <c r="F392" t="inlineStr">
        <is>
          <t>VÄSTERBOTTENS LÄN</t>
        </is>
      </c>
      <c r="G392" t="inlineStr">
        <is>
          <t>DOROTEA</t>
        </is>
      </c>
      <c r="I392" t="n">
        <v>18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46965-2024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45586</v>
      </c>
      <c r="E393" s="1" t="n">
        <v>46283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10360-2023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46283</v>
      </c>
      <c r="F394" t="inlineStr">
        <is>
          <t>VÄSTERBOTTENS LÄN</t>
        </is>
      </c>
      <c r="G394" t="inlineStr">
        <is>
          <t>DOROTEA</t>
        </is>
      </c>
      <c r="I394" t="n">
        <v>18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46281</v>
      </c>
      <c r="E395" s="1" t="n">
        <v>46283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38299-2026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46283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42228-2024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45562</v>
      </c>
      <c r="E397" s="1" t="n">
        <v>46283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2146-2026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46283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27477-2023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45097</v>
      </c>
      <c r="E399" s="1" t="n">
        <v>46283</v>
      </c>
      <c r="F399" t="inlineStr">
        <is>
          <t>VÄSTERBOTTENS LÄN</t>
        </is>
      </c>
      <c r="G399" t="inlineStr">
        <is>
          <t>DOROTEA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46283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44942</v>
      </c>
      <c r="E401" s="1" t="n">
        <v>46283</v>
      </c>
      <c r="F401" t="inlineStr">
        <is>
          <t>VÄSTERBOTTENS LÄN</t>
        </is>
      </c>
      <c r="G401" t="inlineStr">
        <is>
          <t>DOROTEA</t>
        </is>
      </c>
      <c r="I401" t="n">
        <v>22.7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46283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46283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11.9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46283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45566</v>
      </c>
      <c r="E405" s="1" t="n">
        <v>46283</v>
      </c>
      <c r="F405" t="inlineStr">
        <is>
          <t>VÄSTERBOTTENS LÄN</t>
        </is>
      </c>
      <c r="G405" t="inlineStr">
        <is>
          <t>DOROTEA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46283</v>
      </c>
      <c r="F406" t="inlineStr">
        <is>
          <t>VÄSTERBOTTENS LÄN</t>
        </is>
      </c>
      <c r="G406" t="inlineStr">
        <is>
          <t>DOROTEA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46283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63885-2025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46283</v>
      </c>
      <c r="F408" t="inlineStr">
        <is>
          <t>VÄSTERBOTTENS LÄN</t>
        </is>
      </c>
      <c r="G408" t="inlineStr">
        <is>
          <t>DOROTEA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46036</v>
      </c>
      <c r="E409" s="1" t="n">
        <v>46283</v>
      </c>
      <c r="F409" t="inlineStr">
        <is>
          <t>VÄSTERBOTTENS LÄN</t>
        </is>
      </c>
      <c r="G409" t="inlineStr">
        <is>
          <t>DOROTEA</t>
        </is>
      </c>
      <c r="I409" t="n">
        <v>11.8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45639</v>
      </c>
      <c r="E410" s="1" t="n">
        <v>46283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12773-2026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46283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45036</v>
      </c>
      <c r="E412" s="1" t="n">
        <v>46283</v>
      </c>
      <c r="F412" t="inlineStr">
        <is>
          <t>VÄSTERBOTTENS LÄN</t>
        </is>
      </c>
      <c r="G412" t="inlineStr">
        <is>
          <t>DOROTEA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45448</v>
      </c>
      <c r="E413" s="1" t="n">
        <v>46283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8852-2024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45356</v>
      </c>
      <c r="E414" s="1" t="n">
        <v>46283</v>
      </c>
      <c r="F414" t="inlineStr">
        <is>
          <t>VÄSTERBOTTENS LÄN</t>
        </is>
      </c>
      <c r="G414" t="inlineStr">
        <is>
          <t>DOROTEA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46283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5758-2026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46283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46283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45770</v>
      </c>
      <c r="E418" s="1" t="n">
        <v>46283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46054</v>
      </c>
      <c r="E419" s="1" t="n">
        <v>46283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45351</v>
      </c>
      <c r="E420" s="1" t="n">
        <v>46283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46059</v>
      </c>
      <c r="E421" s="1" t="n">
        <v>46283</v>
      </c>
      <c r="F421" t="inlineStr">
        <is>
          <t>VÄSTERBOTTENS LÄN</t>
        </is>
      </c>
      <c r="G421" t="inlineStr">
        <is>
          <t>DOROTEA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46059</v>
      </c>
      <c r="E422" s="1" t="n">
        <v>46283</v>
      </c>
      <c r="F422" t="inlineStr">
        <is>
          <t>VÄSTERBOTTENS LÄN</t>
        </is>
      </c>
      <c r="G422" t="inlineStr">
        <is>
          <t>DOROTEA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7963-2026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46283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45253</v>
      </c>
      <c r="E424" s="1" t="n">
        <v>46283</v>
      </c>
      <c r="F424" t="inlineStr">
        <is>
          <t>VÄSTERBOTTENS LÄN</t>
        </is>
      </c>
      <c r="G424" t="inlineStr">
        <is>
          <t>DOROTEA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45253</v>
      </c>
      <c r="E425" s="1" t="n">
        <v>46283</v>
      </c>
      <c r="F425" t="inlineStr">
        <is>
          <t>VÄSTERBOTTENS LÄN</t>
        </is>
      </c>
      <c r="G425" t="inlineStr">
        <is>
          <t>DOROTEA</t>
        </is>
      </c>
      <c r="I425" t="n">
        <v>8.5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20759-2023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45055</v>
      </c>
      <c r="E426" s="1" t="n">
        <v>46283</v>
      </c>
      <c r="F426" t="inlineStr">
        <is>
          <t>VÄSTERBOTTENS LÄN</t>
        </is>
      </c>
      <c r="G426" t="inlineStr">
        <is>
          <t>DOROTEA</t>
        </is>
      </c>
      <c r="H426" t="inlineStr">
        <is>
          <t>Övriga statliga verk och myndigheter</t>
        </is>
      </c>
      <c r="I426" t="n">
        <v>13.9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67686-2021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44524</v>
      </c>
      <c r="E427" s="1" t="n">
        <v>46283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32821-2024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45516</v>
      </c>
      <c r="E428" s="1" t="n">
        <v>46283</v>
      </c>
      <c r="F428" t="inlineStr">
        <is>
          <t>VÄSTERBOTTENS LÄN</t>
        </is>
      </c>
      <c r="G428" t="inlineStr">
        <is>
          <t>DOROTEA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44889</v>
      </c>
      <c r="E429" s="1" t="n">
        <v>46283</v>
      </c>
      <c r="F429" t="inlineStr">
        <is>
          <t>VÄSTERBOTTENS LÄN</t>
        </is>
      </c>
      <c r="G429" t="inlineStr">
        <is>
          <t>DOROTEA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34107-2023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45125</v>
      </c>
      <c r="E430" s="1" t="n">
        <v>46283</v>
      </c>
      <c r="F430" t="inlineStr">
        <is>
          <t>VÄSTERBOTTENS LÄN</t>
        </is>
      </c>
      <c r="G430" t="inlineStr">
        <is>
          <t>DOROTEA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35000-2023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45142</v>
      </c>
      <c r="E431" s="1" t="n">
        <v>46283</v>
      </c>
      <c r="F431" t="inlineStr">
        <is>
          <t>VÄSTERBOTTENS LÄN</t>
        </is>
      </c>
      <c r="G431" t="inlineStr">
        <is>
          <t>DOROTEA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45217</v>
      </c>
      <c r="E432" s="1" t="n">
        <v>46283</v>
      </c>
      <c r="F432" t="inlineStr">
        <is>
          <t>VÄSTERBOTTENS LÄN</t>
        </is>
      </c>
      <c r="G432" t="inlineStr">
        <is>
          <t>DOROTEA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53795-2022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46283</v>
      </c>
      <c r="F433" t="inlineStr">
        <is>
          <t>VÄSTERBOTTENS LÄN</t>
        </is>
      </c>
      <c r="G433" t="inlineStr">
        <is>
          <t>DOROTEA</t>
        </is>
      </c>
      <c r="I433" t="n">
        <v>12.3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45735</v>
      </c>
      <c r="E434" s="1" t="n">
        <v>46283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45223</v>
      </c>
      <c r="E435" s="1" t="n">
        <v>46283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22450-2024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45446</v>
      </c>
      <c r="E436" s="1" t="n">
        <v>46283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60153-2024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45642</v>
      </c>
      <c r="E437" s="1" t="n">
        <v>46283</v>
      </c>
      <c r="F437" t="inlineStr">
        <is>
          <t>VÄSTERBOTTENS LÄN</t>
        </is>
      </c>
      <c r="G437" t="inlineStr">
        <is>
          <t>DOROTEA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9030-2025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45713</v>
      </c>
      <c r="E438" s="1" t="n">
        <v>46283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60015-2023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45257</v>
      </c>
      <c r="E439" s="1" t="n">
        <v>46283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45315</v>
      </c>
      <c r="E440" s="1" t="n">
        <v>46283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10402-2025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45720</v>
      </c>
      <c r="E441" s="1" t="n">
        <v>46283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59394-2023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46283</v>
      </c>
      <c r="F442" t="inlineStr">
        <is>
          <t>VÄSTERBOTTENS LÄN</t>
        </is>
      </c>
      <c r="G442" t="inlineStr">
        <is>
          <t>DOROTEA</t>
        </is>
      </c>
      <c r="I442" t="n">
        <v>28.8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27305-2024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45471</v>
      </c>
      <c r="E443" s="1" t="n">
        <v>46283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45103</v>
      </c>
      <c r="E444" s="1" t="n">
        <v>46283</v>
      </c>
      <c r="F444" t="inlineStr">
        <is>
          <t>VÄSTERBOTTENS LÄN</t>
        </is>
      </c>
      <c r="G444" t="inlineStr">
        <is>
          <t>DOROTEA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45572</v>
      </c>
      <c r="E445" s="1" t="n">
        <v>46283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28856-2024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45478</v>
      </c>
      <c r="E446" s="1" t="n">
        <v>46283</v>
      </c>
      <c r="F446" t="inlineStr">
        <is>
          <t>VÄSTERBOTTENS LÄN</t>
        </is>
      </c>
      <c r="G446" t="inlineStr">
        <is>
          <t>DOROTEA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45614</v>
      </c>
      <c r="E447" s="1" t="n">
        <v>46283</v>
      </c>
      <c r="F447" t="inlineStr">
        <is>
          <t>VÄSTERBOTTENS LÄN</t>
        </is>
      </c>
      <c r="G447" t="inlineStr">
        <is>
          <t>DOROTEA</t>
        </is>
      </c>
      <c r="I447" t="n">
        <v>11.2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42104-2024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45562</v>
      </c>
      <c r="E448" s="1" t="n">
        <v>46283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22774-2025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45789</v>
      </c>
      <c r="E449" s="1" t="n">
        <v>46283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46283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23457-2025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45792</v>
      </c>
      <c r="E451" s="1" t="n">
        <v>46283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29737-2024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45485</v>
      </c>
      <c r="E452" s="1" t="n">
        <v>46283</v>
      </c>
      <c r="F452" t="inlineStr">
        <is>
          <t>VÄSTERBOTTENS LÄN</t>
        </is>
      </c>
      <c r="G452" t="inlineStr">
        <is>
          <t>DOROTEA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13451-2022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44645</v>
      </c>
      <c r="E453" s="1" t="n">
        <v>46283</v>
      </c>
      <c r="F453" t="inlineStr">
        <is>
          <t>VÄSTERBOTTENS LÄN</t>
        </is>
      </c>
      <c r="G453" t="inlineStr">
        <is>
          <t>DOROTEA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34820-2023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45140</v>
      </c>
      <c r="E454" s="1" t="n">
        <v>46283</v>
      </c>
      <c r="F454" t="inlineStr">
        <is>
          <t>VÄSTERBOTTENS LÄN</t>
        </is>
      </c>
      <c r="G454" t="inlineStr">
        <is>
          <t>DOROTEA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45551</v>
      </c>
      <c r="E455" s="1" t="n">
        <v>46283</v>
      </c>
      <c r="F455" t="inlineStr">
        <is>
          <t>VÄSTERBOTTENS LÄN</t>
        </is>
      </c>
      <c r="G455" t="inlineStr">
        <is>
          <t>DOROTEA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33113-2024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45517</v>
      </c>
      <c r="E456" s="1" t="n">
        <v>46283</v>
      </c>
      <c r="F456" t="inlineStr">
        <is>
          <t>VÄSTERBOTTENS LÄN</t>
        </is>
      </c>
      <c r="G456" t="inlineStr">
        <is>
          <t>DOROTEA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53380-2024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45614</v>
      </c>
      <c r="E457" s="1" t="n">
        <v>46283</v>
      </c>
      <c r="F457" t="inlineStr">
        <is>
          <t>VÄSTERBOTTENS LÄN</t>
        </is>
      </c>
      <c r="G457" t="inlineStr">
        <is>
          <t>DOROTEA</t>
        </is>
      </c>
      <c r="I457" t="n">
        <v>12.8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25356-2025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45800</v>
      </c>
      <c r="E458" s="1" t="n">
        <v>46283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25606-2025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45803</v>
      </c>
      <c r="E459" s="1" t="n">
        <v>46283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45805</v>
      </c>
      <c r="E460" s="1" t="n">
        <v>46283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26481-2025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45807</v>
      </c>
      <c r="E461" s="1" t="n">
        <v>46283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45807</v>
      </c>
      <c r="E462" s="1" t="n">
        <v>46283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45664</v>
      </c>
      <c r="E463" s="1" t="n">
        <v>46283</v>
      </c>
      <c r="F463" t="inlineStr">
        <is>
          <t>VÄSTERBOTTENS LÄN</t>
        </is>
      </c>
      <c r="G463" t="inlineStr">
        <is>
          <t>DOROTEA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45742</v>
      </c>
      <c r="E464" s="1" t="n">
        <v>46283</v>
      </c>
      <c r="F464" t="inlineStr">
        <is>
          <t>VÄSTERBOTTENS LÄN</t>
        </is>
      </c>
      <c r="G464" t="inlineStr">
        <is>
          <t>DOROTEA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45811</v>
      </c>
      <c r="E465" s="1" t="n">
        <v>46283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28002-2025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45817</v>
      </c>
      <c r="E466" s="1" t="n">
        <v>46283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2945-2024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45506</v>
      </c>
      <c r="E467" s="1" t="n">
        <v>46283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1058-2025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45749</v>
      </c>
      <c r="E468" s="1" t="n">
        <v>46283</v>
      </c>
      <c r="F468" t="inlineStr">
        <is>
          <t>VÄSTERBOTTENS LÄN</t>
        </is>
      </c>
      <c r="G468" t="inlineStr">
        <is>
          <t>DOROTEA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844-2025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45733</v>
      </c>
      <c r="E469" s="1" t="n">
        <v>46283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1293.5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2195-2025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45858</v>
      </c>
      <c r="E470" s="1" t="n">
        <v>46283</v>
      </c>
      <c r="F470" t="inlineStr">
        <is>
          <t>VÄSTERBOTTENS LÄN</t>
        </is>
      </c>
      <c r="G470" t="inlineStr">
        <is>
          <t>DOROTEA</t>
        </is>
      </c>
      <c r="I470" t="n">
        <v>27.4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2283-2025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45876</v>
      </c>
      <c r="E471" s="1" t="n">
        <v>46283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2360-2025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45889</v>
      </c>
      <c r="E472" s="1" t="n">
        <v>46283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1763-2026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46189</v>
      </c>
      <c r="E473" s="1" t="n">
        <v>46283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2407-2026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46279</v>
      </c>
      <c r="E474" s="1" t="n">
        <v>46283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2026-09-18T02:06:07Z</dcterms:created>
  <dcterms:modified xmlns:dcterms="http://purl.org/dc/terms/" xmlns:xsi="http://www.w3.org/2001/XMLSchema-instance" xsi:type="dcterms:W3CDTF">2026-09-18T02:06:07Z</dcterms:modified>
</cp:coreProperties>
</file>