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46314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46314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46314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46314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46314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46314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46314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46314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46314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46314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46314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46314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46314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46314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47493-2023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45202</v>
      </c>
      <c r="E16" s="1" t="n">
        <v>46314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4.9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4</v>
      </c>
      <c r="U16" t="n">
        <v>4</v>
      </c>
      <c r="V16" s="2" t="inlineStr">
        <is>
          <t>Ostticka
Lunglav
Tretåig hackspett
Ullticka</t>
        </is>
      </c>
      <c r="W16">
        <f>HYPERLINK("https://klasma.github.io/Logging_2425/artfynd/A 47493-2023 artfynd.xlsx", "A 47493-2023")</f>
        <v/>
      </c>
      <c r="X16">
        <f>HYPERLINK("https://klasma.github.io/Logging_2425/kartor/A 47493-2023 karta.png", "A 47493-2023")</f>
        <v/>
      </c>
      <c r="Y16">
        <f>HYPERLINK("https://klasma.github.io/Logging_2425/kartor_geotiff/A 47493-2023 georefererad karta.tif", "A 47493-2023")</f>
        <v/>
      </c>
      <c r="AA16">
        <f>HYPERLINK("https://klasma.github.io/Logging_2425/klagomål/A 47493-2023 FSC-klagomål.docx", "A 47493-2023")</f>
        <v/>
      </c>
      <c r="AB16">
        <f>HYPERLINK("https://klasma.github.io/Logging_2425/klagomålsmail/A 47493-2023 FSC-klagomål mail.docx", "A 47493-2023")</f>
        <v/>
      </c>
      <c r="AC16">
        <f>HYPERLINK("https://klasma.github.io/Logging_2425/tillsyn/A 47493-2023 tillsynsbegäran.docx", "A 47493-2023")</f>
        <v/>
      </c>
      <c r="AD16">
        <f>HYPERLINK("https://klasma.github.io/Logging_2425/tillsynsmail/A 47493-2023 tillsynsbegäran mail.docx", "A 47493-2023")</f>
        <v/>
      </c>
      <c r="AE16">
        <f>HYPERLINK("https://klasma.github.io/Logging_2425/fåglar/A 47493-2023 prioriterade fågelarter.docx", "A 47493-2023")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46314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46314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57783-2025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46314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8.5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Gammelgransskål
Tretåig hackspett</t>
        </is>
      </c>
      <c r="W19">
        <f>HYPERLINK("https://klasma.github.io/Logging_2425/artfynd/A 57783-2025 artfynd.xlsx", "A 57783-2025")</f>
        <v/>
      </c>
      <c r="X19">
        <f>HYPERLINK("https://klasma.github.io/Logging_2425/kartor/A 57783-2025 karta.png", "A 57783-2025")</f>
        <v/>
      </c>
      <c r="Y19">
        <f>HYPERLINK("https://klasma.github.io/Logging_2425/kartor_geotiff/A 57783-2025 georefererad karta.tif", "A 57783-2025")</f>
        <v/>
      </c>
      <c r="AA19">
        <f>HYPERLINK("https://klasma.github.io/Logging_2425/klagomål/A 57783-2025 FSC-klagomål.docx", "A 57783-2025")</f>
        <v/>
      </c>
      <c r="AB19">
        <f>HYPERLINK("https://klasma.github.io/Logging_2425/klagomålsmail/A 57783-2025 FSC-klagomål mail.docx", "A 57783-2025")</f>
        <v/>
      </c>
      <c r="AC19">
        <f>HYPERLINK("https://klasma.github.io/Logging_2425/tillsyn/A 57783-2025 tillsynsbegäran.docx", "A 57783-2025")</f>
        <v/>
      </c>
      <c r="AD19">
        <f>HYPERLINK("https://klasma.github.io/Logging_2425/tillsynsmail/A 57783-2025 tillsynsbegäran mail.docx", "A 57783-2025")</f>
        <v/>
      </c>
      <c r="AE19">
        <f>HYPERLINK("https://klasma.github.io/Logging_2425/fåglar/A 57783-2025 prioriterade fågelarter.docx", "A 57783-2025")</f>
        <v/>
      </c>
    </row>
    <row r="20" ht="15" customHeight="1">
      <c r="A20" t="inlineStr">
        <is>
          <t>A 21672-2023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46314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7.4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Doftskinn
Skrovellav
Ullticka</t>
        </is>
      </c>
      <c r="W20">
        <f>HYPERLINK("https://klasma.github.io/Logging_2425/artfynd/A 21672-2023 artfynd.xlsx", "A 21672-2023")</f>
        <v/>
      </c>
      <c r="X20">
        <f>HYPERLINK("https://klasma.github.io/Logging_2425/kartor/A 21672-2023 karta.png", "A 21672-2023")</f>
        <v/>
      </c>
      <c r="Y20">
        <f>HYPERLINK("https://klasma.github.io/Logging_2425/kartor_geotiff/A 21672-2023 georefererad karta.tif", "A 21672-2023")</f>
        <v/>
      </c>
      <c r="AA20">
        <f>HYPERLINK("https://klasma.github.io/Logging_2425/klagomål/A 21672-2023 FSC-klagomål.docx", "A 21672-2023")</f>
        <v/>
      </c>
      <c r="AB20">
        <f>HYPERLINK("https://klasma.github.io/Logging_2425/klagomålsmail/A 21672-2023 FSC-klagomål mail.docx", "A 21672-2023")</f>
        <v/>
      </c>
      <c r="AC20">
        <f>HYPERLINK("https://klasma.github.io/Logging_2425/tillsyn/A 21672-2023 tillsynsbegäran.docx", "A 21672-2023")</f>
        <v/>
      </c>
      <c r="AD20">
        <f>HYPERLINK("https://klasma.github.io/Logging_2425/tillsynsmail/A 21672-2023 tillsynsbegäran mail.docx", "A 21672-2023")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46314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46314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46314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46314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58736-2022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44902</v>
      </c>
      <c r="E25" s="1" t="n">
        <v>46314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Lunglav
Skrovellav</t>
        </is>
      </c>
      <c r="W25">
        <f>HYPERLINK("https://klasma.github.io/Logging_2425/artfynd/A 58736-2022 artfynd.xlsx", "A 58736-2022")</f>
        <v/>
      </c>
      <c r="X25">
        <f>HYPERLINK("https://klasma.github.io/Logging_2425/kartor/A 58736-2022 karta.png", "A 58736-2022")</f>
        <v/>
      </c>
      <c r="Y25">
        <f>HYPERLINK("https://klasma.github.io/Logging_2425/kartor_geotiff/A 58736-2022 georefererad karta.tif", "A 58736-2022")</f>
        <v/>
      </c>
      <c r="AA25">
        <f>HYPERLINK("https://klasma.github.io/Logging_2425/klagomål/A 58736-2022 FSC-klagomål.docx", "A 58736-2022")</f>
        <v/>
      </c>
      <c r="AB25">
        <f>HYPERLINK("https://klasma.github.io/Logging_2425/klagomålsmail/A 58736-2022 FSC-klagomål mail.docx", "A 58736-2022")</f>
        <v/>
      </c>
      <c r="AC25">
        <f>HYPERLINK("https://klasma.github.io/Logging_2425/tillsyn/A 58736-2022 tillsynsbegäran.docx", "A 58736-2022")</f>
        <v/>
      </c>
      <c r="AD25">
        <f>HYPERLINK("https://klasma.github.io/Logging_2425/tillsynsmail/A 58736-2022 tillsynsbegäran mail.docx", "A 58736-2022")</f>
        <v/>
      </c>
    </row>
    <row r="26" ht="15" customHeight="1">
      <c r="A26" t="inlineStr">
        <is>
          <t>A 27234-2024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45471</v>
      </c>
      <c r="E26" s="1" t="n">
        <v>46314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2.2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Rynkskinn
Skrovellav</t>
        </is>
      </c>
      <c r="W26">
        <f>HYPERLINK("https://klasma.github.io/Logging_2425/artfynd/A 27234-2024 artfynd.xlsx", "A 27234-2024")</f>
        <v/>
      </c>
      <c r="X26">
        <f>HYPERLINK("https://klasma.github.io/Logging_2425/kartor/A 27234-2024 karta.png", "A 27234-2024")</f>
        <v/>
      </c>
      <c r="Y26">
        <f>HYPERLINK("https://klasma.github.io/Logging_2425/kartor_geotiff/A 27234-2024 georefererad karta.tif", "A 27234-2024")</f>
        <v/>
      </c>
      <c r="AA26">
        <f>HYPERLINK("https://klasma.github.io/Logging_2425/klagomål/A 27234-2024 FSC-klagomål.docx", "A 27234-2024")</f>
        <v/>
      </c>
      <c r="AB26">
        <f>HYPERLINK("https://klasma.github.io/Logging_2425/klagomålsmail/A 27234-2024 FSC-klagomål mail.docx", "A 27234-2024")</f>
        <v/>
      </c>
      <c r="AC26">
        <f>HYPERLINK("https://klasma.github.io/Logging_2425/tillsyn/A 27234-2024 tillsynsbegäran.docx", "A 27234-2024")</f>
        <v/>
      </c>
      <c r="AD26">
        <f>HYPERLINK("https://klasma.github.io/Logging_2425/tillsynsmail/A 27234-2024 tillsynsbegäran mail.docx", "A 27234-2024")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46314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46314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19589-2024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45429</v>
      </c>
      <c r="E29" s="1" t="n">
        <v>46314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Lunglav
Talltita</t>
        </is>
      </c>
      <c r="W29">
        <f>HYPERLINK("https://klasma.github.io/Logging_2425/artfynd/A 19589-2024 artfynd.xlsx", "A 19589-2024")</f>
        <v/>
      </c>
      <c r="X29">
        <f>HYPERLINK("https://klasma.github.io/Logging_2425/kartor/A 19589-2024 karta.png", "A 19589-2024")</f>
        <v/>
      </c>
      <c r="Y29">
        <f>HYPERLINK("https://klasma.github.io/Logging_2425/kartor_geotiff/A 19589-2024 georefererad karta.tif", "A 19589-2024")</f>
        <v/>
      </c>
      <c r="AA29">
        <f>HYPERLINK("https://klasma.github.io/Logging_2425/klagomål/A 19589-2024 FSC-klagomål.docx", "A 19589-2024")</f>
        <v/>
      </c>
      <c r="AB29">
        <f>HYPERLINK("https://klasma.github.io/Logging_2425/klagomålsmail/A 19589-2024 FSC-klagomål mail.docx", "A 19589-2024")</f>
        <v/>
      </c>
      <c r="AC29">
        <f>HYPERLINK("https://klasma.github.io/Logging_2425/tillsyn/A 19589-2024 tillsynsbegäran.docx", "A 19589-2024")</f>
        <v/>
      </c>
      <c r="AD29">
        <f>HYPERLINK("https://klasma.github.io/Logging_2425/tillsynsmail/A 19589-2024 tillsynsbegäran mail.docx", "A 19589-2024")</f>
        <v/>
      </c>
      <c r="AE29">
        <f>HYPERLINK("https://klasma.github.io/Logging_2425/fåglar/A 19589-2024 prioriterade fågelarter.docx", "A 19589-2024")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46314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46314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46314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46314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46314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46314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46314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46314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46314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36318-2024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46314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8</v>
      </c>
      <c r="U39" t="n">
        <v>8</v>
      </c>
      <c r="V39" s="2" t="inlineStr">
        <is>
          <t>Garnlav</t>
        </is>
      </c>
      <c r="W39">
        <f>HYPERLINK("https://klasma.github.io/Logging_2425/artfynd/A 36318-2024 artfynd.xlsx", "A 36318-2024")</f>
        <v/>
      </c>
      <c r="X39">
        <f>HYPERLINK("https://klasma.github.io/Logging_2425/kartor/A 36318-2024 karta.png", "A 36318-2024")</f>
        <v/>
      </c>
      <c r="Y39">
        <f>HYPERLINK("https://klasma.github.io/Logging_2425/kartor_geotiff/A 36318-2024 georefererad karta.tif", "A 36318-2024")</f>
        <v/>
      </c>
      <c r="AA39">
        <f>HYPERLINK("https://klasma.github.io/Logging_2425/klagomål/A 36318-2024 FSC-klagomål.docx", "A 36318-2024")</f>
        <v/>
      </c>
      <c r="AB39">
        <f>HYPERLINK("https://klasma.github.io/Logging_2425/klagomålsmail/A 36318-2024 FSC-klagomål mail.docx", "A 36318-2024")</f>
        <v/>
      </c>
      <c r="AC39">
        <f>HYPERLINK("https://klasma.github.io/Logging_2425/tillsyn/A 36318-2024 tillsynsbegäran.docx", "A 36318-2024")</f>
        <v/>
      </c>
      <c r="AD39">
        <f>HYPERLINK("https://klasma.github.io/Logging_2425/tillsynsmail/A 36318-2024 tillsynsbegäran mail.docx", "A 36318-2024")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46314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41079-2025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46314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41079-2025 artfynd.xlsx", "A 41079-2025")</f>
        <v/>
      </c>
      <c r="X41">
        <f>HYPERLINK("https://klasma.github.io/Logging_2425/kartor/A 41079-2025 karta.png", "A 41079-2025")</f>
        <v/>
      </c>
      <c r="Y41">
        <f>HYPERLINK("https://klasma.github.io/Logging_2425/kartor_geotiff/A 41079-2025 georefererad karta.tif", "A 41079-2025")</f>
        <v/>
      </c>
      <c r="AA41">
        <f>HYPERLINK("https://klasma.github.io/Logging_2425/klagomål/A 41079-2025 FSC-klagomål.docx", "A 41079-2025")</f>
        <v/>
      </c>
      <c r="AB41">
        <f>HYPERLINK("https://klasma.github.io/Logging_2425/klagomålsmail/A 41079-2025 FSC-klagomål mail.docx", "A 41079-2025")</f>
        <v/>
      </c>
      <c r="AC41">
        <f>HYPERLINK("https://klasma.github.io/Logging_2425/tillsyn/A 41079-2025 tillsynsbegäran.docx", "A 41079-2025")</f>
        <v/>
      </c>
      <c r="AD41">
        <f>HYPERLINK("https://klasma.github.io/Logging_2425/tillsynsmail/A 41079-2025 tillsynsbegäran mail.docx", "A 41079-2025")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46314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46314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1278-2024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45302</v>
      </c>
      <c r="E44" s="1" t="n">
        <v>46314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1.3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Gräddticka</t>
        </is>
      </c>
      <c r="W44">
        <f>HYPERLINK("https://klasma.github.io/Logging_2425/artfynd/A 1278-2024 artfynd.xlsx", "A 1278-2024")</f>
        <v/>
      </c>
      <c r="X44">
        <f>HYPERLINK("https://klasma.github.io/Logging_2425/kartor/A 1278-2024 karta.png", "A 1278-2024")</f>
        <v/>
      </c>
      <c r="Y44">
        <f>HYPERLINK("https://klasma.github.io/Logging_2425/kartor_geotiff/A 1278-2024 georefererad karta.tif", "A 1278-2024")</f>
        <v/>
      </c>
      <c r="AA44">
        <f>HYPERLINK("https://klasma.github.io/Logging_2425/klagomål/A 1278-2024 FSC-klagomål.docx", "A 1278-2024")</f>
        <v/>
      </c>
      <c r="AB44">
        <f>HYPERLINK("https://klasma.github.io/Logging_2425/klagomålsmail/A 1278-2024 FSC-klagomål mail.docx", "A 1278-2024")</f>
        <v/>
      </c>
      <c r="AC44">
        <f>HYPERLINK("https://klasma.github.io/Logging_2425/tillsyn/A 1278-2024 tillsynsbegäran.docx", "A 1278-2024")</f>
        <v/>
      </c>
      <c r="AD44">
        <f>HYPERLINK("https://klasma.github.io/Logging_2425/tillsynsmail/A 1278-2024 tillsynsbegäran mail.docx", "A 1278-2024")</f>
        <v/>
      </c>
    </row>
    <row r="45" ht="15" customHeight="1">
      <c r="A45" t="inlineStr">
        <is>
          <t>A 50530-2025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45945</v>
      </c>
      <c r="E45" s="1" t="n">
        <v>46314</v>
      </c>
      <c r="F45" t="inlineStr">
        <is>
          <t>VÄSTERBOTTENS LÄN</t>
        </is>
      </c>
      <c r="G45" t="inlineStr">
        <is>
          <t>DOROTEA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Ängsnycklar</t>
        </is>
      </c>
      <c r="W45">
        <f>HYPERLINK("https://klasma.github.io/Logging_2425/artfynd/A 50530-2025 artfynd.xlsx", "A 50530-2025")</f>
        <v/>
      </c>
      <c r="X45">
        <f>HYPERLINK("https://klasma.github.io/Logging_2425/kartor/A 50530-2025 karta.png", "A 50530-2025")</f>
        <v/>
      </c>
      <c r="Y45">
        <f>HYPERLINK("https://klasma.github.io/Logging_2425/kartor_geotiff/A 50530-2025 georefererad karta.tif", "A 50530-2025")</f>
        <v/>
      </c>
      <c r="AA45">
        <f>HYPERLINK("https://klasma.github.io/Logging_2425/klagomål/A 50530-2025 FSC-klagomål.docx", "A 50530-2025")</f>
        <v/>
      </c>
      <c r="AB45">
        <f>HYPERLINK("https://klasma.github.io/Logging_2425/klagomålsmail/A 50530-2025 FSC-klagomål mail.docx", "A 50530-2025")</f>
        <v/>
      </c>
      <c r="AC45">
        <f>HYPERLINK("https://klasma.github.io/Logging_2425/tillsyn/A 50530-2025 tillsynsbegäran.docx", "A 50530-2025")</f>
        <v/>
      </c>
      <c r="AD45">
        <f>HYPERLINK("https://klasma.github.io/Logging_2425/tillsynsmail/A 50530-2025 tillsynsbegäran mail.docx", "A 50530-2025")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46314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46314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46314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30357-2026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46209</v>
      </c>
      <c r="E49" s="1" t="n">
        <v>46314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Tajgahumla</t>
        </is>
      </c>
      <c r="W49">
        <f>HYPERLINK("https://klasma.github.io/Logging_2425/artfynd/A 30357-2026 artfynd.xlsx", "A 30357-2026")</f>
        <v/>
      </c>
      <c r="X49">
        <f>HYPERLINK("https://klasma.github.io/Logging_2425/kartor/A 30357-2026 karta.png", "A 30357-2026")</f>
        <v/>
      </c>
      <c r="Y49">
        <f>HYPERLINK("https://klasma.github.io/Logging_2425/kartor_geotiff/A 30357-2026 georefererad karta.tif", "A 30357-2026")</f>
        <v/>
      </c>
      <c r="AA49">
        <f>HYPERLINK("https://klasma.github.io/Logging_2425/klagomål/A 30357-2026 FSC-klagomål.docx", "A 30357-2026")</f>
        <v/>
      </c>
      <c r="AB49">
        <f>HYPERLINK("https://klasma.github.io/Logging_2425/klagomålsmail/A 30357-2026 FSC-klagomål mail.docx", "A 30357-2026")</f>
        <v/>
      </c>
      <c r="AC49">
        <f>HYPERLINK("https://klasma.github.io/Logging_2425/tillsyn/A 30357-2026 tillsynsbegäran.docx", "A 30357-2026")</f>
        <v/>
      </c>
      <c r="AD49">
        <f>HYPERLINK("https://klasma.github.io/Logging_2425/tillsynsmail/A 30357-2026 tillsynsbegäran mail.docx", "A 30357-2026")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46314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46314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46815-2023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45198</v>
      </c>
      <c r="E52" s="1" t="n">
        <v>46314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Harticka</t>
        </is>
      </c>
      <c r="W52">
        <f>HYPERLINK("https://klasma.github.io/Logging_2425/artfynd/A 46815-2023 artfynd.xlsx", "A 46815-2023")</f>
        <v/>
      </c>
      <c r="X52">
        <f>HYPERLINK("https://klasma.github.io/Logging_2425/kartor/A 46815-2023 karta.png", "A 46815-2023")</f>
        <v/>
      </c>
      <c r="Y52">
        <f>HYPERLINK("https://klasma.github.io/Logging_2425/kartor_geotiff/A 46815-2023 georefererad karta.tif", "A 46815-2023")</f>
        <v/>
      </c>
      <c r="AA52">
        <f>HYPERLINK("https://klasma.github.io/Logging_2425/klagomål/A 46815-2023 FSC-klagomål.docx", "A 46815-2023")</f>
        <v/>
      </c>
      <c r="AB52">
        <f>HYPERLINK("https://klasma.github.io/Logging_2425/klagomålsmail/A 46815-2023 FSC-klagomål mail.docx", "A 46815-2023")</f>
        <v/>
      </c>
      <c r="AC52">
        <f>HYPERLINK("https://klasma.github.io/Logging_2425/tillsyn/A 46815-2023 tillsynsbegäran.docx", "A 46815-2023")</f>
        <v/>
      </c>
      <c r="AD52">
        <f>HYPERLINK("https://klasma.github.io/Logging_2425/tillsynsmail/A 46815-2023 tillsynsbegäran mail.docx", "A 46815-2023")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46314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26440-2025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46314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26440-2025 artfynd.xlsx", "A 26440-2025")</f>
        <v/>
      </c>
      <c r="X54">
        <f>HYPERLINK("https://klasma.github.io/Logging_2425/kartor/A 26440-2025 karta.png", "A 26440-2025")</f>
        <v/>
      </c>
      <c r="Y54">
        <f>HYPERLINK("https://klasma.github.io/Logging_2425/kartor_geotiff/A 26440-2025 georefererad karta.tif", "A 26440-2025")</f>
        <v/>
      </c>
      <c r="AA54">
        <f>HYPERLINK("https://klasma.github.io/Logging_2425/klagomål/A 26440-2025 FSC-klagomål.docx", "A 26440-2025")</f>
        <v/>
      </c>
      <c r="AB54">
        <f>HYPERLINK("https://klasma.github.io/Logging_2425/klagomålsmail/A 26440-2025 FSC-klagomål mail.docx", "A 26440-2025")</f>
        <v/>
      </c>
      <c r="AC54">
        <f>HYPERLINK("https://klasma.github.io/Logging_2425/tillsyn/A 26440-2025 tillsynsbegäran.docx", "A 26440-2025")</f>
        <v/>
      </c>
      <c r="AD54">
        <f>HYPERLINK("https://klasma.github.io/Logging_2425/tillsynsmail/A 26440-2025 tillsynsbegäran mail.docx", "A 26440-2025")</f>
        <v/>
      </c>
    </row>
    <row r="55" ht="15" customHeight="1">
      <c r="A55" t="inlineStr">
        <is>
          <t>A 20600-2023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45057</v>
      </c>
      <c r="E55" s="1" t="n">
        <v>46314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Korallrot</t>
        </is>
      </c>
      <c r="W55">
        <f>HYPERLINK("https://klasma.github.io/Logging_2425/artfynd/A 20600-2023 artfynd.xlsx", "A 20600-2023")</f>
        <v/>
      </c>
      <c r="X55">
        <f>HYPERLINK("https://klasma.github.io/Logging_2425/kartor/A 20600-2023 karta.png", "A 20600-2023")</f>
        <v/>
      </c>
      <c r="Y55">
        <f>HYPERLINK("https://klasma.github.io/Logging_2425/kartor_geotiff/A 20600-2023 georefererad karta.tif", "A 20600-2023")</f>
        <v/>
      </c>
      <c r="AA55">
        <f>HYPERLINK("https://klasma.github.io/Logging_2425/klagomål/A 20600-2023 FSC-klagomål.docx", "A 20600-2023")</f>
        <v/>
      </c>
      <c r="AB55">
        <f>HYPERLINK("https://klasma.github.io/Logging_2425/klagomålsmail/A 20600-2023 FSC-klagomål mail.docx", "A 20600-2023")</f>
        <v/>
      </c>
      <c r="AC55">
        <f>HYPERLINK("https://klasma.github.io/Logging_2425/tillsyn/A 20600-2023 tillsynsbegäran.docx", "A 20600-2023")</f>
        <v/>
      </c>
      <c r="AD55">
        <f>HYPERLINK("https://klasma.github.io/Logging_2425/tillsynsmail/A 20600-2023 tillsynsbegäran mail.docx", "A 20600-2023")</f>
        <v/>
      </c>
    </row>
    <row r="56" ht="15" customHeight="1">
      <c r="A56" t="inlineStr">
        <is>
          <t>A 42536-2026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46308</v>
      </c>
      <c r="E56" s="1" t="n">
        <v>46314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8.6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Lappranunkel</t>
        </is>
      </c>
      <c r="W56">
        <f>HYPERLINK("https://klasma.github.io/Logging_2425/artfynd/A 42536-2026 artfynd.xlsx", "A 42536-2026")</f>
        <v/>
      </c>
      <c r="X56">
        <f>HYPERLINK("https://klasma.github.io/Logging_2425/kartor/A 42536-2026 karta.png", "A 42536-2026")</f>
        <v/>
      </c>
      <c r="Y56">
        <f>HYPERLINK("https://klasma.github.io/Logging_2425/kartor_geotiff/A 42536-2026 georefererad karta.tif", "A 42536-2026")</f>
        <v/>
      </c>
      <c r="AA56">
        <f>HYPERLINK("https://klasma.github.io/Logging_2425/klagomål/A 42536-2026 FSC-klagomål.docx", "A 42536-2026")</f>
        <v/>
      </c>
      <c r="AB56">
        <f>HYPERLINK("https://klasma.github.io/Logging_2425/klagomålsmail/A 42536-2026 FSC-klagomål mail.docx", "A 42536-2026")</f>
        <v/>
      </c>
      <c r="AC56">
        <f>HYPERLINK("https://klasma.github.io/Logging_2425/tillsyn/A 42536-2026 tillsynsbegäran.docx", "A 42536-2026")</f>
        <v/>
      </c>
      <c r="AD56">
        <f>HYPERLINK("https://klasma.github.io/Logging_2425/tillsynsmail/A 42536-2026 tillsynsbegäran mail.docx", "A 42536-2026")</f>
        <v/>
      </c>
    </row>
    <row r="57" ht="15" customHeight="1">
      <c r="A57" t="inlineStr">
        <is>
          <t>S 877-2022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44606</v>
      </c>
      <c r="E57" s="1" t="n">
        <v>46314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598.1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Gammelgransskål</t>
        </is>
      </c>
      <c r="W57">
        <f>HYPERLINK("https://klasma.github.io/Logging_2425/artfynd/S 877-2022 artfynd.xlsx", "S 877-2022")</f>
        <v/>
      </c>
      <c r="X57">
        <f>HYPERLINK("https://klasma.github.io/Logging_2425/kartor/S 877-2022 karta.png", "S 877-2022")</f>
        <v/>
      </c>
      <c r="Y57">
        <f>HYPERLINK("https://klasma.github.io/Logging_2425/kartor_geotiff/S 877-2022 georefererad karta.tif", "S 877-2022")</f>
        <v/>
      </c>
      <c r="AA57">
        <f>HYPERLINK("https://klasma.github.io/Logging_2425/klagomål/S 877-2022 FSC-klagomål.docx", "S 877-2022")</f>
        <v/>
      </c>
      <c r="AB57">
        <f>HYPERLINK("https://klasma.github.io/Logging_2425/klagomålsmail/S 877-2022 FSC-klagomål mail.docx", "S 877-2022")</f>
        <v/>
      </c>
      <c r="AC57">
        <f>HYPERLINK("https://klasma.github.io/Logging_2425/tillsyn/S 877-2022 tillsynsbegäran.docx", "S 877-2022")</f>
        <v/>
      </c>
      <c r="AD57">
        <f>HYPERLINK("https://klasma.github.io/Logging_2425/tillsynsmail/S 877-2022 tillsynsbegäran mail.docx", "S 877-2022")</f>
        <v/>
      </c>
    </row>
    <row r="58" ht="15" customHeight="1">
      <c r="A58" t="inlineStr">
        <is>
          <t>S 1194-2025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45756</v>
      </c>
      <c r="E58" s="1" t="n">
        <v>46314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13.9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Stjärntagging</t>
        </is>
      </c>
      <c r="W58">
        <f>HYPERLINK("https://klasma.github.io/Logging_2425/artfynd/S 1194-2025 artfynd.xlsx", "S 1194-2025")</f>
        <v/>
      </c>
      <c r="X58">
        <f>HYPERLINK("https://klasma.github.io/Logging_2425/kartor/S 1194-2025 karta.png", "S 1194-2025")</f>
        <v/>
      </c>
      <c r="Y58">
        <f>HYPERLINK("https://klasma.github.io/Logging_2425/kartor_geotiff/S 1194-2025 georefererad karta.tif", "S 1194-2025")</f>
        <v/>
      </c>
      <c r="AA58">
        <f>HYPERLINK("https://klasma.github.io/Logging_2425/klagomål/S 1194-2025 FSC-klagomål.docx", "S 1194-2025")</f>
        <v/>
      </c>
      <c r="AB58">
        <f>HYPERLINK("https://klasma.github.io/Logging_2425/klagomålsmail/S 1194-2025 FSC-klagomål mail.docx", "S 1194-2025")</f>
        <v/>
      </c>
      <c r="AC58">
        <f>HYPERLINK("https://klasma.github.io/Logging_2425/tillsyn/S 1194-2025 tillsynsbegäran.docx", "S 1194-2025")</f>
        <v/>
      </c>
      <c r="AD58">
        <f>HYPERLINK("https://klasma.github.io/Logging_2425/tillsynsmail/S 1194-2025 tillsynsbegäran mail.docx", "S 1194-2025")</f>
        <v/>
      </c>
    </row>
    <row r="59" ht="15" customHeight="1">
      <c r="A59" t="inlineStr">
        <is>
          <t>S 2107-2026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46240</v>
      </c>
      <c r="E59" s="1" t="n">
        <v>46314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2107-2026 artfynd.xlsx", "S 2107-2026")</f>
        <v/>
      </c>
      <c r="X59">
        <f>HYPERLINK("https://klasma.github.io/Logging_2425/kartor/S 2107-2026 karta.png", "S 2107-2026")</f>
        <v/>
      </c>
      <c r="Y59">
        <f>HYPERLINK("https://klasma.github.io/Logging_2425/kartor_geotiff/S 2107-2026 georefererad karta.tif", "S 2107-2026")</f>
        <v/>
      </c>
      <c r="AA59">
        <f>HYPERLINK("https://klasma.github.io/Logging_2425/klagomål/S 2107-2026 FSC-klagomål.docx", "S 2107-2026")</f>
        <v/>
      </c>
      <c r="AB59">
        <f>HYPERLINK("https://klasma.github.io/Logging_2425/klagomålsmail/S 2107-2026 FSC-klagomål mail.docx", "S 2107-2026")</f>
        <v/>
      </c>
      <c r="AC59">
        <f>HYPERLINK("https://klasma.github.io/Logging_2425/tillsyn/S 2107-2026 tillsynsbegäran.docx", "S 2107-2026")</f>
        <v/>
      </c>
      <c r="AD59">
        <f>HYPERLINK("https://klasma.github.io/Logging_2425/tillsynsmail/S 2107-2026 tillsynsbegäran mail.docx", "S 2107-2026")</f>
        <v/>
      </c>
    </row>
    <row r="60" ht="15" customHeight="1">
      <c r="A60" t="inlineStr">
        <is>
          <t>S 2218-2026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46258</v>
      </c>
      <c r="E60" s="1" t="n">
        <v>46314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HYPERLINK("https://klasma.github.io/Logging_2425/artfynd/S 2218-2026 artfynd.xlsx", "S 2218-2026")</f>
        <v/>
      </c>
      <c r="X60">
        <f>HYPERLINK("https://klasma.github.io/Logging_2425/kartor/S 2218-2026 karta.png", "S 2218-2026")</f>
        <v/>
      </c>
      <c r="Y60">
        <f>HYPERLINK("https://klasma.github.io/Logging_2425/kartor_geotiff/S 2218-2026 georefererad karta.tif", "S 2218-2026")</f>
        <v/>
      </c>
      <c r="AA60">
        <f>HYPERLINK("https://klasma.github.io/Logging_2425/klagomål/S 2218-2026 FSC-klagomål.docx", "S 2218-2026")</f>
        <v/>
      </c>
      <c r="AB60">
        <f>HYPERLINK("https://klasma.github.io/Logging_2425/klagomålsmail/S 2218-2026 FSC-klagomål mail.docx", "S 2218-2026")</f>
        <v/>
      </c>
      <c r="AC60">
        <f>HYPERLINK("https://klasma.github.io/Logging_2425/tillsyn/S 2218-2026 tillsynsbegäran.docx", "S 2218-2026")</f>
        <v/>
      </c>
      <c r="AD60">
        <f>HYPERLINK("https://klasma.github.io/Logging_2425/tillsynsmail/S 2218-2026 tillsynsbegäran mail.docx", "S 2218-2026")</f>
        <v/>
      </c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46314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37833-2022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44810</v>
      </c>
      <c r="E62" s="1" t="n">
        <v>46314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44629</v>
      </c>
      <c r="E63" s="1" t="n">
        <v>46314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43403-2022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46314</v>
      </c>
      <c r="F64" t="inlineStr">
        <is>
          <t>VÄSTERBOTTENS LÄN</t>
        </is>
      </c>
      <c r="G64" t="inlineStr">
        <is>
          <t>DOROTEA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46314</v>
      </c>
      <c r="F65" t="inlineStr">
        <is>
          <t>VÄSTERBOTTENS LÄN</t>
        </is>
      </c>
      <c r="G65" t="inlineStr">
        <is>
          <t>DOROTEA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46314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46314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46314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44587</v>
      </c>
      <c r="E69" s="1" t="n">
        <v>46314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46314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55549-2024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46314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46314</v>
      </c>
      <c r="F72" t="inlineStr">
        <is>
          <t>VÄSTERBOTTENS LÄN</t>
        </is>
      </c>
      <c r="G72" t="inlineStr">
        <is>
          <t>DOROTEA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46314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46314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46314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46314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45036</v>
      </c>
      <c r="E77" s="1" t="n">
        <v>46314</v>
      </c>
      <c r="F77" t="inlineStr">
        <is>
          <t>VÄSTERBOTTENS LÄN</t>
        </is>
      </c>
      <c r="G77" t="inlineStr">
        <is>
          <t>DOROTEA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27477-2023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45097</v>
      </c>
      <c r="E78" s="1" t="n">
        <v>46314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45491</v>
      </c>
      <c r="E79" s="1" t="n">
        <v>46314</v>
      </c>
      <c r="F79" t="inlineStr">
        <is>
          <t>VÄSTERBOTTENS LÄN</t>
        </is>
      </c>
      <c r="G79" t="inlineStr">
        <is>
          <t>DOROTEA</t>
        </is>
      </c>
      <c r="H79" t="inlineStr">
        <is>
          <t>Sveaskog</t>
        </is>
      </c>
      <c r="I79" t="n">
        <v>13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45446</v>
      </c>
      <c r="E80" s="1" t="n">
        <v>46314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45125</v>
      </c>
      <c r="E81" s="1" t="n">
        <v>46314</v>
      </c>
      <c r="F81" t="inlineStr">
        <is>
          <t>VÄSTERBOTTENS LÄN</t>
        </is>
      </c>
      <c r="G81" t="inlineStr">
        <is>
          <t>DOROTEA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46314</v>
      </c>
      <c r="F82" t="inlineStr">
        <is>
          <t>VÄSTERBOTTENS LÄN</t>
        </is>
      </c>
      <c r="G82" t="inlineStr">
        <is>
          <t>DOROTEA</t>
        </is>
      </c>
      <c r="I82" t="n">
        <v>12.3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46314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46314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34702-2023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46314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46314</v>
      </c>
      <c r="F86" t="inlineStr">
        <is>
          <t>VÄSTERBOTTENS LÄN</t>
        </is>
      </c>
      <c r="G86" t="inlineStr">
        <is>
          <t>DOROTEA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25028-2024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45461</v>
      </c>
      <c r="E87" s="1" t="n">
        <v>46314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45547</v>
      </c>
      <c r="E88" s="1" t="n">
        <v>46314</v>
      </c>
      <c r="F88" t="inlineStr">
        <is>
          <t>VÄSTERBOTTENS LÄN</t>
        </is>
      </c>
      <c r="G88" t="inlineStr">
        <is>
          <t>DOROTEA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46314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45036</v>
      </c>
      <c r="E90" s="1" t="n">
        <v>46314</v>
      </c>
      <c r="F90" t="inlineStr">
        <is>
          <t>VÄSTERBOTTENS LÄN</t>
        </is>
      </c>
      <c r="G90" t="inlineStr">
        <is>
          <t>DOROTEA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8246-2024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45351</v>
      </c>
      <c r="E91" s="1" t="n">
        <v>46314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48006-2023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45198</v>
      </c>
      <c r="E92" s="1" t="n">
        <v>46314</v>
      </c>
      <c r="F92" t="inlineStr">
        <is>
          <t>VÄSTERBOTTENS LÄN</t>
        </is>
      </c>
      <c r="G92" t="inlineStr">
        <is>
          <t>DOROTEA</t>
        </is>
      </c>
      <c r="H92" t="inlineStr">
        <is>
          <t>Övriga statliga verk och myndigheter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53117-2023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45228</v>
      </c>
      <c r="E93" s="1" t="n">
        <v>46314</v>
      </c>
      <c r="F93" t="inlineStr">
        <is>
          <t>VÄSTERBOTTENS LÄN</t>
        </is>
      </c>
      <c r="G93" t="inlineStr">
        <is>
          <t>DOROTEA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45228</v>
      </c>
      <c r="E94" s="1" t="n">
        <v>46314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44582</v>
      </c>
      <c r="E95" s="1" t="n">
        <v>46314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45013</v>
      </c>
      <c r="E96" s="1" t="n">
        <v>46314</v>
      </c>
      <c r="F96" t="inlineStr">
        <is>
          <t>VÄSTERBOTTENS LÄN</t>
        </is>
      </c>
      <c r="G96" t="inlineStr">
        <is>
          <t>DOROTEA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46965-2024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45586</v>
      </c>
      <c r="E97" s="1" t="n">
        <v>46314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45720</v>
      </c>
      <c r="E98" s="1" t="n">
        <v>46314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46314</v>
      </c>
      <c r="F99" t="inlineStr">
        <is>
          <t>VÄSTERBOTTENS LÄN</t>
        </is>
      </c>
      <c r="G99" t="inlineStr">
        <is>
          <t>DOROTEA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46314</v>
      </c>
      <c r="F100" t="inlineStr">
        <is>
          <t>VÄSTERBOTTENS LÄN</t>
        </is>
      </c>
      <c r="G100" t="inlineStr">
        <is>
          <t>DOROTEA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27305-2024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45471</v>
      </c>
      <c r="E101" s="1" t="n">
        <v>46314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45882</v>
      </c>
      <c r="E102" s="1" t="n">
        <v>46314</v>
      </c>
      <c r="F102" t="inlineStr">
        <is>
          <t>VÄSTERBOTTENS LÄN</t>
        </is>
      </c>
      <c r="G102" t="inlineStr">
        <is>
          <t>DOROTEA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46314</v>
      </c>
      <c r="F103" t="inlineStr">
        <is>
          <t>VÄSTERBOTTENS LÄN</t>
        </is>
      </c>
      <c r="G103" t="inlineStr">
        <is>
          <t>DOROTEA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46314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45882</v>
      </c>
      <c r="E105" s="1" t="n">
        <v>46314</v>
      </c>
      <c r="F105" t="inlineStr">
        <is>
          <t>VÄSTERBOTTENS LÄN</t>
        </is>
      </c>
      <c r="G105" t="inlineStr">
        <is>
          <t>DOROTEA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45712</v>
      </c>
      <c r="E106" s="1" t="n">
        <v>46314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46314</v>
      </c>
      <c r="F107" t="inlineStr">
        <is>
          <t>VÄSTERBOTTENS LÄN</t>
        </is>
      </c>
      <c r="G107" t="inlineStr">
        <is>
          <t>DOROTEA</t>
        </is>
      </c>
      <c r="I107" t="n">
        <v>13.3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20390-2026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46314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46314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20332-2026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46314</v>
      </c>
      <c r="F110" t="inlineStr">
        <is>
          <t>VÄSTERBOTTENS LÄN</t>
        </is>
      </c>
      <c r="G110" t="inlineStr">
        <is>
          <t>DOROTEA</t>
        </is>
      </c>
      <c r="I110" t="n">
        <v>4.9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46314</v>
      </c>
      <c r="F111" t="inlineStr">
        <is>
          <t>VÄSTERBOTTENS LÄN</t>
        </is>
      </c>
      <c r="G111" t="inlineStr">
        <is>
          <t>DOROTEA</t>
        </is>
      </c>
      <c r="I111" t="n">
        <v>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45331</v>
      </c>
      <c r="E112" s="1" t="n">
        <v>46314</v>
      </c>
      <c r="F112" t="inlineStr">
        <is>
          <t>VÄSTERBOTTENS LÄN</t>
        </is>
      </c>
      <c r="G112" t="inlineStr">
        <is>
          <t>DOROTEA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57431-2022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46314</v>
      </c>
      <c r="F113" t="inlineStr">
        <is>
          <t>VÄSTERBOTTENS LÄN</t>
        </is>
      </c>
      <c r="G113" t="inlineStr">
        <is>
          <t>DOROTEA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46314</v>
      </c>
      <c r="F114" t="inlineStr">
        <is>
          <t>VÄSTERBOTTENS LÄN</t>
        </is>
      </c>
      <c r="G114" t="inlineStr">
        <is>
          <t>DOROTEA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46314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46314</v>
      </c>
      <c r="F116" t="inlineStr">
        <is>
          <t>VÄSTERBOTTENS LÄN</t>
        </is>
      </c>
      <c r="G116" t="inlineStr">
        <is>
          <t>DOROTEA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59329-2025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45988</v>
      </c>
      <c r="E117" s="1" t="n">
        <v>46314</v>
      </c>
      <c r="F117" t="inlineStr">
        <is>
          <t>VÄSTERBOTTENS LÄN</t>
        </is>
      </c>
      <c r="G117" t="inlineStr">
        <is>
          <t>DOROTEA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45893</v>
      </c>
      <c r="E118" s="1" t="n">
        <v>46314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45140</v>
      </c>
      <c r="E119" s="1" t="n">
        <v>46314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45855</v>
      </c>
      <c r="E120" s="1" t="n">
        <v>46314</v>
      </c>
      <c r="F120" t="inlineStr">
        <is>
          <t>VÄSTERBOTTENS LÄN</t>
        </is>
      </c>
      <c r="G120" t="inlineStr">
        <is>
          <t>DOROTEA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20321-2026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46136</v>
      </c>
      <c r="E121" s="1" t="n">
        <v>46314</v>
      </c>
      <c r="F121" t="inlineStr">
        <is>
          <t>VÄSTERBOTTENS LÄN</t>
        </is>
      </c>
      <c r="G121" t="inlineStr">
        <is>
          <t>DOROTEA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46314</v>
      </c>
      <c r="F122" t="inlineStr">
        <is>
          <t>VÄSTERBOTTENS LÄN</t>
        </is>
      </c>
      <c r="G122" t="inlineStr">
        <is>
          <t>DOROTEA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46314</v>
      </c>
      <c r="F123" t="inlineStr">
        <is>
          <t>VÄSTERBOTTENS LÄN</t>
        </is>
      </c>
      <c r="G123" t="inlineStr">
        <is>
          <t>DOROTEA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45295</v>
      </c>
      <c r="E124" s="1" t="n">
        <v>46314</v>
      </c>
      <c r="F124" t="inlineStr">
        <is>
          <t>VÄSTERBOTTENS LÄN</t>
        </is>
      </c>
      <c r="G124" t="inlineStr">
        <is>
          <t>DOROTEA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20680-2026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46314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45876</v>
      </c>
      <c r="E126" s="1" t="n">
        <v>46314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46136</v>
      </c>
      <c r="E127" s="1" t="n">
        <v>46314</v>
      </c>
      <c r="F127" t="inlineStr">
        <is>
          <t>VÄSTERBOTTENS LÄN</t>
        </is>
      </c>
      <c r="G127" t="inlineStr">
        <is>
          <t>DOROTEA</t>
        </is>
      </c>
      <c r="I127" t="n">
        <v>17.8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46314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46314</v>
      </c>
      <c r="F129" t="inlineStr">
        <is>
          <t>VÄSTERBOTTENS LÄN</t>
        </is>
      </c>
      <c r="G129" t="inlineStr">
        <is>
          <t>DOROTEA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46314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46314</v>
      </c>
      <c r="F131" t="inlineStr">
        <is>
          <t>VÄSTERBOTTENS LÄN</t>
        </is>
      </c>
      <c r="G131" t="inlineStr">
        <is>
          <t>DOROTEA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41871-2025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45903</v>
      </c>
      <c r="E132" s="1" t="n">
        <v>46314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46314</v>
      </c>
      <c r="F133" t="inlineStr">
        <is>
          <t>VÄSTERBOTTENS LÄN</t>
        </is>
      </c>
      <c r="G133" t="inlineStr">
        <is>
          <t>DOROTEA</t>
        </is>
      </c>
      <c r="I133" t="n">
        <v>31.7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63575-2025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46314</v>
      </c>
      <c r="F134" t="inlineStr">
        <is>
          <t>VÄSTERBOTTENS LÄN</t>
        </is>
      </c>
      <c r="G134" t="inlineStr">
        <is>
          <t>DOROTEA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46314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46314</v>
      </c>
      <c r="F136" t="inlineStr">
        <is>
          <t>VÄSTERBOTTENS LÄN</t>
        </is>
      </c>
      <c r="G136" t="inlineStr">
        <is>
          <t>DOROTEA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20231-2026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46314</v>
      </c>
      <c r="F137" t="inlineStr">
        <is>
          <t>VÄSTERBOTTENS LÄN</t>
        </is>
      </c>
      <c r="G137" t="inlineStr">
        <is>
          <t>DOROTEA</t>
        </is>
      </c>
      <c r="I137" t="n">
        <v>21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45678</v>
      </c>
      <c r="E138" s="1" t="n">
        <v>46314</v>
      </c>
      <c r="F138" t="inlineStr">
        <is>
          <t>VÄSTERBOTTENS LÄN</t>
        </is>
      </c>
      <c r="G138" t="inlineStr">
        <is>
          <t>DOROTEA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45866</v>
      </c>
      <c r="E139" s="1" t="n">
        <v>46314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45142</v>
      </c>
      <c r="E140" s="1" t="n">
        <v>46314</v>
      </c>
      <c r="F140" t="inlineStr">
        <is>
          <t>VÄSTERBOTTENS LÄN</t>
        </is>
      </c>
      <c r="G140" t="inlineStr">
        <is>
          <t>DOROTEA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46314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45915</v>
      </c>
      <c r="E142" s="1" t="n">
        <v>46314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45915</v>
      </c>
      <c r="E143" s="1" t="n">
        <v>46314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45912</v>
      </c>
      <c r="E144" s="1" t="n">
        <v>46314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46314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46314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44282-2025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45916</v>
      </c>
      <c r="E147" s="1" t="n">
        <v>46314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46314</v>
      </c>
      <c r="F148" t="inlineStr">
        <is>
          <t>VÄSTERBOTTENS LÄN</t>
        </is>
      </c>
      <c r="G148" t="inlineStr">
        <is>
          <t>DOROTEA</t>
        </is>
      </c>
      <c r="H148" t="inlineStr">
        <is>
          <t>Övriga statliga verk och myndigheter</t>
        </is>
      </c>
      <c r="I148" t="n">
        <v>15.2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46314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46314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45757</v>
      </c>
      <c r="E151" s="1" t="n">
        <v>46314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46314</v>
      </c>
      <c r="F152" t="inlineStr">
        <is>
          <t>VÄSTERBOTTENS LÄN</t>
        </is>
      </c>
      <c r="G152" t="inlineStr">
        <is>
          <t>DOROTEA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21152-2026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46146</v>
      </c>
      <c r="E153" s="1" t="n">
        <v>46314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46314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46314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46314</v>
      </c>
      <c r="F156" t="inlineStr">
        <is>
          <t>VÄSTERBOTTENS LÄN</t>
        </is>
      </c>
      <c r="G156" t="inlineStr">
        <is>
          <t>DOROTEA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46314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21332-2026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46314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45845</v>
      </c>
      <c r="E159" s="1" t="n">
        <v>46314</v>
      </c>
      <c r="F159" t="inlineStr">
        <is>
          <t>VÄSTERBOTTENS LÄN</t>
        </is>
      </c>
      <c r="G159" t="inlineStr">
        <is>
          <t>DOROTEA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46314</v>
      </c>
      <c r="F160" t="inlineStr">
        <is>
          <t>VÄSTERBOTTENS LÄN</t>
        </is>
      </c>
      <c r="G160" t="inlineStr">
        <is>
          <t>DOROTEA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46314</v>
      </c>
      <c r="F161" t="inlineStr">
        <is>
          <t>VÄSTERBOTTENS LÄN</t>
        </is>
      </c>
      <c r="G161" t="inlineStr">
        <is>
          <t>DOROTEA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27780-2026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46314</v>
      </c>
      <c r="F162" t="inlineStr">
        <is>
          <t>VÄSTERBOTTENS LÄN</t>
        </is>
      </c>
      <c r="G162" t="inlineStr">
        <is>
          <t>DOROTEA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45770</v>
      </c>
      <c r="E163" s="1" t="n">
        <v>46314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27762-2026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46189</v>
      </c>
      <c r="E164" s="1" t="n">
        <v>46314</v>
      </c>
      <c r="F164" t="inlineStr">
        <is>
          <t>VÄSTERBOTTENS LÄN</t>
        </is>
      </c>
      <c r="G164" t="inlineStr">
        <is>
          <t>DOROTEA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46149</v>
      </c>
      <c r="E165" s="1" t="n">
        <v>46314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46314</v>
      </c>
      <c r="F166" t="inlineStr">
        <is>
          <t>VÄSTERBOTTENS LÄN</t>
        </is>
      </c>
      <c r="G166" t="inlineStr">
        <is>
          <t>DOROTEA</t>
        </is>
      </c>
      <c r="I166" t="n">
        <v>10.3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46150</v>
      </c>
      <c r="E167" s="1" t="n">
        <v>46314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46314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46314</v>
      </c>
      <c r="F169" t="inlineStr">
        <is>
          <t>VÄSTERBOTTENS LÄN</t>
        </is>
      </c>
      <c r="G169" t="inlineStr">
        <is>
          <t>DOROTEA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46314</v>
      </c>
      <c r="F170" t="inlineStr">
        <is>
          <t>VÄSTERBOTTENS LÄN</t>
        </is>
      </c>
      <c r="G170" t="inlineStr">
        <is>
          <t>DOROTEA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46314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48510-2025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46314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46314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49408-2025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46314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46314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45639</v>
      </c>
      <c r="E176" s="1" t="n">
        <v>46314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46314</v>
      </c>
      <c r="F177" t="inlineStr">
        <is>
          <t>VÄSTERBOTTENS LÄN</t>
        </is>
      </c>
      <c r="G177" t="inlineStr">
        <is>
          <t>DOROTEA</t>
        </is>
      </c>
      <c r="H177" t="inlineStr">
        <is>
          <t>Kommuner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46314</v>
      </c>
      <c r="F178" t="inlineStr">
        <is>
          <t>VÄSTERBOTTENS LÄN</t>
        </is>
      </c>
      <c r="G178" t="inlineStr">
        <is>
          <t>DOROTEA</t>
        </is>
      </c>
      <c r="I178" t="n">
        <v>28.8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46314</v>
      </c>
      <c r="F179" t="inlineStr">
        <is>
          <t>VÄSTERBOTTENS LÄN</t>
        </is>
      </c>
      <c r="G179" t="inlineStr">
        <is>
          <t>DOROTEA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46314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46155</v>
      </c>
      <c r="E181" s="1" t="n">
        <v>46314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45539</v>
      </c>
      <c r="E182" s="1" t="n">
        <v>46314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46314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46314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10402-2025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45720</v>
      </c>
      <c r="E185" s="1" t="n">
        <v>46314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55888-2022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46314</v>
      </c>
      <c r="F186" t="inlineStr">
        <is>
          <t>VÄSTERBOTTENS LÄN</t>
        </is>
      </c>
      <c r="G186" t="inlineStr">
        <is>
          <t>DOROTEA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44925</v>
      </c>
      <c r="E187" s="1" t="n">
        <v>46314</v>
      </c>
      <c r="F187" t="inlineStr">
        <is>
          <t>VÄSTERBOTTENS LÄN</t>
        </is>
      </c>
      <c r="G187" t="inlineStr">
        <is>
          <t>DOROTEA</t>
        </is>
      </c>
      <c r="I187" t="n">
        <v>22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6621-2023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44960</v>
      </c>
      <c r="E188" s="1" t="n">
        <v>46314</v>
      </c>
      <c r="F188" t="inlineStr">
        <is>
          <t>VÄSTERBOTTENS LÄN</t>
        </is>
      </c>
      <c r="G188" t="inlineStr">
        <is>
          <t>DOROTEA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46314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46314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38096-2025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45882</v>
      </c>
      <c r="E191" s="1" t="n">
        <v>46314</v>
      </c>
      <c r="F191" t="inlineStr">
        <is>
          <t>VÄSTERBOTTENS LÄN</t>
        </is>
      </c>
      <c r="G191" t="inlineStr">
        <is>
          <t>DOROTEA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46107</v>
      </c>
      <c r="E192" s="1" t="n">
        <v>46314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38377-2023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46314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46314</v>
      </c>
      <c r="F194" t="inlineStr">
        <is>
          <t>VÄSTERBOTTENS LÄN</t>
        </is>
      </c>
      <c r="G194" t="inlineStr">
        <is>
          <t>DOROTEA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45505</v>
      </c>
      <c r="E195" s="1" t="n">
        <v>46314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45614</v>
      </c>
      <c r="E196" s="1" t="n">
        <v>46314</v>
      </c>
      <c r="F196" t="inlineStr">
        <is>
          <t>VÄSTERBOTTENS LÄN</t>
        </is>
      </c>
      <c r="G196" t="inlineStr">
        <is>
          <t>DOROTEA</t>
        </is>
      </c>
      <c r="I196" t="n">
        <v>26.5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46314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60163-2024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46314</v>
      </c>
      <c r="F198" t="inlineStr">
        <is>
          <t>VÄSTERBOTTENS LÄN</t>
        </is>
      </c>
      <c r="G198" t="inlineStr">
        <is>
          <t>DOROTEA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45224</v>
      </c>
      <c r="E199" s="1" t="n">
        <v>46314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46314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30461-2024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45491</v>
      </c>
      <c r="E201" s="1" t="n">
        <v>46314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7.1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46314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46314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45962</v>
      </c>
      <c r="E204" s="1" t="n">
        <v>46314</v>
      </c>
      <c r="F204" t="inlineStr">
        <is>
          <t>VÄSTERBOTTENS LÄN</t>
        </is>
      </c>
      <c r="G204" t="inlineStr">
        <is>
          <t>DOROTEA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23214-2026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46314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23408-2026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46162</v>
      </c>
      <c r="E206" s="1" t="n">
        <v>46314</v>
      </c>
      <c r="F206" t="inlineStr">
        <is>
          <t>VÄSTERBOTTENS LÄN</t>
        </is>
      </c>
      <c r="G206" t="inlineStr">
        <is>
          <t>DOROTEA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45217</v>
      </c>
      <c r="E207" s="1" t="n">
        <v>46314</v>
      </c>
      <c r="F207" t="inlineStr">
        <is>
          <t>VÄSTERBOTTENS LÄN</t>
        </is>
      </c>
      <c r="G207" t="inlineStr">
        <is>
          <t>DOROTEA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44974</v>
      </c>
      <c r="E208" s="1" t="n">
        <v>46314</v>
      </c>
      <c r="F208" t="inlineStr">
        <is>
          <t>VÄSTERBOTTENS LÄN</t>
        </is>
      </c>
      <c r="G208" t="inlineStr">
        <is>
          <t>DOROTEA</t>
        </is>
      </c>
      <c r="I208" t="n">
        <v>14.8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56556-2025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46314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45975</v>
      </c>
      <c r="E210" s="1" t="n">
        <v>46314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44956</v>
      </c>
      <c r="E211" s="1" t="n">
        <v>46314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56707-2025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45977</v>
      </c>
      <c r="E212" s="1" t="n">
        <v>46314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45978</v>
      </c>
      <c r="E213" s="1" t="n">
        <v>46314</v>
      </c>
      <c r="F213" t="inlineStr">
        <is>
          <t>VÄSTERBOTTENS LÄN</t>
        </is>
      </c>
      <c r="G213" t="inlineStr">
        <is>
          <t>DOROTEA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46314</v>
      </c>
      <c r="F214" t="inlineStr">
        <is>
          <t>VÄSTERBOTTENS LÄN</t>
        </is>
      </c>
      <c r="G214" t="inlineStr">
        <is>
          <t>DOROTEA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46314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46314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46314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46314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46314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45981</v>
      </c>
      <c r="E220" s="1" t="n">
        <v>46314</v>
      </c>
      <c r="F220" t="inlineStr">
        <is>
          <t>VÄSTERBOTTENS LÄN</t>
        </is>
      </c>
      <c r="G220" t="inlineStr">
        <is>
          <t>DOROTEA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46314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50582-2024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45600</v>
      </c>
      <c r="E222" s="1" t="n">
        <v>46314</v>
      </c>
      <c r="F222" t="inlineStr">
        <is>
          <t>VÄSTERBOTTENS LÄN</t>
        </is>
      </c>
      <c r="G222" t="inlineStr">
        <is>
          <t>DOROTEA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46314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46314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46314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46314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60153-2024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46314</v>
      </c>
      <c r="F227" t="inlineStr">
        <is>
          <t>VÄSTERBOTTENS LÄN</t>
        </is>
      </c>
      <c r="G227" t="inlineStr">
        <is>
          <t>DOROTEA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45642</v>
      </c>
      <c r="E228" s="1" t="n">
        <v>46314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45988</v>
      </c>
      <c r="E229" s="1" t="n">
        <v>46314</v>
      </c>
      <c r="F229" t="inlineStr">
        <is>
          <t>VÄSTERBOTTENS LÄN</t>
        </is>
      </c>
      <c r="G229" t="inlineStr">
        <is>
          <t>DOROTEA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46314</v>
      </c>
      <c r="F230" t="inlineStr">
        <is>
          <t>VÄSTERBOTTENS LÄN</t>
        </is>
      </c>
      <c r="G230" t="inlineStr">
        <is>
          <t>DOROTEA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46314</v>
      </c>
      <c r="F231" t="inlineStr">
        <is>
          <t>VÄSTERBOTTENS LÄN</t>
        </is>
      </c>
      <c r="G231" t="inlineStr">
        <is>
          <t>DOROTEA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35937-2025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45862</v>
      </c>
      <c r="E232" s="1" t="n">
        <v>46314</v>
      </c>
      <c r="F232" t="inlineStr">
        <is>
          <t>VÄSTERBOTTENS LÄN</t>
        </is>
      </c>
      <c r="G232" t="inlineStr">
        <is>
          <t>DOROTEA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60724-2025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46314</v>
      </c>
      <c r="F233" t="inlineStr">
        <is>
          <t>VÄSTERBOTTENS LÄN</t>
        </is>
      </c>
      <c r="G233" t="inlineStr">
        <is>
          <t>DOROTEA</t>
        </is>
      </c>
      <c r="I233" t="n">
        <v>23.9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44568</v>
      </c>
      <c r="E234" s="1" t="n">
        <v>46314</v>
      </c>
      <c r="F234" t="inlineStr">
        <is>
          <t>VÄSTERBOTTENS LÄN</t>
        </is>
      </c>
      <c r="G234" t="inlineStr">
        <is>
          <t>DOROTEA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46314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62193-2025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46003</v>
      </c>
      <c r="E236" s="1" t="n">
        <v>46314</v>
      </c>
      <c r="F236" t="inlineStr">
        <is>
          <t>VÄSTERBOTTENS LÄN</t>
        </is>
      </c>
      <c r="G236" t="inlineStr">
        <is>
          <t>DOROTEA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46314</v>
      </c>
      <c r="F237" t="inlineStr">
        <is>
          <t>VÄSTERBOTTENS LÄN</t>
        </is>
      </c>
      <c r="G237" t="inlineStr">
        <is>
          <t>DOROTEA</t>
        </is>
      </c>
      <c r="I237" t="n">
        <v>6.4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46314</v>
      </c>
      <c r="F238" t="inlineStr">
        <is>
          <t>VÄSTERBOTTENS LÄN</t>
        </is>
      </c>
      <c r="G238" t="inlineStr">
        <is>
          <t>DOROTEA</t>
        </is>
      </c>
      <c r="I238" t="n">
        <v>16.7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62423-2025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46314</v>
      </c>
      <c r="F239" t="inlineStr">
        <is>
          <t>VÄSTERBOTTENS LÄN</t>
        </is>
      </c>
      <c r="G239" t="inlineStr">
        <is>
          <t>DOROTEA</t>
        </is>
      </c>
      <c r="I239" t="n">
        <v>13.2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17132-2025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45755</v>
      </c>
      <c r="E240" s="1" t="n">
        <v>46314</v>
      </c>
      <c r="F240" t="inlineStr">
        <is>
          <t>VÄSTERBOTTENS LÄN</t>
        </is>
      </c>
      <c r="G240" t="inlineStr">
        <is>
          <t>DOROTEA</t>
        </is>
      </c>
      <c r="I240" t="n">
        <v>7.6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46314</v>
      </c>
      <c r="F241" t="inlineStr">
        <is>
          <t>VÄSTERBOTTENS LÄN</t>
        </is>
      </c>
      <c r="G241" t="inlineStr">
        <is>
          <t>DOROTEA</t>
        </is>
      </c>
      <c r="I241" t="n">
        <v>12.3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62974-2025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46314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45539</v>
      </c>
      <c r="E243" s="1" t="n">
        <v>46314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8.199999999999999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44979</v>
      </c>
      <c r="E244" s="1" t="n">
        <v>46314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32821-2024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45516</v>
      </c>
      <c r="E245" s="1" t="n">
        <v>46314</v>
      </c>
      <c r="F245" t="inlineStr">
        <is>
          <t>VÄSTERBOTTENS LÄN</t>
        </is>
      </c>
      <c r="G245" t="inlineStr">
        <is>
          <t>DOROTEA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46314</v>
      </c>
      <c r="F246" t="inlineStr">
        <is>
          <t>VÄSTERBOTTENS LÄN</t>
        </is>
      </c>
      <c r="G246" t="inlineStr">
        <is>
          <t>DOROTEA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46314</v>
      </c>
      <c r="F247" t="inlineStr">
        <is>
          <t>VÄSTERBOTTENS LÄN</t>
        </is>
      </c>
      <c r="G247" t="inlineStr">
        <is>
          <t>DOROTEA</t>
        </is>
      </c>
      <c r="I247" t="n">
        <v>18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46314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27909-2024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46314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24839-2026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46174</v>
      </c>
      <c r="E250" s="1" t="n">
        <v>46314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11.8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46314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45071</v>
      </c>
      <c r="E252" s="1" t="n">
        <v>46314</v>
      </c>
      <c r="F252" t="inlineStr">
        <is>
          <t>VÄSTERBOTTENS LÄN</t>
        </is>
      </c>
      <c r="G252" t="inlineStr">
        <is>
          <t>DOROTEA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46017</v>
      </c>
      <c r="E253" s="1" t="n">
        <v>46314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8.699999999999999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45399</v>
      </c>
      <c r="E254" s="1" t="n">
        <v>46314</v>
      </c>
      <c r="F254" t="inlineStr">
        <is>
          <t>VÄSTERBOTTENS LÄN</t>
        </is>
      </c>
      <c r="G254" t="inlineStr">
        <is>
          <t>DOROTEA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46314</v>
      </c>
      <c r="F255" t="inlineStr">
        <is>
          <t>VÄSTERBOTTENS LÄN</t>
        </is>
      </c>
      <c r="G255" t="inlineStr">
        <is>
          <t>DOROTEA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67686-2021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44524</v>
      </c>
      <c r="E256" s="1" t="n">
        <v>46314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909-2026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46314</v>
      </c>
      <c r="F257" t="inlineStr">
        <is>
          <t>VÄSTERBOTTENS LÄN</t>
        </is>
      </c>
      <c r="G257" t="inlineStr">
        <is>
          <t>DOROTEA</t>
        </is>
      </c>
      <c r="I257" t="n">
        <v>18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46036</v>
      </c>
      <c r="E258" s="1" t="n">
        <v>46314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46178</v>
      </c>
      <c r="E259" s="1" t="n">
        <v>46314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46314</v>
      </c>
      <c r="F260" t="inlineStr">
        <is>
          <t>VÄSTERBOTTENS LÄN</t>
        </is>
      </c>
      <c r="G260" t="inlineStr">
        <is>
          <t>DOROTEA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46038</v>
      </c>
      <c r="E261" s="1" t="n">
        <v>46314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46314</v>
      </c>
      <c r="F262" t="inlineStr">
        <is>
          <t>VÄSTERBOTTENS LÄN</t>
        </is>
      </c>
      <c r="G262" t="inlineStr">
        <is>
          <t>DOROTEA</t>
        </is>
      </c>
      <c r="I262" t="n">
        <v>26.2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46314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46042</v>
      </c>
      <c r="E264" s="1" t="n">
        <v>46314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46314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46314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63885-2025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46314</v>
      </c>
      <c r="F267" t="inlineStr">
        <is>
          <t>VÄSTERBOTTENS LÄN</t>
        </is>
      </c>
      <c r="G267" t="inlineStr">
        <is>
          <t>DOROTEA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46091</v>
      </c>
      <c r="E268" s="1" t="n">
        <v>46314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39721-2024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45552</v>
      </c>
      <c r="E269" s="1" t="n">
        <v>46314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46314</v>
      </c>
      <c r="F270" t="inlineStr">
        <is>
          <t>VÄSTERBOTTENS LÄN</t>
        </is>
      </c>
      <c r="G270" t="inlineStr">
        <is>
          <t>DOROTEA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46314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46051</v>
      </c>
      <c r="E272" s="1" t="n">
        <v>46314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45149</v>
      </c>
      <c r="E273" s="1" t="n">
        <v>46314</v>
      </c>
      <c r="F273" t="inlineStr">
        <is>
          <t>VÄSTERBOTTENS LÄN</t>
        </is>
      </c>
      <c r="G273" t="inlineStr">
        <is>
          <t>DOROTEA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26124-2026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46181</v>
      </c>
      <c r="E274" s="1" t="n">
        <v>46314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46314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9.4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46182</v>
      </c>
      <c r="E276" s="1" t="n">
        <v>46314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46314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6381-2026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46314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46054</v>
      </c>
      <c r="E279" s="1" t="n">
        <v>46314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44761</v>
      </c>
      <c r="E280" s="1" t="n">
        <v>46314</v>
      </c>
      <c r="F280" t="inlineStr">
        <is>
          <t>VÄSTERBOTTENS LÄN</t>
        </is>
      </c>
      <c r="G280" t="inlineStr">
        <is>
          <t>DOROTEA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46314</v>
      </c>
      <c r="F281" t="inlineStr">
        <is>
          <t>VÄSTERBOTTENS LÄN</t>
        </is>
      </c>
      <c r="G281" t="inlineStr">
        <is>
          <t>DOROTEA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7713-2026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46314</v>
      </c>
      <c r="F282" t="inlineStr">
        <is>
          <t>VÄSTERBOTTENS LÄN</t>
        </is>
      </c>
      <c r="G282" t="inlineStr">
        <is>
          <t>DOROTEA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46314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17776-2023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46314</v>
      </c>
      <c r="F284" t="inlineStr">
        <is>
          <t>VÄSTERBOTTENS LÄN</t>
        </is>
      </c>
      <c r="G284" t="inlineStr">
        <is>
          <t>DOROTEA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9796-2026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46314</v>
      </c>
      <c r="F285" t="inlineStr">
        <is>
          <t>VÄSTERBOTTENS LÄN</t>
        </is>
      </c>
      <c r="G285" t="inlineStr">
        <is>
          <t>DOROTEA</t>
        </is>
      </c>
      <c r="I285" t="n">
        <v>20.1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14163-2024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45392</v>
      </c>
      <c r="E286" s="1" t="n">
        <v>46314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23213-2022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44719</v>
      </c>
      <c r="E287" s="1" t="n">
        <v>46314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40435-2023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45169</v>
      </c>
      <c r="E288" s="1" t="n">
        <v>46314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46314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46086</v>
      </c>
      <c r="E290" s="1" t="n">
        <v>46314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11817-2026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46314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40434-2023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45169</v>
      </c>
      <c r="E292" s="1" t="n">
        <v>46314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13.9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4958-2023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44956</v>
      </c>
      <c r="E293" s="1" t="n">
        <v>46314</v>
      </c>
      <c r="F293" t="inlineStr">
        <is>
          <t>VÄSTERBOTTENS LÄN</t>
        </is>
      </c>
      <c r="G293" t="inlineStr">
        <is>
          <t>DOROTEA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41353-2022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44824</v>
      </c>
      <c r="E294" s="1" t="n">
        <v>46314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60304-2022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44910</v>
      </c>
      <c r="E295" s="1" t="n">
        <v>46314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27738-2026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46191</v>
      </c>
      <c r="E296" s="1" t="n">
        <v>46314</v>
      </c>
      <c r="F296" t="inlineStr">
        <is>
          <t>VÄSTERBOTTENS LÄN</t>
        </is>
      </c>
      <c r="G296" t="inlineStr">
        <is>
          <t>DOROTEA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27199-2024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45471</v>
      </c>
      <c r="E297" s="1" t="n">
        <v>46314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45551</v>
      </c>
      <c r="E298" s="1" t="n">
        <v>46314</v>
      </c>
      <c r="F298" t="inlineStr">
        <is>
          <t>VÄSTERBOTTENS LÄN</t>
        </is>
      </c>
      <c r="G298" t="inlineStr">
        <is>
          <t>DOROTEA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45055</v>
      </c>
      <c r="E299" s="1" t="n">
        <v>46314</v>
      </c>
      <c r="F299" t="inlineStr">
        <is>
          <t>VÄSTERBOTTENS LÄN</t>
        </is>
      </c>
      <c r="G299" t="inlineStr">
        <is>
          <t>DOROTEA</t>
        </is>
      </c>
      <c r="H299" t="inlineStr">
        <is>
          <t>Övriga statliga verk och myndigheter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45852</v>
      </c>
      <c r="E300" s="1" t="n">
        <v>46314</v>
      </c>
      <c r="F300" t="inlineStr">
        <is>
          <t>VÄSTERBOTTENS LÄN</t>
        </is>
      </c>
      <c r="G300" t="inlineStr">
        <is>
          <t>DOROTEA</t>
        </is>
      </c>
      <c r="H300" t="inlineStr">
        <is>
          <t>Allmännings- och besparingsskogar</t>
        </is>
      </c>
      <c r="I300" t="n">
        <v>22.1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35203-2025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45852</v>
      </c>
      <c r="E301" s="1" t="n">
        <v>46314</v>
      </c>
      <c r="F301" t="inlineStr">
        <is>
          <t>VÄSTERBOTTENS LÄN</t>
        </is>
      </c>
      <c r="G301" t="inlineStr">
        <is>
          <t>DOROTEA</t>
        </is>
      </c>
      <c r="H301" t="inlineStr">
        <is>
          <t>Allmännings- och besparingsskogar</t>
        </is>
      </c>
      <c r="I301" t="n">
        <v>20.3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45755</v>
      </c>
      <c r="E302" s="1" t="n">
        <v>46314</v>
      </c>
      <c r="F302" t="inlineStr">
        <is>
          <t>VÄSTERBOTTENS LÄN</t>
        </is>
      </c>
      <c r="G302" t="inlineStr">
        <is>
          <t>DOROTEA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46314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46314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46314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46099</v>
      </c>
      <c r="E306" s="1" t="n">
        <v>46314</v>
      </c>
      <c r="F306" t="inlineStr">
        <is>
          <t>VÄSTERBOTTENS LÄN</t>
        </is>
      </c>
      <c r="G306" t="inlineStr">
        <is>
          <t>DOROTEA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19726-2025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45771</v>
      </c>
      <c r="E307" s="1" t="n">
        <v>46314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46195</v>
      </c>
      <c r="E308" s="1" t="n">
        <v>46314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46314</v>
      </c>
      <c r="F309" t="inlineStr">
        <is>
          <t>VÄSTERBOTTENS LÄN</t>
        </is>
      </c>
      <c r="G309" t="inlineStr">
        <is>
          <t>DOROTEA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46195</v>
      </c>
      <c r="E310" s="1" t="n">
        <v>46314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46196</v>
      </c>
      <c r="E311" s="1" t="n">
        <v>46314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49.5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46314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28782-2026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46314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44958</v>
      </c>
      <c r="E314" s="1" t="n">
        <v>46314</v>
      </c>
      <c r="F314" t="inlineStr">
        <is>
          <t>VÄSTERBOTTENS LÄN</t>
        </is>
      </c>
      <c r="G314" t="inlineStr">
        <is>
          <t>DOROTEA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46314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46314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16352-2026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46314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33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74013-2021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44557</v>
      </c>
      <c r="E318" s="1" t="n">
        <v>46314</v>
      </c>
      <c r="F318" t="inlineStr">
        <is>
          <t>VÄSTERBOTTENS LÄN</t>
        </is>
      </c>
      <c r="G318" t="inlineStr">
        <is>
          <t>DOROTEA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57794-2023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45246</v>
      </c>
      <c r="E319" s="1" t="n">
        <v>46314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46314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46314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46113</v>
      </c>
      <c r="E322" s="1" t="n">
        <v>46314</v>
      </c>
      <c r="F322" t="inlineStr">
        <is>
          <t>VÄSTERBOTTENS LÄN</t>
        </is>
      </c>
      <c r="G322" t="inlineStr">
        <is>
          <t>DOROTEA</t>
        </is>
      </c>
      <c r="H322" t="inlineStr">
        <is>
          <t>Kommuner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28741-2026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46314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42484-2024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46314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46314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17623-2026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46314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20.3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55919-2023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45239</v>
      </c>
      <c r="E327" s="1" t="n">
        <v>46314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46123</v>
      </c>
      <c r="E328" s="1" t="n">
        <v>46314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46314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18.3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46126</v>
      </c>
      <c r="E330" s="1" t="n">
        <v>46314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46314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46314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42228-2024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45562</v>
      </c>
      <c r="E333" s="1" t="n">
        <v>46314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46314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29757-2026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46314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19445-2026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46133</v>
      </c>
      <c r="E336" s="1" t="n">
        <v>46314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19446-2026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46314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52144-2023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46314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46314</v>
      </c>
      <c r="F339" t="inlineStr">
        <is>
          <t>VÄSTERBOTTENS LÄN</t>
        </is>
      </c>
      <c r="G339" t="inlineStr">
        <is>
          <t>DOROTEA</t>
        </is>
      </c>
      <c r="I339" t="n">
        <v>14.7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47494-2023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45202</v>
      </c>
      <c r="E340" s="1" t="n">
        <v>46314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45448</v>
      </c>
      <c r="E341" s="1" t="n">
        <v>46314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46314</v>
      </c>
      <c r="F342" t="inlineStr">
        <is>
          <t>VÄSTERBOTTENS LÄN</t>
        </is>
      </c>
      <c r="G342" t="inlineStr">
        <is>
          <t>DOROTEA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46314</v>
      </c>
      <c r="F343" t="inlineStr">
        <is>
          <t>VÄSTERBOTTENS LÄN</t>
        </is>
      </c>
      <c r="G343" t="inlineStr">
        <is>
          <t>DOROTEA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31093-2026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46209</v>
      </c>
      <c r="E344" s="1" t="n">
        <v>46314</v>
      </c>
      <c r="F344" t="inlineStr">
        <is>
          <t>VÄSTERBOTTENS LÄN</t>
        </is>
      </c>
      <c r="G344" t="inlineStr">
        <is>
          <t>DOROTEA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46314</v>
      </c>
      <c r="F345" t="inlineStr">
        <is>
          <t>VÄSTERBOTTENS LÄN</t>
        </is>
      </c>
      <c r="G345" t="inlineStr">
        <is>
          <t>DOROTEA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46314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45565</v>
      </c>
      <c r="E347" s="1" t="n">
        <v>46314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44888</v>
      </c>
      <c r="E348" s="1" t="n">
        <v>46314</v>
      </c>
      <c r="F348" t="inlineStr">
        <is>
          <t>VÄSTERBOTTENS LÄN</t>
        </is>
      </c>
      <c r="G348" t="inlineStr">
        <is>
          <t>DOROTEA</t>
        </is>
      </c>
      <c r="I348" t="n">
        <v>15.8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30190-2026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46206</v>
      </c>
      <c r="E349" s="1" t="n">
        <v>46314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57070-2023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45244</v>
      </c>
      <c r="E350" s="1" t="n">
        <v>46314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46314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45448</v>
      </c>
      <c r="E352" s="1" t="n">
        <v>46314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46211</v>
      </c>
      <c r="E353" s="1" t="n">
        <v>46314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46212</v>
      </c>
      <c r="E354" s="1" t="n">
        <v>46314</v>
      </c>
      <c r="F354" t="inlineStr">
        <is>
          <t>VÄSTERBOTTENS LÄN</t>
        </is>
      </c>
      <c r="G354" t="inlineStr">
        <is>
          <t>DOROTEA</t>
        </is>
      </c>
      <c r="I354" t="n">
        <v>8.4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46212</v>
      </c>
      <c r="E355" s="1" t="n">
        <v>46314</v>
      </c>
      <c r="F355" t="inlineStr">
        <is>
          <t>VÄSTERBOTTENS LÄN</t>
        </is>
      </c>
      <c r="G355" t="inlineStr">
        <is>
          <t>DOROTEA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46212</v>
      </c>
      <c r="E356" s="1" t="n">
        <v>46314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30740-2026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46211</v>
      </c>
      <c r="E357" s="1" t="n">
        <v>46314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45735</v>
      </c>
      <c r="E358" s="1" t="n">
        <v>46314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45566</v>
      </c>
      <c r="E359" s="1" t="n">
        <v>46314</v>
      </c>
      <c r="F359" t="inlineStr">
        <is>
          <t>VÄSTERBOTTENS LÄN</t>
        </is>
      </c>
      <c r="G359" t="inlineStr">
        <is>
          <t>DOROTEA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46314</v>
      </c>
      <c r="F360" t="inlineStr">
        <is>
          <t>VÄSTERBOTTENS LÄN</t>
        </is>
      </c>
      <c r="G360" t="inlineStr">
        <is>
          <t>DOROTEA</t>
        </is>
      </c>
      <c r="I360" t="n">
        <v>22.7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31016-2026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46314</v>
      </c>
      <c r="F361" t="inlineStr">
        <is>
          <t>VÄSTERBOTTENS LÄN</t>
        </is>
      </c>
      <c r="G361" t="inlineStr">
        <is>
          <t>DOROTEA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31006-2026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46314</v>
      </c>
      <c r="F362" t="inlineStr">
        <is>
          <t>VÄSTERBOTTENS LÄN</t>
        </is>
      </c>
      <c r="G362" t="inlineStr">
        <is>
          <t>DOROTEA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46314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46218</v>
      </c>
      <c r="E364" s="1" t="n">
        <v>46314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46314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46217</v>
      </c>
      <c r="E366" s="1" t="n">
        <v>46314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15.6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31179-2026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46217</v>
      </c>
      <c r="E367" s="1" t="n">
        <v>46314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31259-2026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46218</v>
      </c>
      <c r="E368" s="1" t="n">
        <v>46314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31439-2026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46220</v>
      </c>
      <c r="E369" s="1" t="n">
        <v>46314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46224</v>
      </c>
      <c r="E370" s="1" t="n">
        <v>46314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46224</v>
      </c>
      <c r="E371" s="1" t="n">
        <v>46314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46314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46314</v>
      </c>
      <c r="F373" t="inlineStr">
        <is>
          <t>VÄSTERBOTTENS LÄN</t>
        </is>
      </c>
      <c r="G373" t="inlineStr">
        <is>
          <t>DOROTEA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45393</v>
      </c>
      <c r="E374" s="1" t="n">
        <v>46314</v>
      </c>
      <c r="F374" t="inlineStr">
        <is>
          <t>VÄSTERBOTTENS LÄN</t>
        </is>
      </c>
      <c r="G374" t="inlineStr">
        <is>
          <t>DOROTEA</t>
        </is>
      </c>
      <c r="I374" t="n">
        <v>10.2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59418-2023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45253</v>
      </c>
      <c r="E375" s="1" t="n">
        <v>46314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37826-2026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46279</v>
      </c>
      <c r="E376" s="1" t="n">
        <v>46314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30570-2023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45111</v>
      </c>
      <c r="E377" s="1" t="n">
        <v>46314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46314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46281</v>
      </c>
      <c r="E379" s="1" t="n">
        <v>46314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45223</v>
      </c>
      <c r="E380" s="1" t="n">
        <v>46314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44956</v>
      </c>
      <c r="E381" s="1" t="n">
        <v>46314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38299-2026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46282</v>
      </c>
      <c r="E382" s="1" t="n">
        <v>46314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45253</v>
      </c>
      <c r="E383" s="1" t="n">
        <v>46314</v>
      </c>
      <c r="F383" t="inlineStr">
        <is>
          <t>VÄSTERBOTTENS LÄN</t>
        </is>
      </c>
      <c r="G383" t="inlineStr">
        <is>
          <t>DOROTEA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45253</v>
      </c>
      <c r="E384" s="1" t="n">
        <v>46314</v>
      </c>
      <c r="F384" t="inlineStr">
        <is>
          <t>VÄSTERBOTTENS LÄN</t>
        </is>
      </c>
      <c r="G384" t="inlineStr">
        <is>
          <t>DOROTEA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46314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46818-2023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46314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39088-2026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46287</v>
      </c>
      <c r="E387" s="1" t="n">
        <v>46314</v>
      </c>
      <c r="F387" t="inlineStr">
        <is>
          <t>VÄSTERBOTTENS LÄN</t>
        </is>
      </c>
      <c r="G387" t="inlineStr">
        <is>
          <t>DOROTEA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57071-2023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46314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60145-2021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44494</v>
      </c>
      <c r="E389" s="1" t="n">
        <v>46314</v>
      </c>
      <c r="F389" t="inlineStr">
        <is>
          <t>VÄSTERBOTTENS LÄN</t>
        </is>
      </c>
      <c r="G389" t="inlineStr">
        <is>
          <t>DOROTEA</t>
        </is>
      </c>
      <c r="I389" t="n">
        <v>13.3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28549-2023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46314</v>
      </c>
      <c r="F390" t="inlineStr">
        <is>
          <t>VÄSTERBOTTENS LÄN</t>
        </is>
      </c>
      <c r="G390" t="inlineStr">
        <is>
          <t>DOROTEA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35925-2026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46265</v>
      </c>
      <c r="E391" s="1" t="n">
        <v>46314</v>
      </c>
      <c r="F391" t="inlineStr">
        <is>
          <t>VÄSTERBOTTENS LÄN</t>
        </is>
      </c>
      <c r="G391" t="inlineStr">
        <is>
          <t>DOROTEA</t>
        </is>
      </c>
      <c r="H391" t="inlineStr">
        <is>
          <t>Allmännings- och besparingsskogar</t>
        </is>
      </c>
      <c r="I391" t="n">
        <v>16.4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35934-2026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46314</v>
      </c>
      <c r="F392" t="inlineStr">
        <is>
          <t>VÄSTERBOTTENS LÄN</t>
        </is>
      </c>
      <c r="G392" t="inlineStr">
        <is>
          <t>DOROTEA</t>
        </is>
      </c>
      <c r="H392" t="inlineStr">
        <is>
          <t>Allmännings- och besparingsskogar</t>
        </is>
      </c>
      <c r="I392" t="n">
        <v>12.6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33514-2026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46248</v>
      </c>
      <c r="E393" s="1" t="n">
        <v>46314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46293</v>
      </c>
      <c r="E394" s="1" t="n">
        <v>46314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33364-2026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46314</v>
      </c>
      <c r="F395" t="inlineStr">
        <is>
          <t>VÄSTERBOTTENS LÄN</t>
        </is>
      </c>
      <c r="G395" t="inlineStr">
        <is>
          <t>DOROTEA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44848</v>
      </c>
      <c r="E396" s="1" t="n">
        <v>46314</v>
      </c>
      <c r="F396" t="inlineStr">
        <is>
          <t>VÄSTERBOTTENS LÄN</t>
        </is>
      </c>
      <c r="G396" t="inlineStr">
        <is>
          <t>DOROTEA</t>
        </is>
      </c>
      <c r="I396" t="n">
        <v>29.8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13035-2024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45385</v>
      </c>
      <c r="E397" s="1" t="n">
        <v>46314</v>
      </c>
      <c r="F397" t="inlineStr">
        <is>
          <t>VÄSTERBOTTENS LÄN</t>
        </is>
      </c>
      <c r="G397" t="inlineStr">
        <is>
          <t>DOROTEA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46966-2024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45586</v>
      </c>
      <c r="E398" s="1" t="n">
        <v>46314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33738-2024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45520</v>
      </c>
      <c r="E399" s="1" t="n">
        <v>46314</v>
      </c>
      <c r="F399" t="inlineStr">
        <is>
          <t>VÄSTERBOTTENS LÄN</t>
        </is>
      </c>
      <c r="G399" t="inlineStr">
        <is>
          <t>DOROTEA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45075</v>
      </c>
      <c r="E400" s="1" t="n">
        <v>46314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44748</v>
      </c>
      <c r="E401" s="1" t="n">
        <v>46314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30059-2024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45488</v>
      </c>
      <c r="E402" s="1" t="n">
        <v>46314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43092-2023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45182</v>
      </c>
      <c r="E403" s="1" t="n">
        <v>46314</v>
      </c>
      <c r="F403" t="inlineStr">
        <is>
          <t>VÄSTERBOTTENS LÄN</t>
        </is>
      </c>
      <c r="G403" t="inlineStr">
        <is>
          <t>DOROTEA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46295</v>
      </c>
      <c r="E404" s="1" t="n">
        <v>46314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13023-2025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45734</v>
      </c>
      <c r="E405" s="1" t="n">
        <v>46314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46314</v>
      </c>
      <c r="F406" t="inlineStr">
        <is>
          <t>VÄSTERBOTTENS LÄN</t>
        </is>
      </c>
      <c r="G406" t="inlineStr">
        <is>
          <t>DOROTEA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46314</v>
      </c>
      <c r="F407" t="inlineStr">
        <is>
          <t>VÄSTERBOTTENS LÄN</t>
        </is>
      </c>
      <c r="G407" t="inlineStr">
        <is>
          <t>DOROTEA</t>
        </is>
      </c>
      <c r="I407" t="n">
        <v>13.6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34448-2026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46254</v>
      </c>
      <c r="E408" s="1" t="n">
        <v>46314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46314</v>
      </c>
      <c r="F409" t="inlineStr">
        <is>
          <t>VÄSTERBOTTENS LÄN</t>
        </is>
      </c>
      <c r="G409" t="inlineStr">
        <is>
          <t>DOROTEA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34189-2026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46314</v>
      </c>
      <c r="F410" t="inlineStr">
        <is>
          <t>VÄSTERBOTTENS LÄN</t>
        </is>
      </c>
      <c r="G410" t="inlineStr">
        <is>
          <t>DOROTEA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45572</v>
      </c>
      <c r="E411" s="1" t="n">
        <v>46314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28856-2024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45478</v>
      </c>
      <c r="E412" s="1" t="n">
        <v>46314</v>
      </c>
      <c r="F412" t="inlineStr">
        <is>
          <t>VÄSTERBOTTENS LÄN</t>
        </is>
      </c>
      <c r="G412" t="inlineStr">
        <is>
          <t>DOROTEA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46314</v>
      </c>
      <c r="F413" t="inlineStr">
        <is>
          <t>VÄSTERBOTTENS LÄN</t>
        </is>
      </c>
      <c r="G413" t="inlineStr">
        <is>
          <t>DOROTEA</t>
        </is>
      </c>
      <c r="I413" t="n">
        <v>11.2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41261-2026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46300</v>
      </c>
      <c r="E414" s="1" t="n">
        <v>46314</v>
      </c>
      <c r="F414" t="inlineStr">
        <is>
          <t>VÄSTERBOTTENS LÄN</t>
        </is>
      </c>
      <c r="G414" t="inlineStr">
        <is>
          <t>DOROTEA</t>
        </is>
      </c>
      <c r="I414" t="n">
        <v>13.1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42104-2024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45562</v>
      </c>
      <c r="E415" s="1" t="n">
        <v>46314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46300</v>
      </c>
      <c r="E416" s="1" t="n">
        <v>46314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22774-2025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45789</v>
      </c>
      <c r="E417" s="1" t="n">
        <v>46314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13451-2022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44645</v>
      </c>
      <c r="E418" s="1" t="n">
        <v>46314</v>
      </c>
      <c r="F418" t="inlineStr">
        <is>
          <t>VÄSTERBOTTENS LÄN</t>
        </is>
      </c>
      <c r="G418" t="inlineStr">
        <is>
          <t>DOROTEA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19889-2025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46314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34820-2023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45140</v>
      </c>
      <c r="E420" s="1" t="n">
        <v>46314</v>
      </c>
      <c r="F420" t="inlineStr">
        <is>
          <t>VÄSTERBOTTENS LÄN</t>
        </is>
      </c>
      <c r="G420" t="inlineStr">
        <is>
          <t>DOROTEA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29737-2024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45485</v>
      </c>
      <c r="E421" s="1" t="n">
        <v>46314</v>
      </c>
      <c r="F421" t="inlineStr">
        <is>
          <t>VÄSTERBOTTENS LÄN</t>
        </is>
      </c>
      <c r="G421" t="inlineStr">
        <is>
          <t>DOROTEA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35500-2026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46314</v>
      </c>
      <c r="F422" t="inlineStr">
        <is>
          <t>VÄSTERBOTTENS LÄN</t>
        </is>
      </c>
      <c r="G422" t="inlineStr">
        <is>
          <t>DOROTEA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45792</v>
      </c>
      <c r="E423" s="1" t="n">
        <v>46314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35335-2026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46261</v>
      </c>
      <c r="E424" s="1" t="n">
        <v>46314</v>
      </c>
      <c r="F424" t="inlineStr">
        <is>
          <t>VÄSTERBOTTENS LÄN</t>
        </is>
      </c>
      <c r="G424" t="inlineStr">
        <is>
          <t>DOROTEA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35296-2026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46261</v>
      </c>
      <c r="E425" s="1" t="n">
        <v>46314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45551</v>
      </c>
      <c r="E426" s="1" t="n">
        <v>46314</v>
      </c>
      <c r="F426" t="inlineStr">
        <is>
          <t>VÄSTERBOTTENS LÄN</t>
        </is>
      </c>
      <c r="G426" t="inlineStr">
        <is>
          <t>DOROTEA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35352-2026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46261</v>
      </c>
      <c r="E427" s="1" t="n">
        <v>46314</v>
      </c>
      <c r="F427" t="inlineStr">
        <is>
          <t>VÄSTERBOTTENS LÄN</t>
        </is>
      </c>
      <c r="G427" t="inlineStr">
        <is>
          <t>DOROTEA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45517</v>
      </c>
      <c r="E428" s="1" t="n">
        <v>46314</v>
      </c>
      <c r="F428" t="inlineStr">
        <is>
          <t>VÄSTERBOTTENS LÄN</t>
        </is>
      </c>
      <c r="G428" t="inlineStr">
        <is>
          <t>DOROTEA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46261</v>
      </c>
      <c r="E429" s="1" t="n">
        <v>46314</v>
      </c>
      <c r="F429" t="inlineStr">
        <is>
          <t>VÄSTERBOTTENS LÄN</t>
        </is>
      </c>
      <c r="G429" t="inlineStr">
        <is>
          <t>DOROTEA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42050-2026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46314</v>
      </c>
      <c r="F430" t="inlineStr">
        <is>
          <t>VÄSTERBOTTENS LÄN</t>
        </is>
      </c>
      <c r="G430" t="inlineStr">
        <is>
          <t>DOROTEA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53380-2024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46314</v>
      </c>
      <c r="F431" t="inlineStr">
        <is>
          <t>VÄSTERBOTTENS LÄN</t>
        </is>
      </c>
      <c r="G431" t="inlineStr">
        <is>
          <t>DOROTEA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46261</v>
      </c>
      <c r="E432" s="1" t="n">
        <v>46314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42036-2026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46304</v>
      </c>
      <c r="E433" s="1" t="n">
        <v>46314</v>
      </c>
      <c r="F433" t="inlineStr">
        <is>
          <t>VÄSTERBOTTENS LÄN</t>
        </is>
      </c>
      <c r="G433" t="inlineStr">
        <is>
          <t>DOROTEA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46304</v>
      </c>
      <c r="E434" s="1" t="n">
        <v>46314</v>
      </c>
      <c r="F434" t="inlineStr">
        <is>
          <t>VÄSTERBOTTENS LÄN</t>
        </is>
      </c>
      <c r="G434" t="inlineStr">
        <is>
          <t>DOROTEA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46314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45800</v>
      </c>
      <c r="E436" s="1" t="n">
        <v>46314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46309</v>
      </c>
      <c r="E437" s="1" t="n">
        <v>46314</v>
      </c>
      <c r="F437" t="inlineStr">
        <is>
          <t>VÄSTERBOTTENS LÄN</t>
        </is>
      </c>
      <c r="G437" t="inlineStr">
        <is>
          <t>DOROTEA</t>
        </is>
      </c>
      <c r="I437" t="n">
        <v>9.199999999999999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45805</v>
      </c>
      <c r="E438" s="1" t="n">
        <v>46314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46309</v>
      </c>
      <c r="E439" s="1" t="n">
        <v>46314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45807</v>
      </c>
      <c r="E440" s="1" t="n">
        <v>46314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26480-2025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45807</v>
      </c>
      <c r="E441" s="1" t="n">
        <v>46314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41539-2026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46301</v>
      </c>
      <c r="E442" s="1" t="n">
        <v>46314</v>
      </c>
      <c r="F442" t="inlineStr">
        <is>
          <t>VÄSTERBOTTENS LÄN</t>
        </is>
      </c>
      <c r="G442" t="inlineStr">
        <is>
          <t>DOROTEA</t>
        </is>
      </c>
      <c r="I442" t="n">
        <v>10.5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42811-2026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46309</v>
      </c>
      <c r="E443" s="1" t="n">
        <v>46314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45664</v>
      </c>
      <c r="E444" s="1" t="n">
        <v>46314</v>
      </c>
      <c r="F444" t="inlineStr">
        <is>
          <t>VÄSTERBOTTENS LÄN</t>
        </is>
      </c>
      <c r="G444" t="inlineStr">
        <is>
          <t>DOROTEA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14759-2025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45742</v>
      </c>
      <c r="E445" s="1" t="n">
        <v>46314</v>
      </c>
      <c r="F445" t="inlineStr">
        <is>
          <t>VÄSTERBOTTENS LÄN</t>
        </is>
      </c>
      <c r="G445" t="inlineStr">
        <is>
          <t>DOROTEA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46314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28002-2025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45817</v>
      </c>
      <c r="E447" s="1" t="n">
        <v>46314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29258-2025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45824</v>
      </c>
      <c r="E448" s="1" t="n">
        <v>46314</v>
      </c>
      <c r="F448" t="inlineStr">
        <is>
          <t>VÄSTERBOTTENS LÄN</t>
        </is>
      </c>
      <c r="G448" t="inlineStr">
        <is>
          <t>DOROTEA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36255-2026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46268</v>
      </c>
      <c r="E449" s="1" t="n">
        <v>46314</v>
      </c>
      <c r="F449" t="inlineStr">
        <is>
          <t>VÄSTERBOTTENS LÄN</t>
        </is>
      </c>
      <c r="G449" t="inlineStr">
        <is>
          <t>DOROTEA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46314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45833</v>
      </c>
      <c r="E451" s="1" t="n">
        <v>46314</v>
      </c>
      <c r="F451" t="inlineStr">
        <is>
          <t>VÄSTERBOTTENS LÄN</t>
        </is>
      </c>
      <c r="G451" t="inlineStr">
        <is>
          <t>DOROTEA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45847</v>
      </c>
      <c r="E452" s="1" t="n">
        <v>46314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45846</v>
      </c>
      <c r="E453" s="1" t="n">
        <v>46314</v>
      </c>
      <c r="F453" t="inlineStr">
        <is>
          <t>VÄSTERBOTTENS LÄN</t>
        </is>
      </c>
      <c r="G453" t="inlineStr">
        <is>
          <t>DOROTEA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45848</v>
      </c>
      <c r="E454" s="1" t="n">
        <v>46314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46314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46314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45855</v>
      </c>
      <c r="E457" s="1" t="n">
        <v>46314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46314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46314</v>
      </c>
      <c r="F459" t="inlineStr">
        <is>
          <t>VÄSTERBOTTENS LÄN</t>
        </is>
      </c>
      <c r="G459" t="inlineStr">
        <is>
          <t>DOROTEA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46314</v>
      </c>
      <c r="F460" t="inlineStr">
        <is>
          <t>VÄSTERBOTTENS LÄN</t>
        </is>
      </c>
      <c r="G460" t="inlineStr">
        <is>
          <t>DOROTEA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45866</v>
      </c>
      <c r="E461" s="1" t="n">
        <v>46314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36125-2025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46314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46314</v>
      </c>
      <c r="F463" t="inlineStr">
        <is>
          <t>VÄSTERBOTTENS LÄN</t>
        </is>
      </c>
      <c r="G463" t="inlineStr">
        <is>
          <t>DOROTEA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45874</v>
      </c>
      <c r="E464" s="1" t="n">
        <v>46314</v>
      </c>
      <c r="F464" t="inlineStr">
        <is>
          <t>VÄSTERBOTTENS LÄN</t>
        </is>
      </c>
      <c r="G464" t="inlineStr">
        <is>
          <t>DOROTEA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37135-2025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45875</v>
      </c>
      <c r="E465" s="1" t="n">
        <v>46314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37259-2025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45876</v>
      </c>
      <c r="E466" s="1" t="n">
        <v>46314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37476-2025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45877</v>
      </c>
      <c r="E467" s="1" t="n">
        <v>46314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45876</v>
      </c>
      <c r="E468" s="1" t="n">
        <v>46314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38099-2025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45882</v>
      </c>
      <c r="E469" s="1" t="n">
        <v>46314</v>
      </c>
      <c r="F469" t="inlineStr">
        <is>
          <t>VÄSTERBOTTENS LÄN</t>
        </is>
      </c>
      <c r="G469" t="inlineStr">
        <is>
          <t>DOROTEA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46314</v>
      </c>
      <c r="F470" t="inlineStr">
        <is>
          <t>VÄSTERBOTTENS LÄN</t>
        </is>
      </c>
      <c r="G470" t="inlineStr">
        <is>
          <t>DOROTEA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2945-2024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45506</v>
      </c>
      <c r="E471" s="1" t="n">
        <v>46314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1058-2025</t>
        </is>
      </c>
      <c r="B472" t="inlineStr">
        <is>
          <t>samrådsanmälan</t>
        </is>
      </c>
      <c r="C472" t="inlineStr">
        <is>
          <t>Skogsgödsling</t>
        </is>
      </c>
      <c r="D472" s="1" t="n">
        <v>45749</v>
      </c>
      <c r="E472" s="1" t="n">
        <v>46314</v>
      </c>
      <c r="F472" t="inlineStr">
        <is>
          <t>VÄSTERBOTTENS LÄN</t>
        </is>
      </c>
      <c r="G472" t="inlineStr">
        <is>
          <t>DOROTEA</t>
        </is>
      </c>
      <c r="I472" t="n">
        <v>10.9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844-2025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45733</v>
      </c>
      <c r="E473" s="1" t="n">
        <v>46314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1293.5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2195-2025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45858</v>
      </c>
      <c r="E474" s="1" t="n">
        <v>46314</v>
      </c>
      <c r="F474" t="inlineStr">
        <is>
          <t>VÄSTERBOTTENS LÄN</t>
        </is>
      </c>
      <c r="G474" t="inlineStr">
        <is>
          <t>DOROTEA</t>
        </is>
      </c>
      <c r="I474" t="n">
        <v>27.4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2283-2025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45876</v>
      </c>
      <c r="E475" s="1" t="n">
        <v>46314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2360-2025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45889</v>
      </c>
      <c r="E476" s="1" t="n">
        <v>46314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2407-2026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46279</v>
      </c>
      <c r="E477" s="1" t="n">
        <v>46314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1763-2026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46189</v>
      </c>
      <c r="E478" s="1" t="n">
        <v>46314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13.2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2026-10-19T02:05:54Z</dcterms:created>
  <dcterms:modified xmlns:dcterms="http://purl.org/dc/terms/" xmlns:xsi="http://www.w3.org/2001/XMLSchema-instance" xsi:type="dcterms:W3CDTF">2026-10-19T02:05:54Z</dcterms:modified>
</cp:coreProperties>
</file>