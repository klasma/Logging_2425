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46310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46310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46310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46310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46310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46310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46310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46310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46310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46310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30755-2026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46310</v>
      </c>
      <c r="F13" t="inlineStr">
        <is>
          <t>VÄSTERBOTTENS LÄN</t>
        </is>
      </c>
      <c r="G13" t="inlineStr">
        <is>
          <t>DOROTEA</t>
        </is>
      </c>
      <c r="H13" t="inlineStr">
        <is>
          <t>SCA</t>
        </is>
      </c>
      <c r="I13" t="n">
        <v>2.5</v>
      </c>
      <c r="J13" t="n">
        <v>1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Gammelgransskål
Rynkskinn
Plattlummer
Skinnlav
Stuplav</t>
        </is>
      </c>
      <c r="W13">
        <f>HYPERLINK("https://klasma.github.io/Logging_2425/artfynd/A 30755-2026 artfynd.xlsx", "A 30755-2026")</f>
        <v/>
      </c>
      <c r="X13">
        <f>HYPERLINK("https://klasma.github.io/Logging_2425/kartor/A 30755-2026 karta.png", "A 30755-2026")</f>
        <v/>
      </c>
      <c r="Y13">
        <f>HYPERLINK("https://klasma.github.io/Logging_2425/kartor_geotiff/A 30755-2026 georefererad karta.tif", "A 30755-2026")</f>
        <v/>
      </c>
      <c r="AA13">
        <f>HYPERLINK("https://klasma.github.io/Logging_2425/klagomål/A 30755-2026 FSC-klagomål.docx", "A 30755-2026")</f>
        <v/>
      </c>
      <c r="AB13">
        <f>HYPERLINK("https://klasma.github.io/Logging_2425/klagomålsmail/A 30755-2026 FSC-klagomål mail.docx", "A 30755-2026")</f>
        <v/>
      </c>
      <c r="AC13">
        <f>HYPERLINK("https://klasma.github.io/Logging_2425/tillsyn/A 30755-2026 tillsynsbegäran.docx", "A 30755-2026")</f>
        <v/>
      </c>
      <c r="AD13">
        <f>HYPERLINK("https://klasma.github.io/Logging_2425/tillsynsmail/A 30755-2026 tillsynsbegäran mail.docx", "A 30755-2026")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46310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46310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46310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46310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46310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46310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46310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46310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46310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46310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46310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19589-2024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45429</v>
      </c>
      <c r="E26" s="1" t="n">
        <v>46310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Lunglav
Talltita</t>
        </is>
      </c>
      <c r="W26">
        <f>HYPERLINK("https://klasma.github.io/Logging_2425/artfynd/A 19589-2024 artfynd.xlsx", "A 19589-2024")</f>
        <v/>
      </c>
      <c r="X26">
        <f>HYPERLINK("https://klasma.github.io/Logging_2425/kartor/A 19589-2024 karta.png", "A 19589-2024")</f>
        <v/>
      </c>
      <c r="Y26">
        <f>HYPERLINK("https://klasma.github.io/Logging_2425/kartor_geotiff/A 19589-2024 georefererad karta.tif", "A 19589-2024")</f>
        <v/>
      </c>
      <c r="AA26">
        <f>HYPERLINK("https://klasma.github.io/Logging_2425/klagomål/A 19589-2024 FSC-klagomål.docx", "A 19589-2024")</f>
        <v/>
      </c>
      <c r="AB26">
        <f>HYPERLINK("https://klasma.github.io/Logging_2425/klagomålsmail/A 19589-2024 FSC-klagomål mail.docx", "A 19589-2024")</f>
        <v/>
      </c>
      <c r="AC26">
        <f>HYPERLINK("https://klasma.github.io/Logging_2425/tillsyn/A 19589-2024 tillsynsbegäran.docx", "A 19589-2024")</f>
        <v/>
      </c>
      <c r="AD26">
        <f>HYPERLINK("https://klasma.github.io/Logging_2425/tillsynsmail/A 19589-2024 tillsynsbegäran mail.docx", "A 19589-2024")</f>
        <v/>
      </c>
      <c r="AE26">
        <f>HYPERLINK("https://klasma.github.io/Logging_2425/fåglar/A 19589-2024 prioriterade fågelarter.docx", "A 19589-2024")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46310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46310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46310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46310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40013-2024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45553</v>
      </c>
      <c r="E31" s="1" t="n">
        <v>46310</v>
      </c>
      <c r="F31" t="inlineStr">
        <is>
          <t>VÄSTERBOTTENS LÄN</t>
        </is>
      </c>
      <c r="G31" t="inlineStr">
        <is>
          <t>DOROTEA</t>
        </is>
      </c>
      <c r="H31" t="inlineStr">
        <is>
          <t>Övriga statliga verk och myndigheter</t>
        </is>
      </c>
      <c r="I31" t="n">
        <v>1.5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Tretåig hackspett
Tjäder</t>
        </is>
      </c>
      <c r="W31">
        <f>HYPERLINK("https://klasma.github.io/Logging_2425/artfynd/A 40013-2024 artfynd.xlsx", "A 40013-2024")</f>
        <v/>
      </c>
      <c r="X31">
        <f>HYPERLINK("https://klasma.github.io/Logging_2425/kartor/A 40013-2024 karta.png", "A 40013-2024")</f>
        <v/>
      </c>
      <c r="Y31">
        <f>HYPERLINK("https://klasma.github.io/Logging_2425/kartor_geotiff/A 40013-2024 georefererad karta.tif", "A 40013-2024")</f>
        <v/>
      </c>
      <c r="AA31">
        <f>HYPERLINK("https://klasma.github.io/Logging_2425/klagomål/A 40013-2024 FSC-klagomål.docx", "A 40013-2024")</f>
        <v/>
      </c>
      <c r="AB31">
        <f>HYPERLINK("https://klasma.github.io/Logging_2425/klagomålsmail/A 40013-2024 FSC-klagomål mail.docx", "A 40013-2024")</f>
        <v/>
      </c>
      <c r="AC31">
        <f>HYPERLINK("https://klasma.github.io/Logging_2425/tillsyn/A 40013-2024 tillsynsbegäran.docx", "A 40013-2024")</f>
        <v/>
      </c>
      <c r="AD31">
        <f>HYPERLINK("https://klasma.github.io/Logging_2425/tillsynsmail/A 40013-2024 tillsynsbegäran mail.docx", "A 40013-2024")</f>
        <v/>
      </c>
      <c r="AE31">
        <f>HYPERLINK("https://klasma.github.io/Logging_2425/fåglar/A 40013-2024 prioriterade fågelarter.docx", "A 40013-2024")</f>
        <v/>
      </c>
    </row>
    <row r="32" ht="15" customHeight="1">
      <c r="A32" t="inlineStr">
        <is>
          <t>A 4554-2026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46047</v>
      </c>
      <c r="E32" s="1" t="n">
        <v>46310</v>
      </c>
      <c r="F32" t="inlineStr">
        <is>
          <t>VÄSTERBOTTENS LÄN</t>
        </is>
      </c>
      <c r="G32" t="inlineStr">
        <is>
          <t>DOROTEA</t>
        </is>
      </c>
      <c r="I32" t="n">
        <v>6.1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Violettkantad guldvinge
Kricka</t>
        </is>
      </c>
      <c r="W32">
        <f>HYPERLINK("https://klasma.github.io/Logging_2425/artfynd/A 4554-2026 artfynd.xlsx", "A 4554-2026")</f>
        <v/>
      </c>
      <c r="X32">
        <f>HYPERLINK("https://klasma.github.io/Logging_2425/kartor/A 4554-2026 karta.png", "A 4554-2026")</f>
        <v/>
      </c>
      <c r="Y32">
        <f>HYPERLINK("https://klasma.github.io/Logging_2425/kartor_geotiff/A 4554-2026 georefererad karta.tif", "A 4554-2026")</f>
        <v/>
      </c>
      <c r="AA32">
        <f>HYPERLINK("https://klasma.github.io/Logging_2425/klagomål/A 4554-2026 FSC-klagomål.docx", "A 4554-2026")</f>
        <v/>
      </c>
      <c r="AB32">
        <f>HYPERLINK("https://klasma.github.io/Logging_2425/klagomålsmail/A 4554-2026 FSC-klagomål mail.docx", "A 4554-2026")</f>
        <v/>
      </c>
      <c r="AC32">
        <f>HYPERLINK("https://klasma.github.io/Logging_2425/tillsyn/A 4554-2026 tillsynsbegäran.docx", "A 4554-2026")</f>
        <v/>
      </c>
      <c r="AD32">
        <f>HYPERLINK("https://klasma.github.io/Logging_2425/tillsynsmail/A 4554-2026 tillsynsbegäran mail.docx", "A 4554-2026")</f>
        <v/>
      </c>
      <c r="AE32">
        <f>HYPERLINK("https://klasma.github.io/Logging_2425/fåglar/A 4554-2026 prioriterade fågelarter.docx", "A 4554-2026")</f>
        <v/>
      </c>
    </row>
    <row r="33" ht="15" customHeight="1">
      <c r="A33" t="inlineStr">
        <is>
          <t>A 40654-2026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46310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8.800000000000001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Plattlummer
Mattlummer</t>
        </is>
      </c>
      <c r="W33">
        <f>HYPERLINK("https://klasma.github.io/Logging_2425/artfynd/A 40654-2026 artfynd.xlsx", "A 40654-2026")</f>
        <v/>
      </c>
      <c r="X33">
        <f>HYPERLINK("https://klasma.github.io/Logging_2425/kartor/A 40654-2026 karta.png", "A 40654-2026")</f>
        <v/>
      </c>
      <c r="Y33">
        <f>HYPERLINK("https://klasma.github.io/Logging_2425/kartor_geotiff/A 40654-2026 georefererad karta.tif", "A 40654-2026")</f>
        <v/>
      </c>
      <c r="AA33">
        <f>HYPERLINK("https://klasma.github.io/Logging_2425/klagomål/A 40654-2026 FSC-klagomål.docx", "A 40654-2026")</f>
        <v/>
      </c>
      <c r="AB33">
        <f>HYPERLINK("https://klasma.github.io/Logging_2425/klagomålsmail/A 40654-2026 FSC-klagomål mail.docx", "A 40654-2026")</f>
        <v/>
      </c>
      <c r="AC33">
        <f>HYPERLINK("https://klasma.github.io/Logging_2425/tillsyn/A 40654-2026 tillsynsbegäran.docx", "A 40654-2026")</f>
        <v/>
      </c>
      <c r="AD33">
        <f>HYPERLINK("https://klasma.github.io/Logging_2425/tillsynsmail/A 40654-2026 tillsynsbegäran mail.docx", "A 40654-2026")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46310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46310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46310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30286-2023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46310</v>
      </c>
      <c r="F37" t="inlineStr">
        <is>
          <t>VÄSTERBOTTENS LÄN</t>
        </is>
      </c>
      <c r="G37" t="inlineStr">
        <is>
          <t>DOROTEA</t>
        </is>
      </c>
      <c r="I37" t="n">
        <v>21.2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Skogsrör</t>
        </is>
      </c>
      <c r="W37">
        <f>HYPERLINK("https://klasma.github.io/Logging_2425/artfynd/A 30286-2023 artfynd.xlsx", "A 30286-2023")</f>
        <v/>
      </c>
      <c r="X37">
        <f>HYPERLINK("https://klasma.github.io/Logging_2425/kartor/A 30286-2023 karta.png", "A 30286-2023")</f>
        <v/>
      </c>
      <c r="Y37">
        <f>HYPERLINK("https://klasma.github.io/Logging_2425/kartor_geotiff/A 30286-2023 georefererad karta.tif", "A 30286-2023")</f>
        <v/>
      </c>
      <c r="AA37">
        <f>HYPERLINK("https://klasma.github.io/Logging_2425/klagomål/A 30286-2023 FSC-klagomål.docx", "A 30286-2023")</f>
        <v/>
      </c>
      <c r="AB37">
        <f>HYPERLINK("https://klasma.github.io/Logging_2425/klagomålsmail/A 30286-2023 FSC-klagomål mail.docx", "A 30286-2023")</f>
        <v/>
      </c>
      <c r="AC37">
        <f>HYPERLINK("https://klasma.github.io/Logging_2425/tillsyn/A 30286-2023 tillsynsbegäran.docx", "A 30286-2023")</f>
        <v/>
      </c>
      <c r="AD37">
        <f>HYPERLINK("https://klasma.github.io/Logging_2425/tillsynsmail/A 30286-2023 tillsynsbegäran mail.docx", "A 30286-2023")</f>
        <v/>
      </c>
    </row>
    <row r="38" ht="15" customHeight="1">
      <c r="A38" t="inlineStr">
        <is>
          <t>A 1278-2024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45302</v>
      </c>
      <c r="E38" s="1" t="n">
        <v>46310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Gräddticka</t>
        </is>
      </c>
      <c r="W38">
        <f>HYPERLINK("https://klasma.github.io/Logging_2425/artfynd/A 1278-2024 artfynd.xlsx", "A 1278-2024")</f>
        <v/>
      </c>
      <c r="X38">
        <f>HYPERLINK("https://klasma.github.io/Logging_2425/kartor/A 1278-2024 karta.png", "A 1278-2024")</f>
        <v/>
      </c>
      <c r="Y38">
        <f>HYPERLINK("https://klasma.github.io/Logging_2425/kartor_geotiff/A 1278-2024 georefererad karta.tif", "A 1278-2024")</f>
        <v/>
      </c>
      <c r="AA38">
        <f>HYPERLINK("https://klasma.github.io/Logging_2425/klagomål/A 1278-2024 FSC-klagomål.docx", "A 1278-2024")</f>
        <v/>
      </c>
      <c r="AB38">
        <f>HYPERLINK("https://klasma.github.io/Logging_2425/klagomålsmail/A 1278-2024 FSC-klagomål mail.docx", "A 1278-2024")</f>
        <v/>
      </c>
      <c r="AC38">
        <f>HYPERLINK("https://klasma.github.io/Logging_2425/tillsyn/A 1278-2024 tillsynsbegäran.docx", "A 1278-2024")</f>
        <v/>
      </c>
      <c r="AD38">
        <f>HYPERLINK("https://klasma.github.io/Logging_2425/tillsynsmail/A 1278-2024 tillsynsbegäran mail.docx", "A 1278-2024")</f>
        <v/>
      </c>
    </row>
    <row r="39" ht="15" customHeight="1">
      <c r="A39" t="inlineStr">
        <is>
          <t>A 26440-2025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46310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HYPERLINK("https://klasma.github.io/Logging_2425/artfynd/A 26440-2025 artfynd.xlsx", "A 26440-2025")</f>
        <v/>
      </c>
      <c r="X39">
        <f>HYPERLINK("https://klasma.github.io/Logging_2425/kartor/A 26440-2025 karta.png", "A 26440-2025")</f>
        <v/>
      </c>
      <c r="Y39">
        <f>HYPERLINK("https://klasma.github.io/Logging_2425/kartor_geotiff/A 26440-2025 georefererad karta.tif", "A 26440-2025")</f>
        <v/>
      </c>
      <c r="AA39">
        <f>HYPERLINK("https://klasma.github.io/Logging_2425/klagomål/A 26440-2025 FSC-klagomål.docx", "A 26440-2025")</f>
        <v/>
      </c>
      <c r="AB39">
        <f>HYPERLINK("https://klasma.github.io/Logging_2425/klagomålsmail/A 26440-2025 FSC-klagomål mail.docx", "A 26440-2025")</f>
        <v/>
      </c>
      <c r="AC39">
        <f>HYPERLINK("https://klasma.github.io/Logging_2425/tillsyn/A 26440-2025 tillsynsbegäran.docx", "A 26440-2025")</f>
        <v/>
      </c>
      <c r="AD39">
        <f>HYPERLINK("https://klasma.github.io/Logging_2425/tillsynsmail/A 26440-2025 tillsynsbegäran mail.docx", "A 26440-2025")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46310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46310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53309-2022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44878</v>
      </c>
      <c r="E42" s="1" t="n">
        <v>46310</v>
      </c>
      <c r="F42" t="inlineStr">
        <is>
          <t>VÄSTERBOTTENS LÄN</t>
        </is>
      </c>
      <c r="G42" t="inlineStr">
        <is>
          <t>DOROTEA</t>
        </is>
      </c>
      <c r="I42" t="n">
        <v>6.6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Göktyta</t>
        </is>
      </c>
      <c r="W42">
        <f>HYPERLINK("https://klasma.github.io/Logging_2425/artfynd/A 53309-2022 artfynd.xlsx", "A 53309-2022")</f>
        <v/>
      </c>
      <c r="X42">
        <f>HYPERLINK("https://klasma.github.io/Logging_2425/kartor/A 53309-2022 karta.png", "A 53309-2022")</f>
        <v/>
      </c>
      <c r="Y42">
        <f>HYPERLINK("https://klasma.github.io/Logging_2425/kartor_geotiff/A 53309-2022 georefererad karta.tif", "A 53309-2022")</f>
        <v/>
      </c>
      <c r="AA42">
        <f>HYPERLINK("https://klasma.github.io/Logging_2425/klagomål/A 53309-2022 FSC-klagomål.docx", "A 53309-2022")</f>
        <v/>
      </c>
      <c r="AB42">
        <f>HYPERLINK("https://klasma.github.io/Logging_2425/klagomålsmail/A 53309-2022 FSC-klagomål mail.docx", "A 53309-2022")</f>
        <v/>
      </c>
      <c r="AC42">
        <f>HYPERLINK("https://klasma.github.io/Logging_2425/tillsyn/A 53309-2022 tillsynsbegäran.docx", "A 53309-2022")</f>
        <v/>
      </c>
      <c r="AD42">
        <f>HYPERLINK("https://klasma.github.io/Logging_2425/tillsynsmail/A 53309-2022 tillsynsbegäran mail.docx", "A 53309-2022")</f>
        <v/>
      </c>
      <c r="AE42">
        <f>HYPERLINK("https://klasma.github.io/Logging_2425/fåglar/A 53309-2022 prioriterade fågelarter.docx", "A 53309-2022")</f>
        <v/>
      </c>
    </row>
    <row r="43" ht="15" customHeight="1">
      <c r="A43" t="inlineStr">
        <is>
          <t>A 50530-2025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45945</v>
      </c>
      <c r="E43" s="1" t="n">
        <v>46310</v>
      </c>
      <c r="F43" t="inlineStr">
        <is>
          <t>VÄSTERBOTTENS LÄN</t>
        </is>
      </c>
      <c r="G43" t="inlineStr">
        <is>
          <t>DOROTEA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Ängsnycklar</t>
        </is>
      </c>
      <c r="W43">
        <f>HYPERLINK("https://klasma.github.io/Logging_2425/artfynd/A 50530-2025 artfynd.xlsx", "A 50530-2025")</f>
        <v/>
      </c>
      <c r="X43">
        <f>HYPERLINK("https://klasma.github.io/Logging_2425/kartor/A 50530-2025 karta.png", "A 50530-2025")</f>
        <v/>
      </c>
      <c r="Y43">
        <f>HYPERLINK("https://klasma.github.io/Logging_2425/kartor_geotiff/A 50530-2025 georefererad karta.tif", "A 50530-2025")</f>
        <v/>
      </c>
      <c r="AA43">
        <f>HYPERLINK("https://klasma.github.io/Logging_2425/klagomål/A 50530-2025 FSC-klagomål.docx", "A 50530-2025")</f>
        <v/>
      </c>
      <c r="AB43">
        <f>HYPERLINK("https://klasma.github.io/Logging_2425/klagomålsmail/A 50530-2025 FSC-klagomål mail.docx", "A 50530-2025")</f>
        <v/>
      </c>
      <c r="AC43">
        <f>HYPERLINK("https://klasma.github.io/Logging_2425/tillsyn/A 50530-2025 tillsynsbegäran.docx", "A 50530-2025")</f>
        <v/>
      </c>
      <c r="AD43">
        <f>HYPERLINK("https://klasma.github.io/Logging_2425/tillsynsmail/A 50530-2025 tillsynsbegäran mail.docx", "A 50530-2025")</f>
        <v/>
      </c>
    </row>
    <row r="44" ht="15" customHeight="1">
      <c r="A44" t="inlineStr">
        <is>
          <t>A 48089-2022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44855</v>
      </c>
      <c r="E44" s="1" t="n">
        <v>46310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9.199999999999999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Gammelgransskål</t>
        </is>
      </c>
      <c r="W44">
        <f>HYPERLINK("https://klasma.github.io/Logging_2425/artfynd/A 48089-2022 artfynd.xlsx", "A 48089-2022")</f>
        <v/>
      </c>
      <c r="X44">
        <f>HYPERLINK("https://klasma.github.io/Logging_2425/kartor/A 48089-2022 karta.png", "A 48089-2022")</f>
        <v/>
      </c>
      <c r="Y44">
        <f>HYPERLINK("https://klasma.github.io/Logging_2425/kartor_geotiff/A 48089-2022 georefererad karta.tif", "A 48089-2022")</f>
        <v/>
      </c>
      <c r="AA44">
        <f>HYPERLINK("https://klasma.github.io/Logging_2425/klagomål/A 48089-2022 FSC-klagomål.docx", "A 48089-2022")</f>
        <v/>
      </c>
      <c r="AB44">
        <f>HYPERLINK("https://klasma.github.io/Logging_2425/klagomålsmail/A 48089-2022 FSC-klagomål mail.docx", "A 48089-2022")</f>
        <v/>
      </c>
      <c r="AC44">
        <f>HYPERLINK("https://klasma.github.io/Logging_2425/tillsyn/A 48089-2022 tillsynsbegäran.docx", "A 48089-2022")</f>
        <v/>
      </c>
      <c r="AD44">
        <f>HYPERLINK("https://klasma.github.io/Logging_2425/tillsynsmail/A 48089-2022 tillsynsbegäran mail.docx", "A 48089-2022")</f>
        <v/>
      </c>
    </row>
    <row r="45" ht="15" customHeight="1">
      <c r="A45" t="inlineStr">
        <is>
          <t>A 36318-2024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46310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2.5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8</v>
      </c>
      <c r="U45" t="n">
        <v>8</v>
      </c>
      <c r="V45" s="2" t="inlineStr">
        <is>
          <t>Garnlav</t>
        </is>
      </c>
      <c r="W45">
        <f>HYPERLINK("https://klasma.github.io/Logging_2425/artfynd/A 36318-2024 artfynd.xlsx", "A 36318-2024")</f>
        <v/>
      </c>
      <c r="X45">
        <f>HYPERLINK("https://klasma.github.io/Logging_2425/kartor/A 36318-2024 karta.png", "A 36318-2024")</f>
        <v/>
      </c>
      <c r="Y45">
        <f>HYPERLINK("https://klasma.github.io/Logging_2425/kartor_geotiff/A 36318-2024 georefererad karta.tif", "A 36318-2024")</f>
        <v/>
      </c>
      <c r="AA45">
        <f>HYPERLINK("https://klasma.github.io/Logging_2425/klagomål/A 36318-2024 FSC-klagomål.docx", "A 36318-2024")</f>
        <v/>
      </c>
      <c r="AB45">
        <f>HYPERLINK("https://klasma.github.io/Logging_2425/klagomålsmail/A 36318-2024 FSC-klagomål mail.docx", "A 36318-2024")</f>
        <v/>
      </c>
      <c r="AC45">
        <f>HYPERLINK("https://klasma.github.io/Logging_2425/tillsyn/A 36318-2024 tillsynsbegäran.docx", "A 36318-2024")</f>
        <v/>
      </c>
      <c r="AD45">
        <f>HYPERLINK("https://klasma.github.io/Logging_2425/tillsynsmail/A 36318-2024 tillsynsbegäran mail.docx", "A 36318-2024")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46310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46310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46310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57060-2024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46310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HYPERLINK("https://klasma.github.io/Logging_2425/artfynd/A 57060-2024 artfynd.xlsx", "A 57060-2024")</f>
        <v/>
      </c>
      <c r="X49">
        <f>HYPERLINK("https://klasma.github.io/Logging_2425/kartor/A 57060-2024 karta.png", "A 57060-2024")</f>
        <v/>
      </c>
      <c r="Y49">
        <f>HYPERLINK("https://klasma.github.io/Logging_2425/kartor_geotiff/A 57060-2024 georefererad karta.tif", "A 57060-2024")</f>
        <v/>
      </c>
      <c r="AA49">
        <f>HYPERLINK("https://klasma.github.io/Logging_2425/klagomål/A 57060-2024 FSC-klagomål.docx", "A 57060-2024")</f>
        <v/>
      </c>
      <c r="AB49">
        <f>HYPERLINK("https://klasma.github.io/Logging_2425/klagomålsmail/A 57060-2024 FSC-klagomål mail.docx", "A 57060-2024")</f>
        <v/>
      </c>
      <c r="AC49">
        <f>HYPERLINK("https://klasma.github.io/Logging_2425/tillsyn/A 57060-2024 tillsynsbegäran.docx", "A 57060-2024")</f>
        <v/>
      </c>
      <c r="AD49">
        <f>HYPERLINK("https://klasma.github.io/Logging_2425/tillsynsmail/A 57060-2024 tillsynsbegäran mail.docx", "A 57060-2024")</f>
        <v/>
      </c>
    </row>
    <row r="50" ht="15" customHeight="1">
      <c r="A50" t="inlineStr">
        <is>
          <t>A 30357-2026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46310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Tajgahumla</t>
        </is>
      </c>
      <c r="W50">
        <f>HYPERLINK("https://klasma.github.io/Logging_2425/artfynd/A 30357-2026 artfynd.xlsx", "A 30357-2026")</f>
        <v/>
      </c>
      <c r="X50">
        <f>HYPERLINK("https://klasma.github.io/Logging_2425/kartor/A 30357-2026 karta.png", "A 30357-2026")</f>
        <v/>
      </c>
      <c r="Y50">
        <f>HYPERLINK("https://klasma.github.io/Logging_2425/kartor_geotiff/A 30357-2026 georefererad karta.tif", "A 30357-2026")</f>
        <v/>
      </c>
      <c r="AA50">
        <f>HYPERLINK("https://klasma.github.io/Logging_2425/klagomål/A 30357-2026 FSC-klagomål.docx", "A 30357-2026")</f>
        <v/>
      </c>
      <c r="AB50">
        <f>HYPERLINK("https://klasma.github.io/Logging_2425/klagomålsmail/A 30357-2026 FSC-klagomål mail.docx", "A 30357-2026")</f>
        <v/>
      </c>
      <c r="AC50">
        <f>HYPERLINK("https://klasma.github.io/Logging_2425/tillsyn/A 30357-2026 tillsynsbegäran.docx", "A 30357-2026")</f>
        <v/>
      </c>
      <c r="AD50">
        <f>HYPERLINK("https://klasma.github.io/Logging_2425/tillsynsmail/A 30357-2026 tillsynsbegäran mail.docx", "A 30357-2026")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46310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57058-2024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46310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57058-2024 artfynd.xlsx", "A 57058-2024")</f>
        <v/>
      </c>
      <c r="X52">
        <f>HYPERLINK("https://klasma.github.io/Logging_2425/kartor/A 57058-2024 karta.png", "A 57058-2024")</f>
        <v/>
      </c>
      <c r="Y52">
        <f>HYPERLINK("https://klasma.github.io/Logging_2425/kartor_geotiff/A 57058-2024 georefererad karta.tif", "A 57058-2024")</f>
        <v/>
      </c>
      <c r="AA52">
        <f>HYPERLINK("https://klasma.github.io/Logging_2425/klagomål/A 57058-2024 FSC-klagomål.docx", "A 57058-2024")</f>
        <v/>
      </c>
      <c r="AB52">
        <f>HYPERLINK("https://klasma.github.io/Logging_2425/klagomålsmail/A 57058-2024 FSC-klagomål mail.docx", "A 57058-2024")</f>
        <v/>
      </c>
      <c r="AC52">
        <f>HYPERLINK("https://klasma.github.io/Logging_2425/tillsyn/A 57058-2024 tillsynsbegäran.docx", "A 57058-2024")</f>
        <v/>
      </c>
      <c r="AD52">
        <f>HYPERLINK("https://klasma.github.io/Logging_2425/tillsynsmail/A 57058-2024 tillsynsbegäran mail.docx", "A 57058-2024")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46310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46310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A 20600-2023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Korallrot</t>
        </is>
      </c>
      <c r="W55">
        <f>HYPERLINK("https://klasma.github.io/Logging_2425/artfynd/A 20600-2023 artfynd.xlsx", "A 20600-2023")</f>
        <v/>
      </c>
      <c r="X55">
        <f>HYPERLINK("https://klasma.github.io/Logging_2425/kartor/A 20600-2023 karta.png", "A 20600-2023")</f>
        <v/>
      </c>
      <c r="Y55">
        <f>HYPERLINK("https://klasma.github.io/Logging_2425/kartor_geotiff/A 20600-2023 georefererad karta.tif", "A 20600-2023")</f>
        <v/>
      </c>
      <c r="AA55">
        <f>HYPERLINK("https://klasma.github.io/Logging_2425/klagomål/A 20600-2023 FSC-klagomål.docx", "A 20600-2023")</f>
        <v/>
      </c>
      <c r="AB55">
        <f>HYPERLINK("https://klasma.github.io/Logging_2425/klagomålsmail/A 20600-2023 FSC-klagomål mail.docx", "A 20600-2023")</f>
        <v/>
      </c>
      <c r="AC55">
        <f>HYPERLINK("https://klasma.github.io/Logging_2425/tillsyn/A 20600-2023 tillsynsbegäran.docx", "A 20600-2023")</f>
        <v/>
      </c>
      <c r="AD55">
        <f>HYPERLINK("https://klasma.github.io/Logging_2425/tillsynsmail/A 20600-2023 tillsynsbegäran mail.docx", "A 20600-2023")</f>
        <v/>
      </c>
    </row>
    <row r="56" ht="15" customHeight="1">
      <c r="A56" t="inlineStr">
        <is>
          <t>A 42536-2026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46310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8.6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Lappranunkel</t>
        </is>
      </c>
      <c r="W56">
        <f>HYPERLINK("https://klasma.github.io/Logging_2425/artfynd/A 42536-2026 artfynd.xlsx", "A 42536-2026")</f>
        <v/>
      </c>
      <c r="X56">
        <f>HYPERLINK("https://klasma.github.io/Logging_2425/kartor/A 42536-2026 karta.png", "A 42536-2026")</f>
        <v/>
      </c>
      <c r="Y56">
        <f>HYPERLINK("https://klasma.github.io/Logging_2425/kartor_geotiff/A 42536-2026 georefererad karta.tif", "A 42536-2026")</f>
        <v/>
      </c>
      <c r="AA56">
        <f>HYPERLINK("https://klasma.github.io/Logging_2425/klagomål/A 42536-2026 FSC-klagomål.docx", "A 42536-2026")</f>
        <v/>
      </c>
      <c r="AB56">
        <f>HYPERLINK("https://klasma.github.io/Logging_2425/klagomålsmail/A 42536-2026 FSC-klagomål mail.docx", "A 42536-2026")</f>
        <v/>
      </c>
      <c r="AC56">
        <f>HYPERLINK("https://klasma.github.io/Logging_2425/tillsyn/A 42536-2026 tillsynsbegäran.docx", "A 42536-2026")</f>
        <v/>
      </c>
      <c r="AD56">
        <f>HYPERLINK("https://klasma.github.io/Logging_2425/tillsynsmail/A 42536-2026 tillsynsbegäran mail.docx", "A 42536-2026")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46310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46310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46310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46310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46310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64063-2021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46310</v>
      </c>
      <c r="F62" t="inlineStr">
        <is>
          <t>VÄSTERBOTTENS LÄN</t>
        </is>
      </c>
      <c r="G62" t="inlineStr">
        <is>
          <t>DOROTEA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46310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46310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46310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46310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46310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46310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46310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46310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59653-2024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45639</v>
      </c>
      <c r="E71" s="1" t="n">
        <v>46310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45672</v>
      </c>
      <c r="E72" s="1" t="n">
        <v>46310</v>
      </c>
      <c r="F72" t="inlineStr">
        <is>
          <t>VÄSTERBOTTENS LÄN</t>
        </is>
      </c>
      <c r="G72" t="inlineStr">
        <is>
          <t>DOROTEA</t>
        </is>
      </c>
      <c r="H72" t="inlineStr">
        <is>
          <t>Kommuner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46310</v>
      </c>
      <c r="F73" t="inlineStr">
        <is>
          <t>VÄSTERBOTTENS LÄN</t>
        </is>
      </c>
      <c r="G73" t="inlineStr">
        <is>
          <t>DOROTEA</t>
        </is>
      </c>
      <c r="I73" t="n">
        <v>28.8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45551</v>
      </c>
      <c r="E74" s="1" t="n">
        <v>46310</v>
      </c>
      <c r="F74" t="inlineStr">
        <is>
          <t>VÄSTERBOTTENS LÄN</t>
        </is>
      </c>
      <c r="G74" t="inlineStr">
        <is>
          <t>DOROTEA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33113-2024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46310</v>
      </c>
      <c r="F75" t="inlineStr">
        <is>
          <t>VÄSTERBOTTENS LÄN</t>
        </is>
      </c>
      <c r="G75" t="inlineStr">
        <is>
          <t>DOROTEA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46310</v>
      </c>
      <c r="F76" t="inlineStr">
        <is>
          <t>VÄSTERBOTTENS LÄN</t>
        </is>
      </c>
      <c r="G76" t="inlineStr">
        <is>
          <t>DOROTEA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53380-2024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45614</v>
      </c>
      <c r="E77" s="1" t="n">
        <v>46310</v>
      </c>
      <c r="F77" t="inlineStr">
        <is>
          <t>VÄSTERBOTTENS LÄN</t>
        </is>
      </c>
      <c r="G77" t="inlineStr">
        <is>
          <t>DOROTEA</t>
        </is>
      </c>
      <c r="I77" t="n">
        <v>12.8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7429-2023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44971</v>
      </c>
      <c r="E78" s="1" t="n">
        <v>46310</v>
      </c>
      <c r="F78" t="inlineStr">
        <is>
          <t>VÄSTERBOTTENS LÄN</t>
        </is>
      </c>
      <c r="G78" t="inlineStr">
        <is>
          <t>DOROTEA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46310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46310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46310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45807</v>
      </c>
      <c r="E82" s="1" t="n">
        <v>46310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45807</v>
      </c>
      <c r="E83" s="1" t="n">
        <v>46310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46310</v>
      </c>
      <c r="F84" t="inlineStr">
        <is>
          <t>VÄSTERBOTTENS LÄN</t>
        </is>
      </c>
      <c r="G84" t="inlineStr">
        <is>
          <t>DOROTEA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45742</v>
      </c>
      <c r="E85" s="1" t="n">
        <v>46310</v>
      </c>
      <c r="F85" t="inlineStr">
        <is>
          <t>VÄSTERBOTTENS LÄN</t>
        </is>
      </c>
      <c r="G85" t="inlineStr">
        <is>
          <t>DOROTEA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26904-2025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46310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46310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8092-2023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46310</v>
      </c>
      <c r="F88" t="inlineStr">
        <is>
          <t>VÄSTERBOTTENS LÄN</t>
        </is>
      </c>
      <c r="G88" t="inlineStr">
        <is>
          <t>DOROTEA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41104-2023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46310</v>
      </c>
      <c r="F89" t="inlineStr">
        <is>
          <t>VÄSTERBOTTENS LÄN</t>
        </is>
      </c>
      <c r="G89" t="inlineStr">
        <is>
          <t>DOROTEA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46310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46310</v>
      </c>
      <c r="F91" t="inlineStr">
        <is>
          <t>VÄSTERBOTTENS LÄN</t>
        </is>
      </c>
      <c r="G91" t="inlineStr">
        <is>
          <t>DOROTEA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45556</v>
      </c>
      <c r="E92" s="1" t="n">
        <v>46310</v>
      </c>
      <c r="F92" t="inlineStr">
        <is>
          <t>VÄSTERBOTTENS LÄN</t>
        </is>
      </c>
      <c r="G92" t="inlineStr">
        <is>
          <t>DOROTEA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46310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46310</v>
      </c>
      <c r="F94" t="inlineStr">
        <is>
          <t>VÄSTERBOTTENS LÄN</t>
        </is>
      </c>
      <c r="G94" t="inlineStr">
        <is>
          <t>DOROTEA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31510-2025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46310</v>
      </c>
      <c r="F95" t="inlineStr">
        <is>
          <t>VÄSTERBOTTENS LÄN</t>
        </is>
      </c>
      <c r="G95" t="inlineStr">
        <is>
          <t>DOROTEA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44925</v>
      </c>
      <c r="E96" s="1" t="n">
        <v>46310</v>
      </c>
      <c r="F96" t="inlineStr">
        <is>
          <t>VÄSTERBOTTENS LÄN</t>
        </is>
      </c>
      <c r="G96" t="inlineStr">
        <is>
          <t>DOROTEA</t>
        </is>
      </c>
      <c r="I96" t="n">
        <v>22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45721</v>
      </c>
      <c r="E97" s="1" t="n">
        <v>46310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46310</v>
      </c>
      <c r="F98" t="inlineStr">
        <is>
          <t>VÄSTERBOTTENS LÄN</t>
        </is>
      </c>
      <c r="G98" t="inlineStr">
        <is>
          <t>DOROTEA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60015-2023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45257</v>
      </c>
      <c r="E99" s="1" t="n">
        <v>46310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46310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46310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46310</v>
      </c>
      <c r="F102" t="inlineStr">
        <is>
          <t>VÄSTERBOTTENS LÄN</t>
        </is>
      </c>
      <c r="G102" t="inlineStr">
        <is>
          <t>DOROTEA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46310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45846</v>
      </c>
      <c r="E104" s="1" t="n">
        <v>46310</v>
      </c>
      <c r="F104" t="inlineStr">
        <is>
          <t>VÄSTERBOTTENS LÄN</t>
        </is>
      </c>
      <c r="G104" t="inlineStr">
        <is>
          <t>DOROTEA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45848</v>
      </c>
      <c r="E105" s="1" t="n">
        <v>46310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45849</v>
      </c>
      <c r="E106" s="1" t="n">
        <v>46310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44876</v>
      </c>
      <c r="E107" s="1" t="n">
        <v>46310</v>
      </c>
      <c r="F107" t="inlineStr">
        <is>
          <t>VÄSTERBOTTENS LÄN</t>
        </is>
      </c>
      <c r="G107" t="inlineStr">
        <is>
          <t>DOROTEA</t>
        </is>
      </c>
      <c r="I107" t="n">
        <v>12.3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45852</v>
      </c>
      <c r="E108" s="1" t="n">
        <v>46310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46310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27477-2023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45097</v>
      </c>
      <c r="E110" s="1" t="n">
        <v>46310</v>
      </c>
      <c r="F110" t="inlineStr">
        <is>
          <t>VÄSTERBOTTENS LÄN</t>
        </is>
      </c>
      <c r="G110" t="inlineStr">
        <is>
          <t>DOROTEA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46310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46310</v>
      </c>
      <c r="F112" t="inlineStr">
        <is>
          <t>VÄSTERBOTTENS LÄN</t>
        </is>
      </c>
      <c r="G112" t="inlineStr">
        <is>
          <t>DOROTEA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46310</v>
      </c>
      <c r="F113" t="inlineStr">
        <is>
          <t>VÄSTERBOTTENS LÄN</t>
        </is>
      </c>
      <c r="G113" t="inlineStr">
        <is>
          <t>DOROTEA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46310</v>
      </c>
      <c r="F114" t="inlineStr">
        <is>
          <t>VÄSTERBOTTENS LÄN</t>
        </is>
      </c>
      <c r="G114" t="inlineStr">
        <is>
          <t>DOROTEA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46310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46310</v>
      </c>
      <c r="F117" t="inlineStr">
        <is>
          <t>VÄSTERBOTTENS LÄN</t>
        </is>
      </c>
      <c r="G117" t="inlineStr">
        <is>
          <t>DOROTEA</t>
        </is>
      </c>
      <c r="H117" t="inlineStr">
        <is>
          <t>Övriga Aktiebolag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45866</v>
      </c>
      <c r="E118" s="1" t="n">
        <v>46310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45069</v>
      </c>
      <c r="E119" s="1" t="n">
        <v>46310</v>
      </c>
      <c r="F119" t="inlineStr">
        <is>
          <t>VÄSTERBOTTENS LÄN</t>
        </is>
      </c>
      <c r="G119" t="inlineStr">
        <is>
          <t>DOROTEA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45866</v>
      </c>
      <c r="E120" s="1" t="n">
        <v>46310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46310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46310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45915</v>
      </c>
      <c r="E123" s="1" t="n">
        <v>46310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46310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46310</v>
      </c>
      <c r="F125" t="inlineStr">
        <is>
          <t>VÄSTERBOTTENS LÄN</t>
        </is>
      </c>
      <c r="G125" t="inlineStr">
        <is>
          <t>DOROTEA</t>
        </is>
      </c>
      <c r="I125" t="n">
        <v>26.5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22450-2024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45446</v>
      </c>
      <c r="E126" s="1" t="n">
        <v>46310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45125</v>
      </c>
      <c r="E127" s="1" t="n">
        <v>46310</v>
      </c>
      <c r="F127" t="inlineStr">
        <is>
          <t>VÄSTERBOTTENS LÄN</t>
        </is>
      </c>
      <c r="G127" t="inlineStr">
        <is>
          <t>DOROTEA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45642</v>
      </c>
      <c r="E128" s="1" t="n">
        <v>46310</v>
      </c>
      <c r="F128" t="inlineStr">
        <is>
          <t>VÄSTERBOTTENS LÄN</t>
        </is>
      </c>
      <c r="G128" t="inlineStr">
        <is>
          <t>DOROTEA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45491</v>
      </c>
      <c r="E129" s="1" t="n">
        <v>46310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Sveaskog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45224</v>
      </c>
      <c r="E130" s="1" t="n">
        <v>46310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45713</v>
      </c>
      <c r="E131" s="1" t="n">
        <v>46310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46310</v>
      </c>
      <c r="F132" t="inlineStr">
        <is>
          <t>VÄSTERBOTTENS LÄN</t>
        </is>
      </c>
      <c r="G132" t="inlineStr">
        <is>
          <t>DOROTEA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36844-2025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45874</v>
      </c>
      <c r="E133" s="1" t="n">
        <v>46310</v>
      </c>
      <c r="F133" t="inlineStr">
        <is>
          <t>VÄSTERBOTTENS LÄN</t>
        </is>
      </c>
      <c r="G133" t="inlineStr">
        <is>
          <t>DOROTEA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45875</v>
      </c>
      <c r="E134" s="1" t="n">
        <v>46310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46310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46310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46310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46310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37276-2025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45876</v>
      </c>
      <c r="E139" s="1" t="n">
        <v>46310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44282-2025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45916</v>
      </c>
      <c r="E140" s="1" t="n">
        <v>46310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46310</v>
      </c>
      <c r="F141" t="inlineStr">
        <is>
          <t>VÄSTERBOTTENS LÄN</t>
        </is>
      </c>
      <c r="G141" t="inlineStr">
        <is>
          <t>DOROTEA</t>
        </is>
      </c>
      <c r="H141" t="inlineStr">
        <is>
          <t>Övriga statliga verk och myndigheter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46310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46310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46310</v>
      </c>
      <c r="F144" t="inlineStr">
        <is>
          <t>VÄSTERBOTTENS LÄN</t>
        </is>
      </c>
      <c r="G144" t="inlineStr">
        <is>
          <t>DOROTEA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46310</v>
      </c>
      <c r="F145" t="inlineStr">
        <is>
          <t>VÄSTERBOTTENS LÄN</t>
        </is>
      </c>
      <c r="G145" t="inlineStr">
        <is>
          <t>DOROTEA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46310</v>
      </c>
      <c r="F146" t="inlineStr">
        <is>
          <t>VÄSTERBOTTENS LÄN</t>
        </is>
      </c>
      <c r="G146" t="inlineStr">
        <is>
          <t>DOROTEA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46310</v>
      </c>
      <c r="F147" t="inlineStr">
        <is>
          <t>VÄSTERBOTTENS LÄN</t>
        </is>
      </c>
      <c r="G147" t="inlineStr">
        <is>
          <t>DOROTEA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45882</v>
      </c>
      <c r="E148" s="1" t="n">
        <v>46310</v>
      </c>
      <c r="F148" t="inlineStr">
        <is>
          <t>VÄSTERBOTTENS LÄN</t>
        </is>
      </c>
      <c r="G148" t="inlineStr">
        <is>
          <t>DOROTEA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46310</v>
      </c>
      <c r="F149" t="inlineStr">
        <is>
          <t>VÄSTERBOTTENS LÄN</t>
        </is>
      </c>
      <c r="G149" t="inlineStr">
        <is>
          <t>DOROTEA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45883</v>
      </c>
      <c r="E150" s="1" t="n">
        <v>46310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45882</v>
      </c>
      <c r="E151" s="1" t="n">
        <v>46310</v>
      </c>
      <c r="F151" t="inlineStr">
        <is>
          <t>VÄSTERBOTTENS LÄN</t>
        </is>
      </c>
      <c r="G151" t="inlineStr">
        <is>
          <t>DOROTEA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45712</v>
      </c>
      <c r="E152" s="1" t="n">
        <v>46310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45125</v>
      </c>
      <c r="E153" s="1" t="n">
        <v>46310</v>
      </c>
      <c r="F153" t="inlineStr">
        <is>
          <t>VÄSTERBOTTENS LÄN</t>
        </is>
      </c>
      <c r="G153" t="inlineStr">
        <is>
          <t>DOROTEA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57376-2022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46310</v>
      </c>
      <c r="F154" t="inlineStr">
        <is>
          <t>VÄSTERBOTTENS LÄN</t>
        </is>
      </c>
      <c r="G154" t="inlineStr">
        <is>
          <t>DOROTEA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45217</v>
      </c>
      <c r="E155" s="1" t="n">
        <v>46310</v>
      </c>
      <c r="F155" t="inlineStr">
        <is>
          <t>VÄSTERBOTTENS LÄN</t>
        </is>
      </c>
      <c r="G155" t="inlineStr">
        <is>
          <t>DOROTEA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46310</v>
      </c>
      <c r="F156" t="inlineStr">
        <is>
          <t>VÄSTERBOTTENS LÄN</t>
        </is>
      </c>
      <c r="G156" t="inlineStr">
        <is>
          <t>DOROTEA</t>
        </is>
      </c>
      <c r="I156" t="n">
        <v>14.8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46310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45140</v>
      </c>
      <c r="E158" s="1" t="n">
        <v>46310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46310</v>
      </c>
      <c r="F159" t="inlineStr">
        <is>
          <t>VÄSTERBOTTENS LÄN</t>
        </is>
      </c>
      <c r="G159" t="inlineStr">
        <is>
          <t>DOROTEA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46310</v>
      </c>
      <c r="F160" t="inlineStr">
        <is>
          <t>VÄSTERBOTTENS LÄN</t>
        </is>
      </c>
      <c r="G160" t="inlineStr">
        <is>
          <t>DOROTEA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46310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46310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46310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9.800000000000001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46310</v>
      </c>
      <c r="F164" t="inlineStr">
        <is>
          <t>VÄSTERBOTTENS LÄN</t>
        </is>
      </c>
      <c r="G164" t="inlineStr">
        <is>
          <t>DOROTEA</t>
        </is>
      </c>
      <c r="I164" t="n">
        <v>20.1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45539</v>
      </c>
      <c r="E165" s="1" t="n">
        <v>46310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46310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46310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46310</v>
      </c>
      <c r="F168" t="inlineStr">
        <is>
          <t>VÄSTERBOTTENS LÄN</t>
        </is>
      </c>
      <c r="G168" t="inlineStr">
        <is>
          <t>DOROTEA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46086</v>
      </c>
      <c r="E169" s="1" t="n">
        <v>46310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46310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46085</v>
      </c>
      <c r="E171" s="1" t="n">
        <v>46310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46310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Sveaskog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25028-2024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45461</v>
      </c>
      <c r="E173" s="1" t="n">
        <v>46310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46310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45036</v>
      </c>
      <c r="E175" s="1" t="n">
        <v>46310</v>
      </c>
      <c r="F175" t="inlineStr">
        <is>
          <t>VÄSTERBOTTENS LÄN</t>
        </is>
      </c>
      <c r="G175" t="inlineStr">
        <is>
          <t>DOROTEA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46310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45351</v>
      </c>
      <c r="E177" s="1" t="n">
        <v>46310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46310</v>
      </c>
      <c r="F178" t="inlineStr">
        <is>
          <t>VÄSTERBOTTENS LÄN</t>
        </is>
      </c>
      <c r="G178" t="inlineStr">
        <is>
          <t>DOROTEA</t>
        </is>
      </c>
      <c r="H178" t="inlineStr">
        <is>
          <t>Allmännings- och besparingsskogar</t>
        </is>
      </c>
      <c r="I178" t="n">
        <v>22.1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46310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Allmännings- och besparingsskogar</t>
        </is>
      </c>
      <c r="I179" t="n">
        <v>20.3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45755</v>
      </c>
      <c r="E180" s="1" t="n">
        <v>46310</v>
      </c>
      <c r="F180" t="inlineStr">
        <is>
          <t>VÄSTERBOTTENS LÄN</t>
        </is>
      </c>
      <c r="G180" t="inlineStr">
        <is>
          <t>DOROTEA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45796</v>
      </c>
      <c r="E181" s="1" t="n">
        <v>46310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54489-2025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46310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46310</v>
      </c>
      <c r="F183" t="inlineStr">
        <is>
          <t>VÄSTERBOTTENS LÄN</t>
        </is>
      </c>
      <c r="G183" t="inlineStr">
        <is>
          <t>DOROTEA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48006-2023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45198</v>
      </c>
      <c r="E184" s="1" t="n">
        <v>46310</v>
      </c>
      <c r="F184" t="inlineStr">
        <is>
          <t>VÄSTERBOTTENS LÄN</t>
        </is>
      </c>
      <c r="G184" t="inlineStr">
        <is>
          <t>DOROTEA</t>
        </is>
      </c>
      <c r="H184" t="inlineStr">
        <is>
          <t>Övriga statliga verk och myndigheter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41771-2024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46310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46310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46310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46310</v>
      </c>
      <c r="F188" t="inlineStr">
        <is>
          <t>VÄSTERBOTTENS LÄN</t>
        </is>
      </c>
      <c r="G188" t="inlineStr">
        <is>
          <t>DOROTEA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45228</v>
      </c>
      <c r="E189" s="1" t="n">
        <v>46310</v>
      </c>
      <c r="F189" t="inlineStr">
        <is>
          <t>VÄSTERBOTTENS LÄN</t>
        </is>
      </c>
      <c r="G189" t="inlineStr">
        <is>
          <t>DOROTEA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53118-2023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45228</v>
      </c>
      <c r="E190" s="1" t="n">
        <v>46310</v>
      </c>
      <c r="F190" t="inlineStr">
        <is>
          <t>VÄSTERBOTTENS LÄN</t>
        </is>
      </c>
      <c r="G190" t="inlineStr">
        <is>
          <t>DOROTEA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46310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46310</v>
      </c>
      <c r="F192" t="inlineStr">
        <is>
          <t>VÄSTERBOTTENS LÄN</t>
        </is>
      </c>
      <c r="G192" t="inlineStr">
        <is>
          <t>DOROTEA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46310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46310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46107</v>
      </c>
      <c r="E195" s="1" t="n">
        <v>46310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45977</v>
      </c>
      <c r="E196" s="1" t="n">
        <v>46310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46310</v>
      </c>
      <c r="F197" t="inlineStr">
        <is>
          <t>VÄSTERBOTTENS LÄN</t>
        </is>
      </c>
      <c r="G197" t="inlineStr">
        <is>
          <t>DOROTEA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46310</v>
      </c>
      <c r="F198" t="inlineStr">
        <is>
          <t>VÄSTERBOTTENS LÄN</t>
        </is>
      </c>
      <c r="G198" t="inlineStr">
        <is>
          <t>DOROTEA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46310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46310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46310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33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46310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46310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46310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46310</v>
      </c>
      <c r="F205" t="inlineStr">
        <is>
          <t>VÄSTERBOTTENS LÄN</t>
        </is>
      </c>
      <c r="G205" t="inlineStr">
        <is>
          <t>DOROTEA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46310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46310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16985-2026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46310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46310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46310</v>
      </c>
      <c r="F210" t="inlineStr">
        <is>
          <t>VÄSTERBOTTENS LÄN</t>
        </is>
      </c>
      <c r="G210" t="inlineStr">
        <is>
          <t>DOROTEA</t>
        </is>
      </c>
      <c r="H210" t="inlineStr">
        <is>
          <t>Kommuner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45982</v>
      </c>
      <c r="E211" s="1" t="n">
        <v>46310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18.2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46310</v>
      </c>
      <c r="F212" t="inlineStr">
        <is>
          <t>VÄSTERBOTTENS LÄN</t>
        </is>
      </c>
      <c r="G212" t="inlineStr">
        <is>
          <t>DOROTEA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46310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46310</v>
      </c>
      <c r="F214" t="inlineStr">
        <is>
          <t>VÄSTERBOTTENS LÄN</t>
        </is>
      </c>
      <c r="G214" t="inlineStr">
        <is>
          <t>DOROTEA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46310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46310</v>
      </c>
      <c r="F216" t="inlineStr">
        <is>
          <t>VÄSTERBOTTENS LÄN</t>
        </is>
      </c>
      <c r="G216" t="inlineStr">
        <is>
          <t>DOROTEA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46965-2024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45586</v>
      </c>
      <c r="E217" s="1" t="n">
        <v>46310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46310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45013</v>
      </c>
      <c r="E219" s="1" t="n">
        <v>46310</v>
      </c>
      <c r="F219" t="inlineStr">
        <is>
          <t>VÄSTERBOTTENS LÄN</t>
        </is>
      </c>
      <c r="G219" t="inlineStr">
        <is>
          <t>DOROTEA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46123</v>
      </c>
      <c r="E220" s="1" t="n">
        <v>46310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46310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18.3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46126</v>
      </c>
      <c r="E222" s="1" t="n">
        <v>46310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46125</v>
      </c>
      <c r="E223" s="1" t="n">
        <v>46310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46310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35937-2025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45862</v>
      </c>
      <c r="E225" s="1" t="n">
        <v>46310</v>
      </c>
      <c r="F225" t="inlineStr">
        <is>
          <t>VÄSTERBOTTENS LÄN</t>
        </is>
      </c>
      <c r="G225" t="inlineStr">
        <is>
          <t>DOROTEA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46310</v>
      </c>
      <c r="F226" t="inlineStr">
        <is>
          <t>VÄSTERBOTTENS LÄN</t>
        </is>
      </c>
      <c r="G226" t="inlineStr">
        <is>
          <t>DOROTEA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46310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46310</v>
      </c>
      <c r="F228" t="inlineStr">
        <is>
          <t>VÄSTERBOTTENS LÄN</t>
        </is>
      </c>
      <c r="G228" t="inlineStr">
        <is>
          <t>DOROTEA</t>
        </is>
      </c>
      <c r="I228" t="n">
        <v>23.9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46310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46310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46310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46310</v>
      </c>
      <c r="F232" t="inlineStr">
        <is>
          <t>VÄSTERBOTTENS LÄN</t>
        </is>
      </c>
      <c r="G232" t="inlineStr">
        <is>
          <t>DOROTEA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46310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62193-2025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46003</v>
      </c>
      <c r="E234" s="1" t="n">
        <v>46310</v>
      </c>
      <c r="F234" t="inlineStr">
        <is>
          <t>VÄSTERBOTTENS LÄN</t>
        </is>
      </c>
      <c r="G234" t="inlineStr">
        <is>
          <t>DOROTEA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27305-2024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45471</v>
      </c>
      <c r="E235" s="1" t="n">
        <v>46310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46310</v>
      </c>
      <c r="F236" t="inlineStr">
        <is>
          <t>VÄSTERBOTTENS LÄN</t>
        </is>
      </c>
      <c r="G236" t="inlineStr">
        <is>
          <t>DOROTEA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46310</v>
      </c>
      <c r="F237" t="inlineStr">
        <is>
          <t>VÄSTERBOTTENS LÄN</t>
        </is>
      </c>
      <c r="G237" t="inlineStr">
        <is>
          <t>DOROTEA</t>
        </is>
      </c>
      <c r="I237" t="n">
        <v>16.7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46310</v>
      </c>
      <c r="F238" t="inlineStr">
        <is>
          <t>VÄSTERBOTTENS LÄN</t>
        </is>
      </c>
      <c r="G238" t="inlineStr">
        <is>
          <t>DOROTEA</t>
        </is>
      </c>
      <c r="I238" t="n">
        <v>14.7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46310</v>
      </c>
      <c r="F239" t="inlineStr">
        <is>
          <t>VÄSTERBOTTENS LÄN</t>
        </is>
      </c>
      <c r="G239" t="inlineStr">
        <is>
          <t>DOROTEA</t>
        </is>
      </c>
      <c r="I239" t="n">
        <v>13.2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45755</v>
      </c>
      <c r="E240" s="1" t="n">
        <v>46310</v>
      </c>
      <c r="F240" t="inlineStr">
        <is>
          <t>VÄSTERBOTTENS LÄN</t>
        </is>
      </c>
      <c r="G240" t="inlineStr">
        <is>
          <t>DOROTEA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46310</v>
      </c>
      <c r="F241" t="inlineStr">
        <is>
          <t>VÄSTERBOTTENS LÄN</t>
        </is>
      </c>
      <c r="G241" t="inlineStr">
        <is>
          <t>DOROTEA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46310</v>
      </c>
      <c r="F242" t="inlineStr">
        <is>
          <t>VÄSTERBOTTENS LÄN</t>
        </is>
      </c>
      <c r="G242" t="inlineStr">
        <is>
          <t>DOROTEA</t>
        </is>
      </c>
      <c r="I242" t="n">
        <v>12.3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46310</v>
      </c>
      <c r="F243" t="inlineStr">
        <is>
          <t>VÄSTERBOTTENS LÄN</t>
        </is>
      </c>
      <c r="G243" t="inlineStr">
        <is>
          <t>DOROTEA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46310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9.4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46310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55889-2022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44888</v>
      </c>
      <c r="E246" s="1" t="n">
        <v>46310</v>
      </c>
      <c r="F246" t="inlineStr">
        <is>
          <t>VÄSTERBOTTENS LÄN</t>
        </is>
      </c>
      <c r="G246" t="inlineStr">
        <is>
          <t>DOROTEA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46310</v>
      </c>
      <c r="F247" t="inlineStr">
        <is>
          <t>VÄSTERBOTTENS LÄN</t>
        </is>
      </c>
      <c r="G247" t="inlineStr">
        <is>
          <t>DOROTEA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45331</v>
      </c>
      <c r="E248" s="1" t="n">
        <v>46310</v>
      </c>
      <c r="F248" t="inlineStr">
        <is>
          <t>VÄSTERBOTTENS LÄN</t>
        </is>
      </c>
      <c r="G248" t="inlineStr">
        <is>
          <t>DOROTEA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57431-2022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44889</v>
      </c>
      <c r="E249" s="1" t="n">
        <v>46310</v>
      </c>
      <c r="F249" t="inlineStr">
        <is>
          <t>VÄSTERBOTTENS LÄN</t>
        </is>
      </c>
      <c r="G249" t="inlineStr">
        <is>
          <t>DOROTEA</t>
        </is>
      </c>
      <c r="I249" t="n">
        <v>15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45705</v>
      </c>
      <c r="E250" s="1" t="n">
        <v>46310</v>
      </c>
      <c r="F250" t="inlineStr">
        <is>
          <t>VÄSTERBOTTENS LÄN</t>
        </is>
      </c>
      <c r="G250" t="inlineStr">
        <is>
          <t>DOROTEA</t>
        </is>
      </c>
      <c r="I250" t="n">
        <v>13.3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20390-2026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46139</v>
      </c>
      <c r="E251" s="1" t="n">
        <v>46310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46017</v>
      </c>
      <c r="E252" s="1" t="n">
        <v>46310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45351</v>
      </c>
      <c r="E253" s="1" t="n">
        <v>46310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20332-2026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46310</v>
      </c>
      <c r="F254" t="inlineStr">
        <is>
          <t>VÄSTERBOTTENS LÄN</t>
        </is>
      </c>
      <c r="G254" t="inlineStr">
        <is>
          <t>DOROTEA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46310</v>
      </c>
      <c r="F255" t="inlineStr">
        <is>
          <t>VÄSTERBOTTENS LÄN</t>
        </is>
      </c>
      <c r="G255" t="inlineStr">
        <is>
          <t>DOROTEA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34700-2023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45140</v>
      </c>
      <c r="E256" s="1" t="n">
        <v>46310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46310</v>
      </c>
      <c r="F257" t="inlineStr">
        <is>
          <t>VÄSTERBOTTENS LÄN</t>
        </is>
      </c>
      <c r="G257" t="inlineStr">
        <is>
          <t>DOROTEA</t>
        </is>
      </c>
      <c r="I257" t="n">
        <v>18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46310</v>
      </c>
      <c r="F258" t="inlineStr">
        <is>
          <t>VÄSTERBOTTENS LÄN</t>
        </is>
      </c>
      <c r="G258" t="inlineStr">
        <is>
          <t>DOROTEA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46310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46310</v>
      </c>
      <c r="F260" t="inlineStr">
        <is>
          <t>VÄSTERBOTTENS LÄN</t>
        </is>
      </c>
      <c r="G260" t="inlineStr">
        <is>
          <t>DOROTEA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46310</v>
      </c>
      <c r="F261" t="inlineStr">
        <is>
          <t>VÄSTERBOTTENS LÄN</t>
        </is>
      </c>
      <c r="G261" t="inlineStr">
        <is>
          <t>DOROTEA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46310</v>
      </c>
      <c r="F262" t="inlineStr">
        <is>
          <t>VÄSTERBOTTENS LÄN</t>
        </is>
      </c>
      <c r="G262" t="inlineStr">
        <is>
          <t>DOROTEA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46310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46310</v>
      </c>
      <c r="F264" t="inlineStr">
        <is>
          <t>VÄSTERBOTTENS LÄN</t>
        </is>
      </c>
      <c r="G264" t="inlineStr">
        <is>
          <t>DOROTEA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46310</v>
      </c>
      <c r="F265" t="inlineStr">
        <is>
          <t>VÄSTERBOTTENS LÄN</t>
        </is>
      </c>
      <c r="G265" t="inlineStr">
        <is>
          <t>DOROTEA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46310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46310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46310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46310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46136</v>
      </c>
      <c r="E270" s="1" t="n">
        <v>46310</v>
      </c>
      <c r="F270" t="inlineStr">
        <is>
          <t>VÄSTERBOTTENS LÄN</t>
        </is>
      </c>
      <c r="G270" t="inlineStr">
        <is>
          <t>DOROTEA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46310</v>
      </c>
      <c r="F271" t="inlineStr">
        <is>
          <t>VÄSTERBOTTENS LÄN</t>
        </is>
      </c>
      <c r="G271" t="inlineStr">
        <is>
          <t>DOROTEA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46310</v>
      </c>
      <c r="F272" t="inlineStr">
        <is>
          <t>VÄSTERBOTTENS LÄN</t>
        </is>
      </c>
      <c r="G272" t="inlineStr">
        <is>
          <t>DOROTEA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45483</v>
      </c>
      <c r="E273" s="1" t="n">
        <v>46310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45757</v>
      </c>
      <c r="E274" s="1" t="n">
        <v>46310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46310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46310</v>
      </c>
      <c r="F276" t="inlineStr">
        <is>
          <t>VÄSTERBOTTENS LÄN</t>
        </is>
      </c>
      <c r="G276" t="inlineStr">
        <is>
          <t>DOROTEA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46310</v>
      </c>
      <c r="F277" t="inlineStr">
        <is>
          <t>VÄSTERBOTTENS LÄN</t>
        </is>
      </c>
      <c r="G277" t="inlineStr">
        <is>
          <t>DOROTEA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46136</v>
      </c>
      <c r="E278" s="1" t="n">
        <v>46310</v>
      </c>
      <c r="F278" t="inlineStr">
        <is>
          <t>VÄSTERBOTTENS LÄN</t>
        </is>
      </c>
      <c r="G278" t="inlineStr">
        <is>
          <t>DOROTEA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46310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46310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45295</v>
      </c>
      <c r="E281" s="1" t="n">
        <v>46310</v>
      </c>
      <c r="F281" t="inlineStr">
        <is>
          <t>VÄSTERBOTTENS LÄN</t>
        </is>
      </c>
      <c r="G281" t="inlineStr">
        <is>
          <t>DOROTEA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46310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45876</v>
      </c>
      <c r="E283" s="1" t="n">
        <v>46310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46055</v>
      </c>
      <c r="E284" s="1" t="n">
        <v>46310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46054</v>
      </c>
      <c r="E285" s="1" t="n">
        <v>46310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46310</v>
      </c>
      <c r="F286" t="inlineStr">
        <is>
          <t>VÄSTERBOTTENS LÄN</t>
        </is>
      </c>
      <c r="G286" t="inlineStr">
        <is>
          <t>DOROTEA</t>
        </is>
      </c>
      <c r="I286" t="n">
        <v>17.8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46310</v>
      </c>
      <c r="F287" t="inlineStr">
        <is>
          <t>VÄSTERBOTTENS LÄN</t>
        </is>
      </c>
      <c r="G287" t="inlineStr">
        <is>
          <t>DOROTEA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46310</v>
      </c>
      <c r="F288" t="inlineStr">
        <is>
          <t>VÄSTERBOTTENS LÄN</t>
        </is>
      </c>
      <c r="G288" t="inlineStr">
        <is>
          <t>DOROTEA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44568</v>
      </c>
      <c r="E289" s="1" t="n">
        <v>46310</v>
      </c>
      <c r="F289" t="inlineStr">
        <is>
          <t>VÄSTERBOTTENS LÄN</t>
        </is>
      </c>
      <c r="G289" t="inlineStr">
        <is>
          <t>DOROTEA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45770</v>
      </c>
      <c r="E290" s="1" t="n">
        <v>46310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46310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46310</v>
      </c>
      <c r="F292" t="inlineStr">
        <is>
          <t>VÄSTERBOTTENS LÄN</t>
        </is>
      </c>
      <c r="G292" t="inlineStr">
        <is>
          <t>DOROTEA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46310</v>
      </c>
      <c r="F293" t="inlineStr">
        <is>
          <t>VÄSTERBOTTENS LÄN</t>
        </is>
      </c>
      <c r="G293" t="inlineStr">
        <is>
          <t>DOROTEA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46310</v>
      </c>
      <c r="F294" t="inlineStr">
        <is>
          <t>VÄSTERBOTTENS LÄN</t>
        </is>
      </c>
      <c r="G294" t="inlineStr">
        <is>
          <t>DOROTEA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46310</v>
      </c>
      <c r="F295" t="inlineStr">
        <is>
          <t>VÄSTERBOTTENS LÄN</t>
        </is>
      </c>
      <c r="G295" t="inlineStr">
        <is>
          <t>DOROTEA</t>
        </is>
      </c>
      <c r="I295" t="n">
        <v>31.7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46310</v>
      </c>
      <c r="F296" t="inlineStr">
        <is>
          <t>VÄSTERBOTTENS LÄN</t>
        </is>
      </c>
      <c r="G296" t="inlineStr">
        <is>
          <t>DOROTEA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46310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46310</v>
      </c>
      <c r="F298" t="inlineStr">
        <is>
          <t>VÄSTERBOTTENS LÄN</t>
        </is>
      </c>
      <c r="G298" t="inlineStr">
        <is>
          <t>DOROTEA</t>
        </is>
      </c>
      <c r="I298" t="n">
        <v>21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45678</v>
      </c>
      <c r="E299" s="1" t="n">
        <v>46310</v>
      </c>
      <c r="F299" t="inlineStr">
        <is>
          <t>VÄSTERBOTTENS LÄN</t>
        </is>
      </c>
      <c r="G299" t="inlineStr">
        <is>
          <t>DOROTEA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36096-2025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45866</v>
      </c>
      <c r="E300" s="1" t="n">
        <v>46310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46310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46147</v>
      </c>
      <c r="E302" s="1" t="n">
        <v>46310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46310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46310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46310</v>
      </c>
      <c r="F305" t="inlineStr">
        <is>
          <t>VÄSTERBOTTENS LÄN</t>
        </is>
      </c>
      <c r="G305" t="inlineStr">
        <is>
          <t>DOROTEA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46310</v>
      </c>
      <c r="F306" t="inlineStr">
        <is>
          <t>VÄSTERBOTTENS LÄN</t>
        </is>
      </c>
      <c r="G306" t="inlineStr">
        <is>
          <t>DOROTEA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46310</v>
      </c>
      <c r="F307" t="inlineStr">
        <is>
          <t>VÄSTERBOTTENS LÄN</t>
        </is>
      </c>
      <c r="G307" t="inlineStr">
        <is>
          <t>DOROTEA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46310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46310</v>
      </c>
      <c r="F309" t="inlineStr">
        <is>
          <t>VÄSTERBOTTENS LÄN</t>
        </is>
      </c>
      <c r="G309" t="inlineStr">
        <is>
          <t>DOROTEA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46310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46310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46310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46310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45516</v>
      </c>
      <c r="E314" s="1" t="n">
        <v>46310</v>
      </c>
      <c r="F314" t="inlineStr">
        <is>
          <t>VÄSTERBOTTENS LÄN</t>
        </is>
      </c>
      <c r="G314" t="inlineStr">
        <is>
          <t>DOROTEA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46310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46310</v>
      </c>
      <c r="F316" t="inlineStr">
        <is>
          <t>VÄSTERBOTTENS LÄN</t>
        </is>
      </c>
      <c r="G316" t="inlineStr">
        <is>
          <t>DOROTEA</t>
        </is>
      </c>
      <c r="I316" t="n">
        <v>18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45475</v>
      </c>
      <c r="E317" s="1" t="n">
        <v>46310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22946-2024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45448</v>
      </c>
      <c r="E318" s="1" t="n">
        <v>46310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55888-2022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44888</v>
      </c>
      <c r="E319" s="1" t="n">
        <v>46310</v>
      </c>
      <c r="F319" t="inlineStr">
        <is>
          <t>VÄSTERBOTTENS LÄN</t>
        </is>
      </c>
      <c r="G319" t="inlineStr">
        <is>
          <t>DOROTEA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45071</v>
      </c>
      <c r="E320" s="1" t="n">
        <v>46310</v>
      </c>
      <c r="F320" t="inlineStr">
        <is>
          <t>VÄSTERBOTTENS LÄN</t>
        </is>
      </c>
      <c r="G320" t="inlineStr">
        <is>
          <t>DOROTEA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44960</v>
      </c>
      <c r="E321" s="1" t="n">
        <v>46310</v>
      </c>
      <c r="F321" t="inlineStr">
        <is>
          <t>VÄSTERBOTTENS LÄN</t>
        </is>
      </c>
      <c r="G321" t="inlineStr">
        <is>
          <t>DOROTEA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15057-2024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45399</v>
      </c>
      <c r="E322" s="1" t="n">
        <v>46310</v>
      </c>
      <c r="F322" t="inlineStr">
        <is>
          <t>VÄSTERBOTTENS LÄN</t>
        </is>
      </c>
      <c r="G322" t="inlineStr">
        <is>
          <t>DOROTEA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45882</v>
      </c>
      <c r="E323" s="1" t="n">
        <v>46310</v>
      </c>
      <c r="F323" t="inlineStr">
        <is>
          <t>VÄSTERBOTTENS LÄN</t>
        </is>
      </c>
      <c r="G323" t="inlineStr">
        <is>
          <t>DOROTEA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46107</v>
      </c>
      <c r="E324" s="1" t="n">
        <v>46310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46310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44889</v>
      </c>
      <c r="E326" s="1" t="n">
        <v>46310</v>
      </c>
      <c r="F326" t="inlineStr">
        <is>
          <t>VÄSTERBOTTENS LÄN</t>
        </is>
      </c>
      <c r="G326" t="inlineStr">
        <is>
          <t>DOROTEA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45505</v>
      </c>
      <c r="E327" s="1" t="n">
        <v>46310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30461-2024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45491</v>
      </c>
      <c r="E328" s="1" t="n">
        <v>46310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45962</v>
      </c>
      <c r="E329" s="1" t="n">
        <v>46310</v>
      </c>
      <c r="F329" t="inlineStr">
        <is>
          <t>VÄSTERBOTTENS LÄN</t>
        </is>
      </c>
      <c r="G329" t="inlineStr">
        <is>
          <t>DOROTEA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46310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67686-2021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44524</v>
      </c>
      <c r="E331" s="1" t="n">
        <v>46310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46310</v>
      </c>
      <c r="F332" t="inlineStr">
        <is>
          <t>VÄSTERBOTTENS LÄN</t>
        </is>
      </c>
      <c r="G332" t="inlineStr">
        <is>
          <t>DOROTEA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46310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46310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50582-2024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45600</v>
      </c>
      <c r="E335" s="1" t="n">
        <v>46310</v>
      </c>
      <c r="F335" t="inlineStr">
        <is>
          <t>VÄSTERBOTTENS LÄN</t>
        </is>
      </c>
      <c r="G335" t="inlineStr">
        <is>
          <t>DOROTEA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45552</v>
      </c>
      <c r="E336" s="1" t="n">
        <v>46310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45149</v>
      </c>
      <c r="E337" s="1" t="n">
        <v>46310</v>
      </c>
      <c r="F337" t="inlineStr">
        <is>
          <t>VÄSTERBOTTENS LÄN</t>
        </is>
      </c>
      <c r="G337" t="inlineStr">
        <is>
          <t>DOROTEA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44979</v>
      </c>
      <c r="E338" s="1" t="n">
        <v>46310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44979</v>
      </c>
      <c r="E339" s="1" t="n">
        <v>46310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44761</v>
      </c>
      <c r="E340" s="1" t="n">
        <v>46310</v>
      </c>
      <c r="F340" t="inlineStr">
        <is>
          <t>VÄSTERBOTTENS LÄN</t>
        </is>
      </c>
      <c r="G340" t="inlineStr">
        <is>
          <t>DOROTEA</t>
        </is>
      </c>
      <c r="I340" t="n">
        <v>10.6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46310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46310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46310</v>
      </c>
      <c r="F343" t="inlineStr">
        <is>
          <t>VÄSTERBOTTENS LÄN</t>
        </is>
      </c>
      <c r="G343" t="inlineStr">
        <is>
          <t>DOROTEA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25682-2026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46310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46310</v>
      </c>
      <c r="F345" t="inlineStr">
        <is>
          <t>VÄSTERBOTTENS LÄN</t>
        </is>
      </c>
      <c r="G345" t="inlineStr">
        <is>
          <t>DOROTEA</t>
        </is>
      </c>
      <c r="I345" t="n">
        <v>26.2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14163-2024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45392</v>
      </c>
      <c r="E346" s="1" t="n">
        <v>46310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23213-2022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44719</v>
      </c>
      <c r="E347" s="1" t="n">
        <v>46310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46310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26237-2026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46182</v>
      </c>
      <c r="E349" s="1" t="n">
        <v>46310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46310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40435-2023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45169</v>
      </c>
      <c r="E351" s="1" t="n">
        <v>46310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40434-2023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45169</v>
      </c>
      <c r="E352" s="1" t="n">
        <v>46310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4958-2023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44956</v>
      </c>
      <c r="E353" s="1" t="n">
        <v>46310</v>
      </c>
      <c r="F353" t="inlineStr">
        <is>
          <t>VÄSTERBOTTENS LÄN</t>
        </is>
      </c>
      <c r="G353" t="inlineStr">
        <is>
          <t>DOROTEA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44824</v>
      </c>
      <c r="E354" s="1" t="n">
        <v>46310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46185</v>
      </c>
      <c r="E355" s="1" t="n">
        <v>46310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60304-2022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44910</v>
      </c>
      <c r="E356" s="1" t="n">
        <v>46310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27199-2024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45471</v>
      </c>
      <c r="E357" s="1" t="n">
        <v>46310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45551</v>
      </c>
      <c r="E358" s="1" t="n">
        <v>46310</v>
      </c>
      <c r="F358" t="inlineStr">
        <is>
          <t>VÄSTERBOTTENS LÄN</t>
        </is>
      </c>
      <c r="G358" t="inlineStr">
        <is>
          <t>DOROTEA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45055</v>
      </c>
      <c r="E359" s="1" t="n">
        <v>46310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Övriga statliga verk och myndigheter</t>
        </is>
      </c>
      <c r="I359" t="n">
        <v>13.9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46310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27738-2026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46191</v>
      </c>
      <c r="E361" s="1" t="n">
        <v>46310</v>
      </c>
      <c r="F361" t="inlineStr">
        <is>
          <t>VÄSTERBOTTENS LÄN</t>
        </is>
      </c>
      <c r="G361" t="inlineStr">
        <is>
          <t>DOROTEA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45315</v>
      </c>
      <c r="E362" s="1" t="n">
        <v>46310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46310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46310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46195</v>
      </c>
      <c r="E365" s="1" t="n">
        <v>46310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46310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46310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46310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46310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46310</v>
      </c>
      <c r="F370" t="inlineStr">
        <is>
          <t>VÄSTERBOTTENS LÄN</t>
        </is>
      </c>
      <c r="G370" t="inlineStr">
        <is>
          <t>DOROTEA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74013-2021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44557</v>
      </c>
      <c r="E371" s="1" t="n">
        <v>46310</v>
      </c>
      <c r="F371" t="inlineStr">
        <is>
          <t>VÄSTERBOTTENS LÄN</t>
        </is>
      </c>
      <c r="G371" t="inlineStr">
        <is>
          <t>DOROTEA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57794-2023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45246</v>
      </c>
      <c r="E372" s="1" t="n">
        <v>46310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29757-2026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46310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9.300000000000001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42484-2024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46310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46310</v>
      </c>
      <c r="F375" t="inlineStr">
        <is>
          <t>VÄSTERBOTTENS LÄN</t>
        </is>
      </c>
      <c r="G375" t="inlineStr">
        <is>
          <t>DOROTEA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55919-2023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45239</v>
      </c>
      <c r="E376" s="1" t="n">
        <v>46310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46310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46310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46310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30645-2026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46211</v>
      </c>
      <c r="E380" s="1" t="n">
        <v>46310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46310</v>
      </c>
      <c r="F381" t="inlineStr">
        <is>
          <t>VÄSTERBOTTENS LÄN</t>
        </is>
      </c>
      <c r="G381" t="inlineStr">
        <is>
          <t>DOROTEA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30885-2026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46212</v>
      </c>
      <c r="E382" s="1" t="n">
        <v>46310</v>
      </c>
      <c r="F382" t="inlineStr">
        <is>
          <t>VÄSTERBOTTENS LÄN</t>
        </is>
      </c>
      <c r="G382" t="inlineStr">
        <is>
          <t>DOROTEA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46310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46211</v>
      </c>
      <c r="E384" s="1" t="n">
        <v>46310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52144-2023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45223</v>
      </c>
      <c r="E385" s="1" t="n">
        <v>46310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46310</v>
      </c>
      <c r="F386" t="inlineStr">
        <is>
          <t>VÄSTERBOTTENS LÄN</t>
        </is>
      </c>
      <c r="G386" t="inlineStr">
        <is>
          <t>DOROTEA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46213</v>
      </c>
      <c r="E387" s="1" t="n">
        <v>46310</v>
      </c>
      <c r="F387" t="inlineStr">
        <is>
          <t>VÄSTERBOTTENS LÄN</t>
        </is>
      </c>
      <c r="G387" t="inlineStr">
        <is>
          <t>DOROTEA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46218</v>
      </c>
      <c r="E388" s="1" t="n">
        <v>46310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46310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46310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47494-2023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45202</v>
      </c>
      <c r="E391" s="1" t="n">
        <v>46310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46310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46310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46310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46220</v>
      </c>
      <c r="E395" s="1" t="n">
        <v>46310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46310</v>
      </c>
      <c r="F396" t="inlineStr">
        <is>
          <t>VÄSTERBOTTENS LÄN</t>
        </is>
      </c>
      <c r="G396" t="inlineStr">
        <is>
          <t>DOROTEA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46224</v>
      </c>
      <c r="E397" s="1" t="n">
        <v>46310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31573-2026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46224</v>
      </c>
      <c r="E398" s="1" t="n">
        <v>46310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46224</v>
      </c>
      <c r="E399" s="1" t="n">
        <v>46310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46268</v>
      </c>
      <c r="E400" s="1" t="n">
        <v>46310</v>
      </c>
      <c r="F400" t="inlineStr">
        <is>
          <t>VÄSTERBOTTENS LÄN</t>
        </is>
      </c>
      <c r="G400" t="inlineStr">
        <is>
          <t>DOROTEA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46310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57070-2023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45244</v>
      </c>
      <c r="E402" s="1" t="n">
        <v>46310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45636</v>
      </c>
      <c r="E403" s="1" t="n">
        <v>46310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45448</v>
      </c>
      <c r="E404" s="1" t="n">
        <v>46310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46310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46279</v>
      </c>
      <c r="E406" s="1" t="n">
        <v>46310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46310</v>
      </c>
      <c r="F407" t="inlineStr">
        <is>
          <t>VÄSTERBOTTENS LÄN</t>
        </is>
      </c>
      <c r="G407" t="inlineStr">
        <is>
          <t>DOROTEA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44942</v>
      </c>
      <c r="E408" s="1" t="n">
        <v>46310</v>
      </c>
      <c r="F408" t="inlineStr">
        <is>
          <t>VÄSTERBOTTENS LÄN</t>
        </is>
      </c>
      <c r="G408" t="inlineStr">
        <is>
          <t>DOROTEA</t>
        </is>
      </c>
      <c r="I408" t="n">
        <v>22.7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46310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46281</v>
      </c>
      <c r="E410" s="1" t="n">
        <v>46310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46282</v>
      </c>
      <c r="E411" s="1" t="n">
        <v>46310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45519</v>
      </c>
      <c r="E412" s="1" t="n">
        <v>46310</v>
      </c>
      <c r="F412" t="inlineStr">
        <is>
          <t>VÄSTERBOTTENS LÄN</t>
        </is>
      </c>
      <c r="G412" t="inlineStr">
        <is>
          <t>DOROTEA</t>
        </is>
      </c>
      <c r="I412" t="n">
        <v>8.9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45393</v>
      </c>
      <c r="E413" s="1" t="n">
        <v>46310</v>
      </c>
      <c r="F413" t="inlineStr">
        <is>
          <t>VÄSTERBOTTENS LÄN</t>
        </is>
      </c>
      <c r="G413" t="inlineStr">
        <is>
          <t>DOROTEA</t>
        </is>
      </c>
      <c r="I413" t="n">
        <v>10.2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59418-2023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45253</v>
      </c>
      <c r="E414" s="1" t="n">
        <v>46310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45111</v>
      </c>
      <c r="E415" s="1" t="n">
        <v>46310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42515-2023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46310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27.7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45223</v>
      </c>
      <c r="E417" s="1" t="n">
        <v>46310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39088-2026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46287</v>
      </c>
      <c r="E418" s="1" t="n">
        <v>46310</v>
      </c>
      <c r="F418" t="inlineStr">
        <is>
          <t>VÄSTERBOTTENS LÄN</t>
        </is>
      </c>
      <c r="G418" t="inlineStr">
        <is>
          <t>DOROTEA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4617-2023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44956</v>
      </c>
      <c r="E419" s="1" t="n">
        <v>46310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46310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Allmännings- och besparingsskogar</t>
        </is>
      </c>
      <c r="I420" t="n">
        <v>16.4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46265</v>
      </c>
      <c r="E421" s="1" t="n">
        <v>46310</v>
      </c>
      <c r="F421" t="inlineStr">
        <is>
          <t>VÄSTERBOTTENS LÄN</t>
        </is>
      </c>
      <c r="G421" t="inlineStr">
        <is>
          <t>DOROTEA</t>
        </is>
      </c>
      <c r="H421" t="inlineStr">
        <is>
          <t>Allmännings- och besparingsskogar</t>
        </is>
      </c>
      <c r="I421" t="n">
        <v>12.6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46310</v>
      </c>
      <c r="F422" t="inlineStr">
        <is>
          <t>VÄSTERBOTTENS LÄN</t>
        </is>
      </c>
      <c r="G422" t="inlineStr">
        <is>
          <t>DOROTEA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45253</v>
      </c>
      <c r="E423" s="1" t="n">
        <v>46310</v>
      </c>
      <c r="F423" t="inlineStr">
        <is>
          <t>VÄSTERBOTTENS LÄN</t>
        </is>
      </c>
      <c r="G423" t="inlineStr">
        <is>
          <t>DOROTEA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33514-2026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46248</v>
      </c>
      <c r="E424" s="1" t="n">
        <v>46310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46310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46293</v>
      </c>
      <c r="E426" s="1" t="n">
        <v>46310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46247</v>
      </c>
      <c r="E427" s="1" t="n">
        <v>46310</v>
      </c>
      <c r="F427" t="inlineStr">
        <is>
          <t>VÄSTERBOTTENS LÄN</t>
        </is>
      </c>
      <c r="G427" t="inlineStr">
        <is>
          <t>DOROTEA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46818-2023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45198</v>
      </c>
      <c r="E428" s="1" t="n">
        <v>46310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33738-2024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45520</v>
      </c>
      <c r="E429" s="1" t="n">
        <v>46310</v>
      </c>
      <c r="F429" t="inlineStr">
        <is>
          <t>VÄSTERBOTTENS LÄN</t>
        </is>
      </c>
      <c r="G429" t="inlineStr">
        <is>
          <t>DOROTEA</t>
        </is>
      </c>
      <c r="I429" t="n">
        <v>11.1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57955-2021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44484</v>
      </c>
      <c r="E430" s="1" t="n">
        <v>46310</v>
      </c>
      <c r="F430" t="inlineStr">
        <is>
          <t>VÄSTERBOTTENS LÄN</t>
        </is>
      </c>
      <c r="G430" t="inlineStr">
        <is>
          <t>DOROTEA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57071-2023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45244</v>
      </c>
      <c r="E431" s="1" t="n">
        <v>46310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40614-2026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46295</v>
      </c>
      <c r="E432" s="1" t="n">
        <v>46310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13.2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60145-2021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44494</v>
      </c>
      <c r="E433" s="1" t="n">
        <v>46310</v>
      </c>
      <c r="F433" t="inlineStr">
        <is>
          <t>VÄSTERBOTTENS LÄN</t>
        </is>
      </c>
      <c r="G433" t="inlineStr">
        <is>
          <t>DOROTEA</t>
        </is>
      </c>
      <c r="I433" t="n">
        <v>13.3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46310</v>
      </c>
      <c r="F434" t="inlineStr">
        <is>
          <t>VÄSTERBOTTENS LÄN</t>
        </is>
      </c>
      <c r="G434" t="inlineStr">
        <is>
          <t>DOROTEA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34149-2026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46310</v>
      </c>
      <c r="F435" t="inlineStr">
        <is>
          <t>VÄSTERBOTTENS LÄN</t>
        </is>
      </c>
      <c r="G435" t="inlineStr">
        <is>
          <t>DOROTEA</t>
        </is>
      </c>
      <c r="I435" t="n">
        <v>11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46310</v>
      </c>
      <c r="F436" t="inlineStr">
        <is>
          <t>VÄSTERBOTTENS LÄN</t>
        </is>
      </c>
      <c r="G436" t="inlineStr">
        <is>
          <t>DOROTEA</t>
        </is>
      </c>
      <c r="I436" t="n">
        <v>13.6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46310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44848</v>
      </c>
      <c r="E438" s="1" t="n">
        <v>46310</v>
      </c>
      <c r="F438" t="inlineStr">
        <is>
          <t>VÄSTERBOTTENS LÄN</t>
        </is>
      </c>
      <c r="G438" t="inlineStr">
        <is>
          <t>DOROTEA</t>
        </is>
      </c>
      <c r="I438" t="n">
        <v>29.8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46310</v>
      </c>
      <c r="F439" t="inlineStr">
        <is>
          <t>VÄSTERBOTTENS LÄN</t>
        </is>
      </c>
      <c r="G439" t="inlineStr">
        <is>
          <t>DOROTEA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46310</v>
      </c>
      <c r="F440" t="inlineStr">
        <is>
          <t>VÄSTERBOTTENS LÄN</t>
        </is>
      </c>
      <c r="G440" t="inlineStr">
        <is>
          <t>DOROTEA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46310</v>
      </c>
      <c r="F441" t="inlineStr">
        <is>
          <t>VÄSTERBOTTENS LÄN</t>
        </is>
      </c>
      <c r="G441" t="inlineStr">
        <is>
          <t>DOROTEA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46966-2024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45586</v>
      </c>
      <c r="E442" s="1" t="n">
        <v>46310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45075</v>
      </c>
      <c r="E443" s="1" t="n">
        <v>46310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44748</v>
      </c>
      <c r="E444" s="1" t="n">
        <v>46310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30059-2024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45488</v>
      </c>
      <c r="E445" s="1" t="n">
        <v>46310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46300</v>
      </c>
      <c r="E446" s="1" t="n">
        <v>46310</v>
      </c>
      <c r="F446" t="inlineStr">
        <is>
          <t>VÄSTERBOTTENS LÄN</t>
        </is>
      </c>
      <c r="G446" t="inlineStr">
        <is>
          <t>DOROTEA</t>
        </is>
      </c>
      <c r="I446" t="n">
        <v>13.1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43092-2023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45182</v>
      </c>
      <c r="E447" s="1" t="n">
        <v>46310</v>
      </c>
      <c r="F447" t="inlineStr">
        <is>
          <t>VÄSTERBOTTENS LÄN</t>
        </is>
      </c>
      <c r="G447" t="inlineStr">
        <is>
          <t>DOROTEA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41157-2026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46300</v>
      </c>
      <c r="E448" s="1" t="n">
        <v>46310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45734</v>
      </c>
      <c r="E449" s="1" t="n">
        <v>46310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35500-2026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46262</v>
      </c>
      <c r="E450" s="1" t="n">
        <v>46310</v>
      </c>
      <c r="F450" t="inlineStr">
        <is>
          <t>VÄSTERBOTTENS LÄN</t>
        </is>
      </c>
      <c r="G450" t="inlineStr">
        <is>
          <t>DOROTEA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35335-2026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46310</v>
      </c>
      <c r="F451" t="inlineStr">
        <is>
          <t>VÄSTERBOTTENS LÄN</t>
        </is>
      </c>
      <c r="G451" t="inlineStr">
        <is>
          <t>DOROTEA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46310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45572</v>
      </c>
      <c r="E453" s="1" t="n">
        <v>46310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28856-2024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46310</v>
      </c>
      <c r="F454" t="inlineStr">
        <is>
          <t>VÄSTERBOTTENS LÄN</t>
        </is>
      </c>
      <c r="G454" t="inlineStr">
        <is>
          <t>DOROTEA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46310</v>
      </c>
      <c r="F455" t="inlineStr">
        <is>
          <t>VÄSTERBOTTENS LÄN</t>
        </is>
      </c>
      <c r="G455" t="inlineStr">
        <is>
          <t>DOROTEA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46310</v>
      </c>
      <c r="F456" t="inlineStr">
        <is>
          <t>VÄSTERBOTTENS LÄN</t>
        </is>
      </c>
      <c r="G456" t="inlineStr">
        <is>
          <t>DOROTEA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46310</v>
      </c>
      <c r="F457" t="inlineStr">
        <is>
          <t>VÄSTERBOTTENS LÄN</t>
        </is>
      </c>
      <c r="G457" t="inlineStr">
        <is>
          <t>DOROTEA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46304</v>
      </c>
      <c r="E458" s="1" t="n">
        <v>46310</v>
      </c>
      <c r="F458" t="inlineStr">
        <is>
          <t>VÄSTERBOTTENS LÄN</t>
        </is>
      </c>
      <c r="G458" t="inlineStr">
        <is>
          <t>DOROTEA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46310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42104-2024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45562</v>
      </c>
      <c r="E460" s="1" t="n">
        <v>46310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46310</v>
      </c>
      <c r="F461" t="inlineStr">
        <is>
          <t>VÄSTERBOTTENS LÄN</t>
        </is>
      </c>
      <c r="G461" t="inlineStr">
        <is>
          <t>DOROTEA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42037-2026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46304</v>
      </c>
      <c r="E462" s="1" t="n">
        <v>46310</v>
      </c>
      <c r="F462" t="inlineStr">
        <is>
          <t>VÄSTERBOTTENS LÄN</t>
        </is>
      </c>
      <c r="G462" t="inlineStr">
        <is>
          <t>DOROTEA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46309</v>
      </c>
      <c r="E463" s="1" t="n">
        <v>46310</v>
      </c>
      <c r="F463" t="inlineStr">
        <is>
          <t>VÄSTERBOTTENS LÄN</t>
        </is>
      </c>
      <c r="G463" t="inlineStr">
        <is>
          <t>DOROTEA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46309</v>
      </c>
      <c r="E464" s="1" t="n">
        <v>46310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22774-2025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45789</v>
      </c>
      <c r="E465" s="1" t="n">
        <v>46310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46301</v>
      </c>
      <c r="E466" s="1" t="n">
        <v>46310</v>
      </c>
      <c r="F466" t="inlineStr">
        <is>
          <t>VÄSTERBOTTENS LÄN</t>
        </is>
      </c>
      <c r="G466" t="inlineStr">
        <is>
          <t>DOROTEA</t>
        </is>
      </c>
      <c r="I466" t="n">
        <v>10.5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42811-2026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46309</v>
      </c>
      <c r="E467" s="1" t="n">
        <v>46310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44645</v>
      </c>
      <c r="E468" s="1" t="n">
        <v>46310</v>
      </c>
      <c r="F468" t="inlineStr">
        <is>
          <t>VÄSTERBOTTENS LÄN</t>
        </is>
      </c>
      <c r="G468" t="inlineStr">
        <is>
          <t>DOROTEA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45771</v>
      </c>
      <c r="E469" s="1" t="n">
        <v>46310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45140</v>
      </c>
      <c r="E470" s="1" t="n">
        <v>46310</v>
      </c>
      <c r="F470" t="inlineStr">
        <is>
          <t>VÄSTERBOTTENS LÄN</t>
        </is>
      </c>
      <c r="G470" t="inlineStr">
        <is>
          <t>DOROTEA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45485</v>
      </c>
      <c r="E471" s="1" t="n">
        <v>46310</v>
      </c>
      <c r="F471" t="inlineStr">
        <is>
          <t>VÄSTERBOTTENS LÄN</t>
        </is>
      </c>
      <c r="G471" t="inlineStr">
        <is>
          <t>DOROTEA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2945-2024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45506</v>
      </c>
      <c r="E472" s="1" t="n">
        <v>46310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1058-2025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45749</v>
      </c>
      <c r="E473" s="1" t="n">
        <v>46310</v>
      </c>
      <c r="F473" t="inlineStr">
        <is>
          <t>VÄSTERBOTTENS LÄN</t>
        </is>
      </c>
      <c r="G473" t="inlineStr">
        <is>
          <t>DOROTEA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844-2025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45733</v>
      </c>
      <c r="E474" s="1" t="n">
        <v>46310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1293.5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2195-2025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45858</v>
      </c>
      <c r="E475" s="1" t="n">
        <v>46310</v>
      </c>
      <c r="F475" t="inlineStr">
        <is>
          <t>VÄSTERBOTTENS LÄN</t>
        </is>
      </c>
      <c r="G475" t="inlineStr">
        <is>
          <t>DOROTEA</t>
        </is>
      </c>
      <c r="I475" t="n">
        <v>27.4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2283-2025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45876</v>
      </c>
      <c r="E476" s="1" t="n">
        <v>46310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2360-2025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45889</v>
      </c>
      <c r="E477" s="1" t="n">
        <v>46310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2407-2026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46279</v>
      </c>
      <c r="E478" s="1" t="n">
        <v>46310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1763-2026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46189</v>
      </c>
      <c r="E479" s="1" t="n">
        <v>46310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2026-10-15T02:03:40Z</dcterms:created>
  <dcterms:modified xmlns:dcterms="http://purl.org/dc/terms/" xmlns:xsi="http://www.w3.org/2001/XMLSchema-instance" xsi:type="dcterms:W3CDTF">2026-10-15T02:03:40Z</dcterms:modified>
</cp:coreProperties>
</file>