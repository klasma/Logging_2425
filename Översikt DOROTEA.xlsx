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45363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45363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45363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45363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45363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45363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45363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45363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45363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45363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45363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45363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45363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45363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45363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45363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45363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45363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45363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45363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45363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45363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45363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45363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45363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45363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45363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45363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52409-2018</t>
        </is>
      </c>
      <c r="B30" s="1" t="n">
        <v>43388</v>
      </c>
      <c r="C30" s="1" t="n">
        <v>45363</v>
      </c>
      <c r="D30" t="inlineStr">
        <is>
          <t>VÄSTERBOTTENS LÄN</t>
        </is>
      </c>
      <c r="E30" t="inlineStr">
        <is>
          <t>DOROTEA</t>
        </is>
      </c>
      <c r="G30" t="n">
        <v>9.300000000000001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Lappranunkel</t>
        </is>
      </c>
      <c r="S30">
        <f>HYPERLINK("https://klasma.github.io/Logging_2425/artfynd/A 52409-2018 artfynd.xlsx", "A 52409-2018")</f>
        <v/>
      </c>
      <c r="T30">
        <f>HYPERLINK("https://klasma.github.io/Logging_2425/kartor/A 52409-2018 karta.png", "A 52409-2018")</f>
        <v/>
      </c>
      <c r="V30">
        <f>HYPERLINK("https://klasma.github.io/Logging_2425/klagomål/A 52409-2018 FSC-klagomål.docx", "A 52409-2018")</f>
        <v/>
      </c>
      <c r="W30">
        <f>HYPERLINK("https://klasma.github.io/Logging_2425/klagomålsmail/A 52409-2018 FSC-klagomål mail.docx", "A 52409-2018")</f>
        <v/>
      </c>
      <c r="X30">
        <f>HYPERLINK("https://klasma.github.io/Logging_2425/tillsyn/A 52409-2018 tillsynsbegäran.docx", "A 52409-2018")</f>
        <v/>
      </c>
      <c r="Y30">
        <f>HYPERLINK("https://klasma.github.io/Logging_2425/tillsynsmail/A 52409-2018 tillsynsbegäran mail.docx", "A 52409-2018")</f>
        <v/>
      </c>
    </row>
    <row r="31" ht="15" customHeight="1">
      <c r="A31" t="inlineStr">
        <is>
          <t>A 14581-2019</t>
        </is>
      </c>
      <c r="B31" s="1" t="n">
        <v>43536</v>
      </c>
      <c r="C31" s="1" t="n">
        <v>45363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14581-2019 artfynd.xlsx", "A 14581-2019")</f>
        <v/>
      </c>
      <c r="T31">
        <f>HYPERLINK("https://klasma.github.io/Logging_2425/kartor/A 14581-2019 karta.png", "A 14581-2019")</f>
        <v/>
      </c>
      <c r="V31">
        <f>HYPERLINK("https://klasma.github.io/Logging_2425/klagomål/A 14581-2019 FSC-klagomål.docx", "A 14581-2019")</f>
        <v/>
      </c>
      <c r="W31">
        <f>HYPERLINK("https://klasma.github.io/Logging_2425/klagomålsmail/A 14581-2019 FSC-klagomål mail.docx", "A 14581-2019")</f>
        <v/>
      </c>
      <c r="X31">
        <f>HYPERLINK("https://klasma.github.io/Logging_2425/tillsyn/A 14581-2019 tillsynsbegäran.docx", "A 14581-2019")</f>
        <v/>
      </c>
      <c r="Y31">
        <f>HYPERLINK("https://klasma.github.io/Logging_2425/tillsynsmail/A 14581-2019 tillsynsbegäran mail.docx", "A 14581-2019")</f>
        <v/>
      </c>
    </row>
    <row r="32" ht="15" customHeight="1">
      <c r="A32" t="inlineStr">
        <is>
          <t>A 1978-2020</t>
        </is>
      </c>
      <c r="B32" s="1" t="n">
        <v>43838</v>
      </c>
      <c r="C32" s="1" t="n">
        <v>45363</v>
      </c>
      <c r="D32" t="inlineStr">
        <is>
          <t>VÄSTERBOTTENS LÄN</t>
        </is>
      </c>
      <c r="E32" t="inlineStr">
        <is>
          <t>DOROTEA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Rosenfink</t>
        </is>
      </c>
      <c r="S32">
        <f>HYPERLINK("https://klasma.github.io/Logging_2425/artfynd/A 1978-2020 artfynd.xlsx", "A 1978-2020")</f>
        <v/>
      </c>
      <c r="T32">
        <f>HYPERLINK("https://klasma.github.io/Logging_2425/kartor/A 1978-2020 karta.png", "A 1978-2020")</f>
        <v/>
      </c>
      <c r="V32">
        <f>HYPERLINK("https://klasma.github.io/Logging_2425/klagomål/A 1978-2020 FSC-klagomål.docx", "A 1978-2020")</f>
        <v/>
      </c>
      <c r="W32">
        <f>HYPERLINK("https://klasma.github.io/Logging_2425/klagomålsmail/A 1978-2020 FSC-klagomål mail.docx", "A 1978-2020")</f>
        <v/>
      </c>
      <c r="X32">
        <f>HYPERLINK("https://klasma.github.io/Logging_2425/tillsyn/A 1978-2020 tillsynsbegäran.docx", "A 1978-2020")</f>
        <v/>
      </c>
      <c r="Y32">
        <f>HYPERLINK("https://klasma.github.io/Logging_2425/tillsynsmail/A 1978-2020 tillsynsbegäran mail.docx", "A 1978-2020")</f>
        <v/>
      </c>
      <c r="Z32">
        <f>HYPERLINK("https://klasma.github.io/Logging_2425/fåglar/A 1978-2020 prioriterade fågelarter.docx", "A 1978-2020")</f>
        <v/>
      </c>
    </row>
    <row r="33" ht="15" customHeight="1">
      <c r="A33" t="inlineStr">
        <is>
          <t>A 49683-2020</t>
        </is>
      </c>
      <c r="B33" s="1" t="n">
        <v>44104</v>
      </c>
      <c r="C33" s="1" t="n">
        <v>45363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HYPERLINK("https://klasma.github.io/Logging_2425/artfynd/A 49683-2020 artfynd.xlsx", "A 49683-2020")</f>
        <v/>
      </c>
      <c r="T33">
        <f>HYPERLINK("https://klasma.github.io/Logging_2425/kartor/A 49683-2020 karta.png", "A 49683-2020")</f>
        <v/>
      </c>
      <c r="V33">
        <f>HYPERLINK("https://klasma.github.io/Logging_2425/klagomål/A 49683-2020 FSC-klagomål.docx", "A 49683-2020")</f>
        <v/>
      </c>
      <c r="W33">
        <f>HYPERLINK("https://klasma.github.io/Logging_2425/klagomålsmail/A 49683-2020 FSC-klagomål mail.docx", "A 49683-2020")</f>
        <v/>
      </c>
      <c r="X33">
        <f>HYPERLINK("https://klasma.github.io/Logging_2425/tillsyn/A 49683-2020 tillsynsbegäran.docx", "A 49683-2020")</f>
        <v/>
      </c>
      <c r="Y33">
        <f>HYPERLINK("https://klasma.github.io/Logging_2425/tillsynsmail/A 49683-2020 tillsynsbegäran mail.docx", "A 49683-2020")</f>
        <v/>
      </c>
    </row>
    <row r="34" ht="15" customHeight="1">
      <c r="A34" t="inlineStr">
        <is>
          <t>A 44036-2022</t>
        </is>
      </c>
      <c r="B34" s="1" t="n">
        <v>44838</v>
      </c>
      <c r="C34" s="1" t="n">
        <v>45363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44036-2022 artfynd.xlsx", "A 44036-2022")</f>
        <v/>
      </c>
      <c r="T34">
        <f>HYPERLINK("https://klasma.github.io/Logging_2425/kartor/A 44036-2022 karta.png", "A 44036-2022")</f>
        <v/>
      </c>
      <c r="V34">
        <f>HYPERLINK("https://klasma.github.io/Logging_2425/klagomål/A 44036-2022 FSC-klagomål.docx", "A 44036-2022")</f>
        <v/>
      </c>
      <c r="W34">
        <f>HYPERLINK("https://klasma.github.io/Logging_2425/klagomålsmail/A 44036-2022 FSC-klagomål mail.docx", "A 44036-2022")</f>
        <v/>
      </c>
      <c r="X34">
        <f>HYPERLINK("https://klasma.github.io/Logging_2425/tillsyn/A 44036-2022 tillsynsbegäran.docx", "A 44036-2022")</f>
        <v/>
      </c>
      <c r="Y34">
        <f>HYPERLINK("https://klasma.github.io/Logging_2425/tillsynsmail/A 44036-2022 tillsynsbegäran mail.docx", "A 44036-2022")</f>
        <v/>
      </c>
    </row>
    <row r="35" ht="15" customHeight="1">
      <c r="A35" t="inlineStr">
        <is>
          <t>A 44389-2022</t>
        </is>
      </c>
      <c r="B35" s="1" t="n">
        <v>44838</v>
      </c>
      <c r="C35" s="1" t="n">
        <v>45363</v>
      </c>
      <c r="D35" t="inlineStr">
        <is>
          <t>VÄSTERBOTTENS LÄN</t>
        </is>
      </c>
      <c r="E35" t="inlineStr">
        <is>
          <t>DOROTEA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44389-2022 artfynd.xlsx", "A 44389-2022")</f>
        <v/>
      </c>
      <c r="T35">
        <f>HYPERLINK("https://klasma.github.io/Logging_2425/kartor/A 44389-2022 karta.png", "A 44389-2022")</f>
        <v/>
      </c>
      <c r="V35">
        <f>HYPERLINK("https://klasma.github.io/Logging_2425/klagomål/A 44389-2022 FSC-klagomål.docx", "A 44389-2022")</f>
        <v/>
      </c>
      <c r="W35">
        <f>HYPERLINK("https://klasma.github.io/Logging_2425/klagomålsmail/A 44389-2022 FSC-klagomål mail.docx", "A 44389-2022")</f>
        <v/>
      </c>
      <c r="X35">
        <f>HYPERLINK("https://klasma.github.io/Logging_2425/tillsyn/A 44389-2022 tillsynsbegäran.docx", "A 44389-2022")</f>
        <v/>
      </c>
      <c r="Y35">
        <f>HYPERLINK("https://klasma.github.io/Logging_2425/tillsynsmail/A 44389-2022 tillsynsbegäran mail.docx", "A 44389-2022")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45363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45363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45363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45363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34746-2018</t>
        </is>
      </c>
      <c r="B40" s="1" t="n">
        <v>43320</v>
      </c>
      <c r="C40" s="1" t="n">
        <v>45363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37548-2018</t>
        </is>
      </c>
      <c r="B41" s="1" t="n">
        <v>43334</v>
      </c>
      <c r="C41" s="1" t="n">
        <v>45363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47429-2018</t>
        </is>
      </c>
      <c r="B42" s="1" t="n">
        <v>43369</v>
      </c>
      <c r="C42" s="1" t="n">
        <v>45363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49859-2018</t>
        </is>
      </c>
      <c r="B43" s="1" t="n">
        <v>43375</v>
      </c>
      <c r="C43" s="1" t="n">
        <v>45363</v>
      </c>
      <c r="D43" t="inlineStr">
        <is>
          <t>VÄSTERBOTTENS LÄN</t>
        </is>
      </c>
      <c r="E43" t="inlineStr">
        <is>
          <t>DOROTEA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49848-2018</t>
        </is>
      </c>
      <c r="B44" s="1" t="n">
        <v>43375</v>
      </c>
      <c r="C44" s="1" t="n">
        <v>45363</v>
      </c>
      <c r="D44" t="inlineStr">
        <is>
          <t>VÄSTERBOTTENS LÄN</t>
        </is>
      </c>
      <c r="E44" t="inlineStr">
        <is>
          <t>DOROTEA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53218-2018</t>
        </is>
      </c>
      <c r="B45" s="1" t="n">
        <v>43384</v>
      </c>
      <c r="C45" s="1" t="n">
        <v>45363</v>
      </c>
      <c r="D45" t="inlineStr">
        <is>
          <t>VÄSTERBOTTENS LÄN</t>
        </is>
      </c>
      <c r="E45" t="inlineStr">
        <is>
          <t>DOROTEA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53008-2018</t>
        </is>
      </c>
      <c r="B46" s="1" t="n">
        <v>43389</v>
      </c>
      <c r="C46" s="1" t="n">
        <v>45363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53009-2018</t>
        </is>
      </c>
      <c r="B47" s="1" t="n">
        <v>43389</v>
      </c>
      <c r="C47" s="1" t="n">
        <v>45363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55419-2018</t>
        </is>
      </c>
      <c r="B48" s="1" t="n">
        <v>43397</v>
      </c>
      <c r="C48" s="1" t="n">
        <v>45363</v>
      </c>
      <c r="D48" t="inlineStr">
        <is>
          <t>VÄSTERBOTTENS LÄN</t>
        </is>
      </c>
      <c r="E48" t="inlineStr">
        <is>
          <t>DOROTEA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55781-2018</t>
        </is>
      </c>
      <c r="B49" s="1" t="n">
        <v>43398</v>
      </c>
      <c r="C49" s="1" t="n">
        <v>45363</v>
      </c>
      <c r="D49" t="inlineStr">
        <is>
          <t>VÄSTERBOTTENS LÄN</t>
        </is>
      </c>
      <c r="E49" t="inlineStr">
        <is>
          <t>DOROTEA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55780-2018</t>
        </is>
      </c>
      <c r="B50" s="1" t="n">
        <v>43398</v>
      </c>
      <c r="C50" s="1" t="n">
        <v>45363</v>
      </c>
      <c r="D50" t="inlineStr">
        <is>
          <t>VÄSTERBOTTENS LÄN</t>
        </is>
      </c>
      <c r="E50" t="inlineStr">
        <is>
          <t>DOROTEA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56921-2018</t>
        </is>
      </c>
      <c r="B51" s="1" t="n">
        <v>43403</v>
      </c>
      <c r="C51" s="1" t="n">
        <v>45363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66081-2018</t>
        </is>
      </c>
      <c r="B52" s="1" t="n">
        <v>43425</v>
      </c>
      <c r="C52" s="1" t="n">
        <v>45363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2928-2019</t>
        </is>
      </c>
      <c r="B53" s="1" t="n">
        <v>43469</v>
      </c>
      <c r="C53" s="1" t="n">
        <v>45363</v>
      </c>
      <c r="D53" t="inlineStr">
        <is>
          <t>VÄSTERBOTTENS LÄN</t>
        </is>
      </c>
      <c r="E53" t="inlineStr">
        <is>
          <t>DOROTEA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1142-2019</t>
        </is>
      </c>
      <c r="B54" s="1" t="n">
        <v>43472</v>
      </c>
      <c r="C54" s="1" t="n">
        <v>45363</v>
      </c>
      <c r="D54" t="inlineStr">
        <is>
          <t>VÄSTERBOTTENS LÄN</t>
        </is>
      </c>
      <c r="E54" t="inlineStr">
        <is>
          <t>DOROTEA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2301-2019</t>
        </is>
      </c>
      <c r="B55" s="1" t="n">
        <v>43475</v>
      </c>
      <c r="C55" s="1" t="n">
        <v>45363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2300-2019</t>
        </is>
      </c>
      <c r="B56" s="1" t="n">
        <v>43475</v>
      </c>
      <c r="C56" s="1" t="n">
        <v>45363</v>
      </c>
      <c r="D56" t="inlineStr">
        <is>
          <t>VÄSTERBOTTENS LÄN</t>
        </is>
      </c>
      <c r="E56" t="inlineStr">
        <is>
          <t>DOROTEA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3884-2019</t>
        </is>
      </c>
      <c r="B57" s="1" t="n">
        <v>43475</v>
      </c>
      <c r="C57" s="1" t="n">
        <v>45363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9719-2019</t>
        </is>
      </c>
      <c r="B58" s="1" t="n">
        <v>43508</v>
      </c>
      <c r="C58" s="1" t="n">
        <v>45363</v>
      </c>
      <c r="D58" t="inlineStr">
        <is>
          <t>VÄSTERBOTTENS LÄN</t>
        </is>
      </c>
      <c r="E58" t="inlineStr">
        <is>
          <t>DOROTEA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18757-2019</t>
        </is>
      </c>
      <c r="B59" s="1" t="n">
        <v>43560</v>
      </c>
      <c r="C59" s="1" t="n">
        <v>45363</v>
      </c>
      <c r="D59" t="inlineStr">
        <is>
          <t>VÄSTERBOTTENS LÄN</t>
        </is>
      </c>
      <c r="E59" t="inlineStr">
        <is>
          <t>DOROTEA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19709-2019</t>
        </is>
      </c>
      <c r="B60" s="1" t="n">
        <v>43566</v>
      </c>
      <c r="C60" s="1" t="n">
        <v>45363</v>
      </c>
      <c r="D60" t="inlineStr">
        <is>
          <t>VÄSTERBOTTENS LÄN</t>
        </is>
      </c>
      <c r="E60" t="inlineStr">
        <is>
          <t>DOROTEA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22272-2019</t>
        </is>
      </c>
      <c r="B61" s="1" t="n">
        <v>43585</v>
      </c>
      <c r="C61" s="1" t="n">
        <v>45363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22590-2019</t>
        </is>
      </c>
      <c r="B62" s="1" t="n">
        <v>43587</v>
      </c>
      <c r="C62" s="1" t="n">
        <v>45363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23064-2019</t>
        </is>
      </c>
      <c r="B63" s="1" t="n">
        <v>43591</v>
      </c>
      <c r="C63" s="1" t="n">
        <v>45363</v>
      </c>
      <c r="D63" t="inlineStr">
        <is>
          <t>VÄSTERBOTTENS LÄN</t>
        </is>
      </c>
      <c r="E63" t="inlineStr">
        <is>
          <t>DOROTEA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45363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45363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45363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45363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45363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45363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45363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45363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45363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45363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45363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45363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45363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45363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45363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45363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45363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45363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45363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45363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45363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45363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45363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45363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45363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45363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45363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45363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45363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45363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45363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45363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45363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45363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45363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45363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45363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45363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45363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45363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45363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45363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45363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45363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45363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45363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45363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45363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45363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45363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45363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45363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45363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45363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45363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45363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45363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45363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45363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45363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45363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45363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45363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45363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45363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45363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45363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45363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45363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45363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45363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45363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45363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45363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45363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45363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45363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45363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45363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45363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45363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45363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45363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45363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45363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45363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45363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45363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45363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45363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45363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45363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45363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45363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45363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45363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45363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45363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45363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45363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45363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45363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45363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45363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45363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45363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45363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45363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45363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45363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45363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45363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45363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45363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45363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45363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45363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45363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45363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45363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45363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45363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45363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45363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45363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45363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45363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45363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45363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45363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45363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45363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45363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45363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45363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45363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45363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45363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45363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45363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45363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45363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45363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45363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45363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45363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45363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45363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45363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45363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45363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45363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45363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45363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45363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45363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45363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45363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45363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45363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45363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45363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45363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45363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45363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45363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45363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45363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45363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45363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45363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45363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45363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45363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45363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45363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45363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45363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45363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45363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45363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45363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45363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45363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45363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45363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45363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45363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45363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45363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45363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45363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45363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45363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45363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45363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45363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45363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45363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45363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45363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45363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45363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45363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45363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45363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45363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45363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45363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45363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45363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45363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45363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45363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45363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45363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45363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45363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45363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45363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45363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45363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45363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45363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45363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45363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45363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45363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45363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45363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45363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45363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45363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45363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45363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45363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45363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45363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45363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45363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45363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45363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45363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45363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45363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45363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45363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45363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45363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45363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45363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45363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45363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45363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45363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45363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45363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45363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45363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45363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45363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45363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45363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45363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45363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45363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45363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45363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45363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45363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45363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45363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45363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45363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45363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45363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45363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45363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45363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45363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45363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45363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45363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45363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45363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45363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45363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45363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45363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45363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45363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45363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45363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45363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45363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45363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45363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45363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45363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45363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45363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45363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45363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45363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45363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45363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45363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45363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45363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45363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45363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45363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45363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45363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45363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45363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45363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45363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45363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45363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45363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45363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45363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45363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45363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45363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45363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45363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45363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45363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45363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45363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45363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45363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45363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45363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45363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45363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45363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45363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45363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45363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45363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45363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45363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45363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45363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45363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45363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45363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45363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45363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45363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45363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45363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45363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45363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45363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45363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45363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45363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45363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45363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45363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45363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45363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54047-2023</t>
        </is>
      </c>
      <c r="B430" s="1" t="n">
        <v>45231</v>
      </c>
      <c r="C430" s="1" t="n">
        <v>45363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45363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45363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45363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45363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45363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45363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45363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45363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45363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45363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45363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45363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45363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45363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45363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45363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45363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45363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45363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45363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45363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45363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45363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45363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45363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45363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45363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45363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45363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45363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45363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45363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45363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45363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45363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45363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45363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45363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2227-2024</t>
        </is>
      </c>
      <c r="B469" s="1" t="n">
        <v>45309</v>
      </c>
      <c r="C469" s="1" t="n">
        <v>45363</v>
      </c>
      <c r="D469" t="inlineStr">
        <is>
          <t>VÄSTERBOTTENS LÄN</t>
        </is>
      </c>
      <c r="E469" t="inlineStr">
        <is>
          <t>DOROTEA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45363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45363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45363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45363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5735-2024</t>
        </is>
      </c>
      <c r="B474" s="1" t="n">
        <v>45334</v>
      </c>
      <c r="C474" s="1" t="n">
        <v>45363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45363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45363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45363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45363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8246-2024</t>
        </is>
      </c>
      <c r="B479" s="1" t="n">
        <v>45352</v>
      </c>
      <c r="C479" s="1" t="n">
        <v>45363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8245-2024</t>
        </is>
      </c>
      <c r="B480" s="1" t="n">
        <v>45352</v>
      </c>
      <c r="C480" s="1" t="n">
        <v>45363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45363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45363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8853-2024</t>
        </is>
      </c>
      <c r="B483" s="1" t="n">
        <v>45356</v>
      </c>
      <c r="C483" s="1" t="n">
        <v>45363</v>
      </c>
      <c r="D483" t="inlineStr">
        <is>
          <t>VÄSTERBOTTENS LÄN</t>
        </is>
      </c>
      <c r="E483" t="inlineStr">
        <is>
          <t>DOROTEA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9258-2024</t>
        </is>
      </c>
      <c r="B484" s="1" t="n">
        <v>45357</v>
      </c>
      <c r="C484" s="1" t="n">
        <v>45363</v>
      </c>
      <c r="D484" t="inlineStr">
        <is>
          <t>VÄSTERBOTTENS LÄN</t>
        </is>
      </c>
      <c r="E484" t="inlineStr">
        <is>
          <t>DOROTEA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2024-03-12T13:56:23Z</dcterms:created>
  <dcterms:modified xmlns:dcterms="http://purl.org/dc/terms/" xmlns:xsi="http://www.w3.org/2001/XMLSchema-instance" xsi:type="dcterms:W3CDTF">2024-03-12T13:56:24Z</dcterms:modified>
</cp:coreProperties>
</file>